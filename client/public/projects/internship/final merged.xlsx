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data\"/>
    </mc:Choice>
  </mc:AlternateContent>
  <xr:revisionPtr revIDLastSave="0" documentId="13_ncr:1_{6BE3E35A-B297-42EF-BB72-C345CE27A970}" xr6:coauthVersionLast="47" xr6:coauthVersionMax="47" xr10:uidLastSave="{00000000-0000-0000-0000-000000000000}"/>
  <bookViews>
    <workbookView xWindow="-108" yWindow="-108" windowWidth="23256" windowHeight="12456" tabRatio="585" xr2:uid="{0BEA2CB7-07B9-47C4-9A99-D5CF38110A75}"/>
  </bookViews>
  <sheets>
    <sheet name="Sheet1" sheetId="1" r:id="rId1"/>
  </sheets>
  <definedNames>
    <definedName name="_xlnm._FilterDatabase" localSheetId="0" hidden="1">Sheet1!$J$1:$J$2005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5" i="1" l="1"/>
  <c r="J415" i="1"/>
  <c r="J1959" i="1"/>
  <c r="J1751" i="1"/>
  <c r="J1657" i="1"/>
  <c r="J1641" i="1"/>
  <c r="J1608" i="1"/>
  <c r="J1552" i="1"/>
  <c r="J1539" i="1"/>
  <c r="J1027" i="1"/>
  <c r="J1003" i="1"/>
  <c r="J908" i="1"/>
  <c r="J802" i="1"/>
  <c r="J408" i="1"/>
  <c r="J391" i="1"/>
  <c r="H1959" i="1"/>
  <c r="H1751" i="1"/>
  <c r="H1657" i="1"/>
  <c r="H1641" i="1"/>
  <c r="H1608" i="1"/>
  <c r="H1552" i="1"/>
  <c r="H1539" i="1"/>
  <c r="H1027" i="1"/>
  <c r="H1003" i="1"/>
  <c r="H908" i="1"/>
  <c r="H802" i="1"/>
  <c r="H415" i="1"/>
  <c r="H408" i="1"/>
  <c r="H391" i="1"/>
  <c r="N345" i="1"/>
  <c r="N1959" i="1"/>
  <c r="N1751" i="1"/>
  <c r="N1657" i="1"/>
  <c r="N1641" i="1"/>
  <c r="N1608" i="1"/>
  <c r="N1552" i="1"/>
  <c r="N1539" i="1"/>
  <c r="N1027" i="1"/>
  <c r="N1003" i="1"/>
  <c r="N908" i="1"/>
  <c r="N802" i="1"/>
  <c r="N415" i="1"/>
  <c r="N408" i="1"/>
  <c r="N391" i="1"/>
  <c r="N377" i="1"/>
  <c r="N374" i="1"/>
  <c r="N36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3" i="1"/>
  <c r="N364" i="1"/>
  <c r="N365" i="1"/>
  <c r="N366" i="1"/>
  <c r="N367" i="1"/>
  <c r="N368" i="1"/>
  <c r="N369" i="1"/>
  <c r="N370" i="1"/>
  <c r="N371" i="1"/>
  <c r="N372" i="1"/>
  <c r="N373" i="1"/>
  <c r="N375" i="1"/>
  <c r="N376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9" i="1"/>
  <c r="N410" i="1"/>
  <c r="N411" i="1"/>
  <c r="N412" i="1"/>
  <c r="N413" i="1"/>
  <c r="N414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1908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H1636" i="1"/>
  <c r="H1637" i="1"/>
  <c r="H1638" i="1"/>
  <c r="H1639" i="1"/>
  <c r="H1640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634" i="1"/>
  <c r="H1635" i="1"/>
  <c r="H1633" i="1"/>
  <c r="H1632" i="1"/>
  <c r="H16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2" i="1"/>
  <c r="H173" i="1" l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9" i="1"/>
  <c r="H410" i="1"/>
  <c r="H411" i="1"/>
  <c r="H412" i="1"/>
  <c r="H413" i="1"/>
  <c r="H414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H1631" i="1"/>
  <c r="H1629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302" i="1"/>
  <c r="J1301" i="1"/>
  <c r="H1303" i="1" l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302" i="1"/>
  <c r="H1301" i="1"/>
  <c r="J1300" i="1" l="1"/>
  <c r="H1300" i="1"/>
  <c r="J1299" i="1"/>
  <c r="H1299" i="1"/>
  <c r="J1298" i="1"/>
  <c r="H1298" i="1"/>
  <c r="J1297" i="1"/>
  <c r="H1297" i="1"/>
  <c r="J1296" i="1"/>
  <c r="H1296" i="1"/>
  <c r="J1295" i="1"/>
  <c r="H1295" i="1"/>
  <c r="J1294" i="1"/>
  <c r="H1294" i="1"/>
  <c r="J1293" i="1"/>
  <c r="H1293" i="1"/>
  <c r="J1292" i="1"/>
  <c r="H1292" i="1"/>
  <c r="J1291" i="1"/>
  <c r="H1291" i="1"/>
  <c r="J1290" i="1"/>
  <c r="H1290" i="1"/>
  <c r="J1289" i="1"/>
  <c r="H1289" i="1"/>
  <c r="J1288" i="1"/>
  <c r="H1288" i="1"/>
  <c r="J1287" i="1"/>
  <c r="H1287" i="1"/>
  <c r="J1286" i="1"/>
  <c r="H1286" i="1"/>
  <c r="J1285" i="1"/>
  <c r="H1285" i="1"/>
  <c r="J1284" i="1"/>
  <c r="H1284" i="1"/>
  <c r="J1283" i="1"/>
  <c r="H1283" i="1"/>
  <c r="J1282" i="1"/>
  <c r="H1282" i="1"/>
  <c r="J1281" i="1"/>
  <c r="H1281" i="1"/>
  <c r="J1280" i="1"/>
  <c r="H1280" i="1"/>
  <c r="J1279" i="1"/>
  <c r="H1279" i="1"/>
  <c r="J1278" i="1"/>
  <c r="H1278" i="1"/>
  <c r="J1277" i="1"/>
  <c r="H1277" i="1"/>
  <c r="J1276" i="1"/>
  <c r="H1276" i="1"/>
  <c r="J1275" i="1"/>
  <c r="H1275" i="1"/>
  <c r="J1274" i="1"/>
  <c r="H1274" i="1"/>
  <c r="J1273" i="1"/>
  <c r="H1273" i="1"/>
  <c r="J1272" i="1"/>
  <c r="H1272" i="1"/>
  <c r="J1271" i="1"/>
  <c r="H1271" i="1"/>
  <c r="J1270" i="1"/>
  <c r="H1270" i="1"/>
  <c r="J1269" i="1"/>
  <c r="H1269" i="1"/>
  <c r="J1268" i="1"/>
  <c r="H1268" i="1"/>
  <c r="J1267" i="1"/>
  <c r="H1267" i="1"/>
  <c r="J1266" i="1"/>
  <c r="H1266" i="1"/>
  <c r="J1265" i="1"/>
  <c r="H1265" i="1"/>
  <c r="J1264" i="1"/>
  <c r="H1264" i="1"/>
  <c r="J1263" i="1"/>
  <c r="H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 l="1"/>
  <c r="J911" i="1"/>
  <c r="J910" i="1"/>
  <c r="J909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 l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4" i="1"/>
  <c r="J413" i="1"/>
  <c r="J412" i="1"/>
  <c r="J411" i="1"/>
  <c r="J410" i="1"/>
  <c r="J409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172" i="1" l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 l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465" authorId="0" shapeId="0" xr:uid="{07C1A6A1-97FF-4017-95AE-5F13035EEBFC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503" authorId="0" shapeId="0" xr:uid="{01E7FDEB-BA64-4C02-A2E5-F0D93DA86ED6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517" authorId="0" shapeId="0" xr:uid="{9EA0D729-AA20-4B1C-97D0-13F78D796E22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532" authorId="0" shapeId="0" xr:uid="{42E2D39F-8F4E-4759-BC83-CF285BB1D4FB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552" authorId="0" shapeId="0" xr:uid="{8C705162-DE9A-4474-B037-B46FBFBBC460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L554" authorId="0" shapeId="0" xr:uid="{B2864D33-DD4F-4BCD-B1BA-156AF29E4417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563" authorId="0" shapeId="0" xr:uid="{988E9547-2997-4CE1-AE6C-7155A2651576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F581" authorId="0" shapeId="0" xr:uid="{33F9DA5C-B307-4502-8ED4-5FF6616096D7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588" authorId="0" shapeId="0" xr:uid="{F9E6522E-BD33-4B8D-A265-9E23E8668DAA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F605" authorId="0" shapeId="0" xr:uid="{8D178B8C-F8A1-4C4A-AC29-AB0B1EE1BEA0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G605" authorId="0" shapeId="0" xr:uid="{66F74EE2-9CA0-4D46-85C0-923DB7EA56D6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631" authorId="0" shapeId="0" xr:uid="{AA00E477-743F-4D38-804D-EA84C9F6B6C6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F631" authorId="0" shapeId="0" xr:uid="{929323ED-AA97-44B1-8D12-8B499D63528E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643" authorId="0" shapeId="0" xr:uid="{6BF514D4-6D63-471F-8CCD-9C0CC76E45FF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F643" authorId="0" shapeId="0" xr:uid="{71FB3BAF-C11E-42AC-852D-CFA3134B2515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A811" authorId="0" shapeId="0" xr:uid="{ECFACD93-B9C8-4EF1-9E50-54AB99D1A98D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861" authorId="0" shapeId="0" xr:uid="{48BE4E17-E505-4C9C-85D2-B75418FD8AB1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B876" authorId="0" shapeId="0" xr:uid="{CFCFCBB0-68D9-4E2D-AA2D-C5E362F73C18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G962" authorId="0" shapeId="0" xr:uid="{4D5D8971-2119-4F0C-9E94-396EB068FC2A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B992" authorId="0" shapeId="0" xr:uid="{705F23A2-CC3D-4C4E-BD7F-9935DD171944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B993" authorId="0" shapeId="0" xr:uid="{BEBBD972-023B-425D-8B54-EDECA5FD69AE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G1047" authorId="0" shapeId="0" xr:uid="{9538638C-16A0-43EA-A50D-B8ADB006977D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G1075" authorId="0" shapeId="0" xr:uid="{22E1BD73-8D00-40CD-983B-AC0C68A5CB90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D1158" authorId="0" shapeId="0" xr:uid="{4EC371C3-074F-40EB-878B-6D94F40E855E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B1298" authorId="0" shapeId="0" xr:uid="{573BEAC2-FDB5-49D1-8E22-41F7DEA4345F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G1298" authorId="0" shapeId="0" xr:uid="{8DDC7CC7-BDBA-461C-8639-1F1E4BE61A1A}">
      <text>
        <r>
          <rPr>
            <sz val="10"/>
            <color rgb="FF000000"/>
            <rFont val="Aptos Narrow"/>
            <family val="2"/>
            <scheme val="minor"/>
          </rPr>
          <t>Responder updated this value.</t>
        </r>
      </text>
    </comment>
    <comment ref="F1376" authorId="0" shapeId="0" xr:uid="{1A30C822-582F-4AC8-BF44-A20D1D40A3E3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G1376" authorId="0" shapeId="0" xr:uid="{74D23F98-EDB6-4697-9A05-2036A7005EFC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G1385" authorId="0" shapeId="0" xr:uid="{188B09CF-2A21-43AA-B926-BB27D39CE7AB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1393" authorId="0" shapeId="0" xr:uid="{F4B20D53-5183-4D2F-B878-EA07E43808CE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1402" authorId="0" shapeId="0" xr:uid="{7CF407E3-5D04-4DFD-A55D-486B379B152E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1402" authorId="0" shapeId="0" xr:uid="{05727530-0264-4980-878A-A006250ECBEC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G1452" authorId="0" shapeId="0" xr:uid="{CD012C99-E1CE-4328-9499-F111B5EE18AA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B1630" authorId="0" shapeId="0" xr:uid="{DAA17D1F-8D38-4827-A627-AE68B2719339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D1732" authorId="0" shapeId="0" xr:uid="{211AAF9A-4AF7-46A5-A8C9-7BC9BB1F37D2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1776" authorId="0" shapeId="0" xr:uid="{A586BF7E-13A5-41FD-A482-B8E523606C61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B1823" authorId="0" shapeId="0" xr:uid="{FD0FE553-F205-479A-8EEE-8E0EAB669C01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  <comment ref="E1904" authorId="0" shapeId="0" xr:uid="{801F7396-B939-4CF3-9FE2-A0EB299AD362}">
      <text>
        <r>
          <rPr>
            <sz val="10"/>
            <color rgb="FF000000"/>
            <rFont val="Aptos Narrow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<sst xmlns="http://schemas.openxmlformats.org/spreadsheetml/2006/main" count="14220" uniqueCount="3899">
  <si>
    <t>Year of study (FY/SY/TY/LY)</t>
  </si>
  <si>
    <t>Branch</t>
  </si>
  <si>
    <t>Faculty mentor</t>
  </si>
  <si>
    <t>Internship topic / Project</t>
  </si>
  <si>
    <t>Start date (dd/mm/yyyy)</t>
  </si>
  <si>
    <t>End Date (dd/mm/yyyy)</t>
  </si>
  <si>
    <t>ODD / EVEN</t>
  </si>
  <si>
    <t>MONTHS</t>
  </si>
  <si>
    <t>YEAR</t>
  </si>
  <si>
    <t>TYPE</t>
  </si>
  <si>
    <t>Pranav Ahuja</t>
  </si>
  <si>
    <t>FY</t>
  </si>
  <si>
    <t>COMP</t>
  </si>
  <si>
    <t>Prof. Anjali Chachra and Prof Leena Sahu</t>
  </si>
  <si>
    <t>Flask Web App using Python</t>
  </si>
  <si>
    <t>2018 - 19</t>
  </si>
  <si>
    <t xml:space="preserve">In-house </t>
  </si>
  <si>
    <t>Tushar Bapecha</t>
  </si>
  <si>
    <t>Prof. Smita Sankhe, Prof. Vaibhav Vasani</t>
  </si>
  <si>
    <t>Collection of Agricultural Data Set (Phase 1)</t>
  </si>
  <si>
    <t>Saurav Joshi</t>
  </si>
  <si>
    <t>Jigyassa Lamba</t>
  </si>
  <si>
    <t>Prof. Purnima Ahirao</t>
  </si>
  <si>
    <t>Functions and file handling using C</t>
  </si>
  <si>
    <t>Vinit Mundra</t>
  </si>
  <si>
    <t>Prof. Vaibhav Vasani</t>
  </si>
  <si>
    <t>Feedback System (Web development)</t>
  </si>
  <si>
    <t>Sakshi Pandey</t>
  </si>
  <si>
    <t>Om Utpal Rawal</t>
  </si>
  <si>
    <t>Zalak Bhojani</t>
  </si>
  <si>
    <t>Prof. Anjali Chachra, Prof. Leena Sahu</t>
  </si>
  <si>
    <t>Akshit Shah</t>
  </si>
  <si>
    <t>Nishi Shah</t>
  </si>
  <si>
    <t>Prof. Yogita Borse, Prof. Dipti Patole</t>
  </si>
  <si>
    <t>Factorization using C</t>
  </si>
  <si>
    <t>Parth Shah</t>
  </si>
  <si>
    <t>Prof. Vaibhav Vasani, Prof. Pradnya Bhangale</t>
  </si>
  <si>
    <t>Benchmarking of hybrid databases for web development</t>
  </si>
  <si>
    <t>Shreyas More</t>
  </si>
  <si>
    <t>Shubh Shah</t>
  </si>
  <si>
    <t>Bhuvnesh Solanki</t>
  </si>
  <si>
    <t>Ramesh Krishnan</t>
  </si>
  <si>
    <t>Akshar Barchha</t>
  </si>
  <si>
    <t>Prof Kirankumari rao and Prof pooja Malhotra</t>
  </si>
  <si>
    <t>Machine Learning using python and jupytor notebook</t>
  </si>
  <si>
    <t>Anjali Gohil</t>
  </si>
  <si>
    <t>Prof. Anagha Raich,Prof. Vaibhav Chunekar</t>
  </si>
  <si>
    <t>Database Application using C++/MySQL</t>
  </si>
  <si>
    <t>Tejas Khanolkar</t>
  </si>
  <si>
    <t>Gaurav  Khatwani</t>
  </si>
  <si>
    <t>Debdatta Kundu</t>
  </si>
  <si>
    <t>Ritik Mody</t>
  </si>
  <si>
    <t>Ojasvi Naik</t>
  </si>
  <si>
    <t>Soumya Parekh</t>
  </si>
  <si>
    <t>Yash Satra</t>
  </si>
  <si>
    <t>Prof. Sunayana Jadhav</t>
  </si>
  <si>
    <t>Web Development Using Angular JS</t>
  </si>
  <si>
    <t>Sayani Maahey Noor Mohd Salim</t>
  </si>
  <si>
    <t>Devansh Shah</t>
  </si>
  <si>
    <t>Nishit Shah</t>
  </si>
  <si>
    <t>Shaikh Alfiza M Ashraf</t>
  </si>
  <si>
    <t>Rajat Sharma</t>
  </si>
  <si>
    <t>Nilay Sheth</t>
  </si>
  <si>
    <t>Riya Tasgaonkar</t>
  </si>
  <si>
    <t>Ankit Thakker</t>
  </si>
  <si>
    <t>Laksh B Kotian</t>
  </si>
  <si>
    <t>TY</t>
  </si>
  <si>
    <t>Vaibhav Narwane</t>
  </si>
  <si>
    <t>IOT</t>
  </si>
  <si>
    <t>Yash K Ramani</t>
  </si>
  <si>
    <t>LY</t>
  </si>
  <si>
    <t>Jagannath Nirmal</t>
  </si>
  <si>
    <t>Haria kunj Chetan</t>
  </si>
  <si>
    <t>Smita Sankhe</t>
  </si>
  <si>
    <t>Trainee</t>
  </si>
  <si>
    <t>Tanish Deepak Sehgal</t>
  </si>
  <si>
    <t>Bhojani Simith Jasmine</t>
  </si>
  <si>
    <t>Arghyadeep Das</t>
  </si>
  <si>
    <t>SY</t>
  </si>
  <si>
    <t>Diabetic Retinopathy Detection</t>
  </si>
  <si>
    <t>Sushant Gharal</t>
  </si>
  <si>
    <t>Nikhil Bhardwaj</t>
  </si>
  <si>
    <t>Dev Jayprakash Chaurasia</t>
  </si>
  <si>
    <t>Deep Learning Winter Intern (Work From Home)</t>
  </si>
  <si>
    <t>Saurabhkumar Ramvilas Tiwari</t>
  </si>
  <si>
    <t>Parthvi Nimish Mehta</t>
  </si>
  <si>
    <t>Nirmala Shinde</t>
  </si>
  <si>
    <t>SAHEB (Somaiya Admission Helper and Enquiry Bot)</t>
  </si>
  <si>
    <t>Neha Rama Kumar</t>
  </si>
  <si>
    <t>Devansh Solanki</t>
  </si>
  <si>
    <t>Yogita Borse , Deepti Patole</t>
  </si>
  <si>
    <t>Implement &amp; Deploy Family tree on Block Chain</t>
  </si>
  <si>
    <t>Mihir Shailesh Shah</t>
  </si>
  <si>
    <t>Priyam Shah</t>
  </si>
  <si>
    <t>Joel Marvin Tellis</t>
  </si>
  <si>
    <t>Prof. Jyoti Tryambake</t>
  </si>
  <si>
    <t>KJSCE Internship Portal</t>
  </si>
  <si>
    <t>Ronak Dinesh Vadhaiya</t>
  </si>
  <si>
    <t>Kunj Mehta</t>
  </si>
  <si>
    <t>Prof. Gopal Sonune</t>
  </si>
  <si>
    <t>Virtual Lab development using Java Script</t>
  </si>
  <si>
    <t>Avinash Shankar Bharadwaj</t>
  </si>
  <si>
    <t>Anjali Chaudhari</t>
  </si>
  <si>
    <t xml:space="preserve">Prof. Swapnil Pawar, Prof. Babaso Aldar, Dr. Manish Potey,  Dr. Deepak Sharma </t>
  </si>
  <si>
    <t>Career Advancement Scheme (CAS) and Self Appraisal Form</t>
  </si>
  <si>
    <t>Sharvai Patil</t>
  </si>
  <si>
    <t>Prof. Gopal Sonune, Prof. Rohini Nair, Prof. Poonam Bhogale</t>
  </si>
  <si>
    <t>RFID based payment system</t>
  </si>
  <si>
    <t>Mahek Kailash Shah</t>
  </si>
  <si>
    <t>Jaineel Shah</t>
  </si>
  <si>
    <t>Jyoti Mengade</t>
  </si>
  <si>
    <t>Prof. Archana Gupta and Prof. Shweta Chachra</t>
  </si>
  <si>
    <t>Faculty Development Centre (FDC)</t>
  </si>
  <si>
    <t>Dharmil Nagda</t>
  </si>
  <si>
    <t>Pratiksha Damodar Nikhare</t>
  </si>
  <si>
    <t>Ashar Brinda Sunil</t>
  </si>
  <si>
    <t>Prof. Babaso Aldar, Prof. Swapnil Pawar, Dr. Manish Potey, Dr. Deepak Sharma, Prof. Sagar Korde</t>
  </si>
  <si>
    <t xml:space="preserve">KJSCE Grievance Portal </t>
  </si>
  <si>
    <t>Prof. Zaheed Shaikh, Prof. Swati Mahajan</t>
  </si>
  <si>
    <t>Development of Virtual Lab</t>
  </si>
  <si>
    <t>Arvind Sridhar</t>
  </si>
  <si>
    <t>Prof. Mansi Kambli</t>
  </si>
  <si>
    <t>Research Internship</t>
  </si>
  <si>
    <t>Dev Chaurasia</t>
  </si>
  <si>
    <t>Sagar Dama</t>
  </si>
  <si>
    <t>Mayank Kakad</t>
  </si>
  <si>
    <t>Prof. Mahesh Warang</t>
  </si>
  <si>
    <t>E-yantra Robotics</t>
  </si>
  <si>
    <t>Priyanka Kalena</t>
  </si>
  <si>
    <t>Dr. Manish Potey</t>
  </si>
  <si>
    <t>Web Development for Departmental Record of student activities</t>
  </si>
  <si>
    <t>Shreya Varma</t>
  </si>
  <si>
    <t>Aromal Nair</t>
  </si>
  <si>
    <t>Aashay Shah</t>
  </si>
  <si>
    <t>Shivam Mishra</t>
  </si>
  <si>
    <t>Prof. Mansi Kambli and Prof Sushma S Kadge</t>
  </si>
  <si>
    <t>Mind Wave Automation</t>
  </si>
  <si>
    <t>Ruchi Bhatia</t>
  </si>
  <si>
    <t>Prof Bhakti Palkar</t>
  </si>
  <si>
    <t>Face Recognition</t>
  </si>
  <si>
    <t>Dhruvil Jhaveri</t>
  </si>
  <si>
    <t>Greeva Shah</t>
  </si>
  <si>
    <t>Dr. Prasanna Shete</t>
  </si>
  <si>
    <t>KJSCE Resource center for PwD students</t>
  </si>
  <si>
    <t>Aniket Patil</t>
  </si>
  <si>
    <t>Raj Vora</t>
  </si>
  <si>
    <t>Govinda Patel</t>
  </si>
  <si>
    <t>Prof. Mahesh Warang and Prof. Parul Sindhwad</t>
  </si>
  <si>
    <t>e-Yantra Robotics</t>
  </si>
  <si>
    <t>Heeral Dedhia</t>
  </si>
  <si>
    <t>Prof Mansi Kambli</t>
  </si>
  <si>
    <t>Mind wave automation</t>
  </si>
  <si>
    <t>Ojas Kapre</t>
  </si>
  <si>
    <t>Prof. Babaso Aldar, Prof. Swapnil Pawar</t>
  </si>
  <si>
    <t>Result Analysis System</t>
  </si>
  <si>
    <t>Harsh Patel</t>
  </si>
  <si>
    <t>Tanay Raul</t>
  </si>
  <si>
    <t>Murtaza Patrawala</t>
  </si>
  <si>
    <t>Abdullah Malek</t>
  </si>
  <si>
    <t>Prof. Smita Sankhe</t>
  </si>
  <si>
    <t>Virtual Lab for Analysis of Algorithm</t>
  </si>
  <si>
    <t>Sneh Chitalia</t>
  </si>
  <si>
    <t>Prof. Nirmala Shinde, Prof. Smita Sankhe</t>
  </si>
  <si>
    <t>Netra Ghaisas</t>
  </si>
  <si>
    <t>Prof. Nirmala Shinde, Prof. Babaso Aldar</t>
  </si>
  <si>
    <t>Faculty Documentation Portal</t>
  </si>
  <si>
    <t>Rahul Mistry</t>
  </si>
  <si>
    <t>Prof. Suchita Patil</t>
  </si>
  <si>
    <t>Minutes of Meeting Generator</t>
  </si>
  <si>
    <t>Manvi Shah</t>
  </si>
  <si>
    <t>Prof. Babaso Aldar</t>
  </si>
  <si>
    <t>Faculty Feedback System</t>
  </si>
  <si>
    <t>Prachit Mhalgi</t>
  </si>
  <si>
    <t>Gayatri Srinivasan</t>
  </si>
  <si>
    <t>Girish Thatte</t>
  </si>
  <si>
    <t>Advance timetable generator</t>
  </si>
  <si>
    <t>Yash Gulab Rathod</t>
  </si>
  <si>
    <t>Audit Course (Web development)</t>
  </si>
  <si>
    <t>Umang Savla</t>
  </si>
  <si>
    <t>Prithvi Shah</t>
  </si>
  <si>
    <t>Kevin Shah</t>
  </si>
  <si>
    <t>Vidya Makwana</t>
  </si>
  <si>
    <t>Prof. Deepti Patole, Prof. Kirti Sawlani, Prof. Purnima Ahirao</t>
  </si>
  <si>
    <t>Plant disease diagnosis using deep learning</t>
  </si>
  <si>
    <t>Mayank Patel</t>
  </si>
  <si>
    <t>Avi Jain</t>
  </si>
  <si>
    <t>Krunal Dabhi</t>
  </si>
  <si>
    <t>Sanket Sahasrabudhe</t>
  </si>
  <si>
    <t>Dhruv Desai</t>
  </si>
  <si>
    <t>Text to Braille Windows Application</t>
  </si>
  <si>
    <t>Ayush Suri</t>
  </si>
  <si>
    <t>Prof. Swapnil Pawar</t>
  </si>
  <si>
    <t>Penniless / Food NGO Application</t>
  </si>
  <si>
    <t>Nishchith Shetty</t>
  </si>
  <si>
    <t>Prof. Smita S Sankhe and Prof. Pradnya Gotmare</t>
  </si>
  <si>
    <t>AGRI-IOT</t>
  </si>
  <si>
    <t>Neel Shah</t>
  </si>
  <si>
    <t>Shivam Pawase</t>
  </si>
  <si>
    <t>Chirag Shetty</t>
  </si>
  <si>
    <t>Simran Koul</t>
  </si>
  <si>
    <t>Atharva Gole</t>
  </si>
  <si>
    <t>Dr. Jyoti Joglekar</t>
  </si>
  <si>
    <t>Efficient classification of pixel of image for agricultural application</t>
  </si>
  <si>
    <t>Chaitravi More</t>
  </si>
  <si>
    <t>Harsh Jitesh Palan</t>
  </si>
  <si>
    <t>Raj Anant Tapase</t>
  </si>
  <si>
    <t>Chinmay Kamerkar</t>
  </si>
  <si>
    <t>Parth Prakash Shah</t>
  </si>
  <si>
    <t xml:space="preserve">Grusha Dharod </t>
  </si>
  <si>
    <t>Amisha Waghela</t>
  </si>
  <si>
    <t>Simith Bhojani</t>
  </si>
  <si>
    <t>Chirag Avinash Shetty</t>
  </si>
  <si>
    <t xml:space="preserve">Shivam Pawase </t>
  </si>
  <si>
    <t xml:space="preserve">Sneh Chitalia </t>
  </si>
  <si>
    <t>Shamilee Peruvaludhi</t>
  </si>
  <si>
    <t>Darshee Machhar</t>
  </si>
  <si>
    <t>Shivanee Jaiswal</t>
  </si>
  <si>
    <t>Nishit Patel</t>
  </si>
  <si>
    <t>Divya Vinay Khetan</t>
  </si>
  <si>
    <t>Prafful Javare</t>
  </si>
  <si>
    <t>Nisarg K Shah</t>
  </si>
  <si>
    <t>Jay Gala</t>
  </si>
  <si>
    <t>Pravar Unmesh Parekh</t>
  </si>
  <si>
    <t>Netra Ninad Ghaisas</t>
  </si>
  <si>
    <t>Bhagyashree Dilip Phadnis</t>
  </si>
  <si>
    <t>Tanish Sehgal</t>
  </si>
  <si>
    <t>Pearl Kotak</t>
  </si>
  <si>
    <t>Aditi Avinash Bhagwat</t>
  </si>
  <si>
    <t>Athmika Hebbar</t>
  </si>
  <si>
    <t>Kunj Haria</t>
  </si>
  <si>
    <t>Ronak Vadhaiya</t>
  </si>
  <si>
    <t>Jugal Chauhan</t>
  </si>
  <si>
    <t>Yash Gupte</t>
  </si>
  <si>
    <t>Debabrata Dash</t>
  </si>
  <si>
    <t>Narayan Ghogale</t>
  </si>
  <si>
    <t>Bhavini Mamtora</t>
  </si>
  <si>
    <t>Vignesh Raman</t>
  </si>
  <si>
    <t>Naman Shah</t>
  </si>
  <si>
    <t>Bhavin Chauhan</t>
  </si>
  <si>
    <t>Laksh Kotian</t>
  </si>
  <si>
    <t>Hiral Sheth</t>
  </si>
  <si>
    <t>Parthvi Mehta</t>
  </si>
  <si>
    <t>J. Aditya Kaushik</t>
  </si>
  <si>
    <t>Krupen Shah</t>
  </si>
  <si>
    <t>Aditya Sehgal</t>
  </si>
  <si>
    <t>Harsh Somaiya</t>
  </si>
  <si>
    <t>Smit Vora</t>
  </si>
  <si>
    <t>Dikshita Jain</t>
  </si>
  <si>
    <t>Amanbeer Khanduja</t>
  </si>
  <si>
    <t>Aditya Prajapati</t>
  </si>
  <si>
    <t>Vidhi Shah</t>
  </si>
  <si>
    <t>Akshay Padte</t>
  </si>
  <si>
    <t>stipend</t>
  </si>
  <si>
    <t>BARC</t>
  </si>
  <si>
    <t>EVEN</t>
  </si>
  <si>
    <t>National Informatics Centre (NIC)</t>
  </si>
  <si>
    <t>Project Trainee</t>
  </si>
  <si>
    <t xml:space="preserve">BARC </t>
  </si>
  <si>
    <t>Neebal Technologies Pvt. Ltd.</t>
  </si>
  <si>
    <t>Intern</t>
  </si>
  <si>
    <t>-</t>
  </si>
  <si>
    <t>Huntsends Hiring</t>
  </si>
  <si>
    <t>Content Writing</t>
  </si>
  <si>
    <t>DHFL General Insuranc</t>
  </si>
  <si>
    <t>Project in Digi-tech Space</t>
  </si>
  <si>
    <t>TIAA Global Business Services</t>
  </si>
  <si>
    <t>Colgate  Global Business Services</t>
  </si>
  <si>
    <t>Tata IQ</t>
  </si>
  <si>
    <t>Data Analysis</t>
  </si>
  <si>
    <t>NetMeds</t>
  </si>
  <si>
    <t>Prime Focus Technologies</t>
  </si>
  <si>
    <t>intern</t>
  </si>
  <si>
    <t>Indian Rare Earths Ltd(IREL)</t>
  </si>
  <si>
    <t>Dheeti Technologies</t>
  </si>
  <si>
    <t>Software Engineer Intern(work from home)</t>
  </si>
  <si>
    <t>TIAA(Teacher's Insurance Anumuty Association of America)</t>
  </si>
  <si>
    <t>PlayerzPot Media Pvt. Ltd.</t>
  </si>
  <si>
    <t>Web Developer</t>
  </si>
  <si>
    <t>Rashtriya Chemical and Fertilizers Ltd.</t>
  </si>
  <si>
    <t>Larson And Toubro Ltd.</t>
  </si>
  <si>
    <t>Technology and Production Development</t>
  </si>
  <si>
    <t>Legato Sumcircle Technologies Pvt. Ltd.</t>
  </si>
  <si>
    <t>Web and App Developer</t>
  </si>
  <si>
    <t>Bakbuck (Khichdi Technologies Pvt. Ltd)</t>
  </si>
  <si>
    <t xml:space="preserve">Backend Developer </t>
  </si>
  <si>
    <t>Capgemini</t>
  </si>
  <si>
    <t>Project Intern</t>
  </si>
  <si>
    <t>LIDO Learning</t>
  </si>
  <si>
    <t>Radness Tech</t>
  </si>
  <si>
    <t>Android Developer</t>
  </si>
  <si>
    <t>Prism Johnson Ltd</t>
  </si>
  <si>
    <t>IT SAP</t>
  </si>
  <si>
    <t>Digichefs</t>
  </si>
  <si>
    <t>SIMSR</t>
  </si>
  <si>
    <t>Front End Developer</t>
  </si>
  <si>
    <t>Pixolo productions</t>
  </si>
  <si>
    <t>App / Web development</t>
  </si>
  <si>
    <t>Ravin Infra project pvt ltd</t>
  </si>
  <si>
    <t>Computer Programming</t>
  </si>
  <si>
    <t>iDeas - a SAS company</t>
  </si>
  <si>
    <t>Trainee Engieer</t>
  </si>
  <si>
    <t>Airpix Devices</t>
  </si>
  <si>
    <t>App buidling &amp; research internship</t>
  </si>
  <si>
    <t>Samyak Software</t>
  </si>
  <si>
    <t>Webapp development</t>
  </si>
  <si>
    <t>G-ordinateur Pvt Ltd</t>
  </si>
  <si>
    <t>App Development</t>
  </si>
  <si>
    <t>Reliance Jio Infocomm</t>
  </si>
  <si>
    <t>Developer Intern</t>
  </si>
  <si>
    <t xml:space="preserve">Trunkoz </t>
  </si>
  <si>
    <t>Software developer</t>
  </si>
  <si>
    <t>Elo Infotech</t>
  </si>
  <si>
    <t>Aakash Saroop</t>
  </si>
  <si>
    <t>Abdeali Arsiwala</t>
  </si>
  <si>
    <t>Abdul Quadir Mohd Akhtar Ansari</t>
  </si>
  <si>
    <t>ABHISHEK SUDHIR</t>
  </si>
  <si>
    <t>Aditi Paretkar</t>
  </si>
  <si>
    <t>Akshat Gandhi</t>
  </si>
  <si>
    <t>Aman Nilesh Desai</t>
  </si>
  <si>
    <t>Amogh Bhagwan Sinkar</t>
  </si>
  <si>
    <t>Aniket Bhosale</t>
  </si>
  <si>
    <t>Aniket Joshi</t>
  </si>
  <si>
    <t>Arjun Sehgal</t>
  </si>
  <si>
    <t xml:space="preserve">Bishandeep Arora </t>
  </si>
  <si>
    <t>Dale Vailankanni Alphonso</t>
  </si>
  <si>
    <t>Debdetta Kundu</t>
  </si>
  <si>
    <t xml:space="preserve">Deepanshu Deepak Vangani </t>
  </si>
  <si>
    <t>Deepanshu Vangani</t>
  </si>
  <si>
    <t>Disha Shah</t>
  </si>
  <si>
    <t>Hansi Sanghani</t>
  </si>
  <si>
    <t>Harsh Gokhru</t>
  </si>
  <si>
    <t>Harsh Gupta</t>
  </si>
  <si>
    <t>Harsh Vinod Gupta</t>
  </si>
  <si>
    <t>Harshavardhan Talele</t>
  </si>
  <si>
    <t>Harshil Patel</t>
  </si>
  <si>
    <t>Himali Saini</t>
  </si>
  <si>
    <t>Hrushikesh Nimit Kansagara</t>
  </si>
  <si>
    <t>Hrushikesh NImit Kansagara</t>
  </si>
  <si>
    <t>Idrees Barnagarwala</t>
  </si>
  <si>
    <t>Isha Dhabalia</t>
  </si>
  <si>
    <t>Jash Jayant Shah</t>
  </si>
  <si>
    <t>Jigar Joshi</t>
  </si>
  <si>
    <t>Jinit Punamiya</t>
  </si>
  <si>
    <t>JUGAL CHAUHAN</t>
  </si>
  <si>
    <t>Kanksha Pandey</t>
  </si>
  <si>
    <t>Karan Bhanushali</t>
  </si>
  <si>
    <t>Karthik Jaishankar</t>
  </si>
  <si>
    <t>Krish Parekh</t>
  </si>
  <si>
    <t>Kunal Sonawane</t>
  </si>
  <si>
    <t>Mihir Dhirajlal Satra</t>
  </si>
  <si>
    <t>Mohammad Athania</t>
  </si>
  <si>
    <t>Mohammed Ali Solanki</t>
  </si>
  <si>
    <t>Mohsin Shaikh</t>
  </si>
  <si>
    <t>Naman Doshi</t>
  </si>
  <si>
    <t>Niyati</t>
  </si>
  <si>
    <t>Ojas Kulkarni</t>
  </si>
  <si>
    <t>Parth Sheth</t>
  </si>
  <si>
    <t>Prachi D. Randeria</t>
  </si>
  <si>
    <t>Prachi Pradhan</t>
  </si>
  <si>
    <t>Pramit Shetty</t>
  </si>
  <si>
    <t>Rahil Parikh</t>
  </si>
  <si>
    <t>Rishabh Kothari</t>
  </si>
  <si>
    <t>Rugved Prashant Bongale</t>
  </si>
  <si>
    <t>Rushabh Dharmesh Gandhi</t>
  </si>
  <si>
    <t>Sakshi Shelar</t>
  </si>
  <si>
    <t>Samiksha Gupta</t>
  </si>
  <si>
    <t>Sandhya Pachupate</t>
  </si>
  <si>
    <t>Sanket Sunil Sahasrabudhe</t>
  </si>
  <si>
    <t>Sanyam Vipul Savla</t>
  </si>
  <si>
    <t>Sarvesh Rajesh Bangad</t>
  </si>
  <si>
    <t>Saurabh Rohit Shetty</t>
  </si>
  <si>
    <t>Shaivi Ajay Ganatra</t>
  </si>
  <si>
    <t>Shashan Kaushik Parekh</t>
  </si>
  <si>
    <t>Shivani Kaul</t>
  </si>
  <si>
    <t>Smit Deepak Shah</t>
  </si>
  <si>
    <t>Talha Chafekar</t>
  </si>
  <si>
    <t>Tirth Hitesh Shah</t>
  </si>
  <si>
    <t>Tirth Shah</t>
  </si>
  <si>
    <t>Tushar Mahesh Bapecha</t>
  </si>
  <si>
    <t>Tushar Sarkar</t>
  </si>
  <si>
    <t>Urvi Bheda</t>
  </si>
  <si>
    <t>Vignesh Sunder Raman</t>
  </si>
  <si>
    <t>Yash Tandon</t>
  </si>
  <si>
    <t>Zenil Haria</t>
  </si>
  <si>
    <t>Intellify</t>
  </si>
  <si>
    <t>Subject Matter Expert</t>
  </si>
  <si>
    <t>CPP Secrets</t>
  </si>
  <si>
    <t>Python Development Intern</t>
  </si>
  <si>
    <t>Arcon Tech Solution</t>
  </si>
  <si>
    <t>Software Development Intern</t>
  </si>
  <si>
    <t>KiwisMedia</t>
  </si>
  <si>
    <t>Web Development intern</t>
  </si>
  <si>
    <t>MyDigiSpace</t>
  </si>
  <si>
    <t>Web Development Intern</t>
  </si>
  <si>
    <t>Dezignolics pvt. Ltd.</t>
  </si>
  <si>
    <t>Data Analytics</t>
  </si>
  <si>
    <t>Placement Assistant</t>
  </si>
  <si>
    <t>PSYBER</t>
  </si>
  <si>
    <t>Flutter development</t>
  </si>
  <si>
    <t>Muskurahat Foundation</t>
  </si>
  <si>
    <t>Fundraising for education of underprivileged children of the country</t>
  </si>
  <si>
    <t>Three Millennials</t>
  </si>
  <si>
    <t>Android Game Content Creator</t>
  </si>
  <si>
    <t>MilkieWay, Inc.</t>
  </si>
  <si>
    <t>Backend Development Intern</t>
  </si>
  <si>
    <t>Microsoft R&amp;D</t>
  </si>
  <si>
    <t>Software Engineering Intern</t>
  </si>
  <si>
    <t>CafeRT OTT pvt ltd</t>
  </si>
  <si>
    <t>Web Development</t>
  </si>
  <si>
    <t>AIQUEST Solutions, Navi Mumbai</t>
  </si>
  <si>
    <t>NJ Media House Pvt Ltd</t>
  </si>
  <si>
    <t>TCS iON, Faculty: Prasadini Padwal</t>
  </si>
  <si>
    <t>Automate detection of different sentiments from paragraphs and predict overall sentiment</t>
  </si>
  <si>
    <t>Bannet University</t>
  </si>
  <si>
    <t>Enactus Somaiya Social Cell, K. J. SIMSR</t>
  </si>
  <si>
    <t>Trivia Software's</t>
  </si>
  <si>
    <t>Management System Design Project</t>
  </si>
  <si>
    <t>Bharat Petroleum Corporation Limited</t>
  </si>
  <si>
    <t>Predicting furnace COT in CDU by ML and Video Content Analysis</t>
  </si>
  <si>
    <t>ARCON TechSolutions Pvt. Ltd.</t>
  </si>
  <si>
    <t>Software Developer</t>
  </si>
  <si>
    <t>Amrut Software Pvt. Ltd., Chembur</t>
  </si>
  <si>
    <t>BillMe JHKP Techonologies Pvt. Ltd., Navi Mumbai</t>
  </si>
  <si>
    <t>H&amp;M Designs Inc</t>
  </si>
  <si>
    <t>H&amp;M designs ecommerce website and app development</t>
  </si>
  <si>
    <t>Quantica education and management services</t>
  </si>
  <si>
    <t>Content development/Content writing</t>
  </si>
  <si>
    <t>Brontoo Technlogy Solutions India Pvt Ltd</t>
  </si>
  <si>
    <t>Selenium Automation using Python</t>
  </si>
  <si>
    <t>CafeRt Pvt Ltd</t>
  </si>
  <si>
    <t>Brontoo Technology Solutions India Private Limited</t>
  </si>
  <si>
    <t>Cafe RT pvt ltd</t>
  </si>
  <si>
    <t>Development of OTT platform</t>
  </si>
  <si>
    <t>Triceria Solutions</t>
  </si>
  <si>
    <t>MERN Developer</t>
  </si>
  <si>
    <t>Mobileum Technologies Pvt Ltd</t>
  </si>
  <si>
    <t>NTR UploadUtility</t>
  </si>
  <si>
    <t>Kazra Technologies</t>
  </si>
  <si>
    <t>Web scraper / Crawler and PDF parser</t>
  </si>
  <si>
    <t>APLI AILab PVT LTD</t>
  </si>
  <si>
    <t>Flutter Developer and App Team Leader</t>
  </si>
  <si>
    <t>billme</t>
  </si>
  <si>
    <t>Advertisement API for Google, Snapchat, Tik Tok</t>
  </si>
  <si>
    <t>Sahu Technologies</t>
  </si>
  <si>
    <t>Web development and Digital Marketing</t>
  </si>
  <si>
    <t>Technical subject expert for Apache Hadoop</t>
  </si>
  <si>
    <t>JP Morgan Chase &amp; Co. from insidesherpa.com</t>
  </si>
  <si>
    <t>Software Engineering Virtual Experience</t>
  </si>
  <si>
    <t>Dcodetech and Dezignolics</t>
  </si>
  <si>
    <t>Python basics and Data Analytics</t>
  </si>
  <si>
    <t>SEMSI</t>
  </si>
  <si>
    <t>Software Intern and Technology Consultant</t>
  </si>
  <si>
    <t>Kohli Media LLP</t>
  </si>
  <si>
    <t>Café RT pvt ltd.</t>
  </si>
  <si>
    <t>Café RT: India’s first OTT education platform (Android application)</t>
  </si>
  <si>
    <t>Hare Krishna Pvt Ltd</t>
  </si>
  <si>
    <t>Business Development and Sales</t>
  </si>
  <si>
    <t>Diyar United Trad. &amp; Cont. Co., Kuwait</t>
  </si>
  <si>
    <t>Bachpan Banao</t>
  </si>
  <si>
    <t>Content Development Internship</t>
  </si>
  <si>
    <t>Junkminds</t>
  </si>
  <si>
    <t>Content Generating</t>
  </si>
  <si>
    <t>Trivia Software’s</t>
  </si>
  <si>
    <t>Python 3.x related technologies - Management System Design Project</t>
  </si>
  <si>
    <t>Cyberace</t>
  </si>
  <si>
    <t>Property Analysis</t>
  </si>
  <si>
    <t>Cloud Counselage</t>
  </si>
  <si>
    <t>Python Technical Intern / Web Scraping</t>
  </si>
  <si>
    <t>Tensormatics</t>
  </si>
  <si>
    <t>Data Science Intern</t>
  </si>
  <si>
    <t>Alhansat Technologies</t>
  </si>
  <si>
    <t>Python developer</t>
  </si>
  <si>
    <t>Rotaract Club of Deonar</t>
  </si>
  <si>
    <t>Tata Institute of Fandamental Research, Mumbai</t>
  </si>
  <si>
    <t>Orbit Info Sytems</t>
  </si>
  <si>
    <t>Assistant cloud administrator</t>
  </si>
  <si>
    <t>Data science project</t>
  </si>
  <si>
    <t>Vidyalankar Consultancy Services</t>
  </si>
  <si>
    <t>Data science &amp; visualization using Python</t>
  </si>
  <si>
    <t>Prof. Sonali Senapati</t>
  </si>
  <si>
    <t>Enactus</t>
  </si>
  <si>
    <t>Arcon Tech Solutions</t>
  </si>
  <si>
    <t>GRT Global Logistics Pvt. Ltd.</t>
  </si>
  <si>
    <t>Software Testing</t>
  </si>
  <si>
    <t>Dzegnolics Company</t>
  </si>
  <si>
    <t>Data Anaalytics</t>
  </si>
  <si>
    <t>Washino Startup</t>
  </si>
  <si>
    <t>KJSCE Robocon</t>
  </si>
  <si>
    <t>OCR using Image Processing - OpenCV</t>
  </si>
  <si>
    <t>CodeNicely Software Company</t>
  </si>
  <si>
    <t>Social Media Marketing</t>
  </si>
  <si>
    <t>Verzeo</t>
  </si>
  <si>
    <t>Artificial Intelligence</t>
  </si>
  <si>
    <t>Dezignolics Company</t>
  </si>
  <si>
    <t>Data-Analytics</t>
  </si>
  <si>
    <t>Android App Development</t>
  </si>
  <si>
    <t>International Model United Nations</t>
  </si>
  <si>
    <t>Campus Ambassador</t>
  </si>
  <si>
    <t>Gurugram Police Cybersecurity Summer Internship</t>
  </si>
  <si>
    <t>Cybersecurity Summer Intern</t>
  </si>
  <si>
    <t>Innokrit Inventions</t>
  </si>
  <si>
    <t>Computer Vision Developer</t>
  </si>
  <si>
    <t>CardInbox Technologies Pvt Ltd</t>
  </si>
  <si>
    <t>Data Science and Analysis Intern</t>
  </si>
  <si>
    <t>Eat English Company</t>
  </si>
  <si>
    <t>Chattary Ajwan Infotech Pvt. Ltd., Ahamedabad</t>
  </si>
  <si>
    <t>Trivia Softwares</t>
  </si>
  <si>
    <t>Python Project Intern</t>
  </si>
  <si>
    <t>Project intern</t>
  </si>
  <si>
    <t>OsmosisLearn Private Limited</t>
  </si>
  <si>
    <t>technology analyst - backend development intern</t>
  </si>
  <si>
    <t>Three Millenials</t>
  </si>
  <si>
    <t>Course Content creation for fundamentals in Machine Learning</t>
  </si>
  <si>
    <t>Webtantra LLP</t>
  </si>
  <si>
    <t>React Native Developer Intern</t>
  </si>
  <si>
    <t>REESS GmbH</t>
  </si>
  <si>
    <t>Vim Analyse</t>
  </si>
  <si>
    <t>CafeRT pvt ltd</t>
  </si>
  <si>
    <t>IDOS Consultants LLP, Rabale</t>
  </si>
  <si>
    <t>Auto-detailing industry</t>
  </si>
  <si>
    <t>Database research intern</t>
  </si>
  <si>
    <t>Colgate-Palmolive</t>
  </si>
  <si>
    <t>Mobile Application Developer Intern</t>
  </si>
  <si>
    <t>KEEEL</t>
  </si>
  <si>
    <t>KEEEL - The Learning App</t>
  </si>
  <si>
    <t>Tarun Engineering works</t>
  </si>
  <si>
    <t>ARCON Techsolutions Pvt. Ltd.</t>
  </si>
  <si>
    <t>Bajugali</t>
  </si>
  <si>
    <t>Marketing and Sales</t>
  </si>
  <si>
    <t>Technical Content Developer</t>
  </si>
  <si>
    <t>Dezignolics Web and Software Solutions</t>
  </si>
  <si>
    <t>S Cube Technology Services Pvt. Ltd</t>
  </si>
  <si>
    <t>Web Development with JSP and Spring Boot framework</t>
  </si>
  <si>
    <t>Web and App developer Intern</t>
  </si>
  <si>
    <t>Predicting Furnace COT in CDU by Machine Learning and Video Content Analysis</t>
  </si>
  <si>
    <t>Cine Caper Private Limited</t>
  </si>
  <si>
    <t>Hicool Fans</t>
  </si>
  <si>
    <t>Filtering Database According to User</t>
  </si>
  <si>
    <t>Hamari Pahchan NGO</t>
  </si>
  <si>
    <t>Social Media Marketing, Fundraising</t>
  </si>
  <si>
    <t>QDS Pro</t>
  </si>
  <si>
    <t>NorthStar Innovations LLP</t>
  </si>
  <si>
    <t>Application Developer</t>
  </si>
  <si>
    <t>Datagrid Solutions, Andheri East</t>
  </si>
  <si>
    <t>Web Apps with Django</t>
  </si>
  <si>
    <t>Cognext Analytics</t>
  </si>
  <si>
    <t>Ayu Devices Pvt. Ltd.</t>
  </si>
  <si>
    <t>Bharat Petroleum Corporation Ltd.</t>
  </si>
  <si>
    <t>Arcon TechSolutions</t>
  </si>
  <si>
    <t>JordIndian</t>
  </si>
  <si>
    <t>Spark AR Developer</t>
  </si>
  <si>
    <t>Levyne, Mumbai</t>
  </si>
  <si>
    <t>Backend Developer</t>
  </si>
  <si>
    <t>Youth India Foundation</t>
  </si>
  <si>
    <t>Web developer for E-commerce Website</t>
  </si>
  <si>
    <t>Barclays</t>
  </si>
  <si>
    <t>Graduate Intern</t>
  </si>
  <si>
    <t>Jordindian</t>
  </si>
  <si>
    <t>Web Development and App Development</t>
  </si>
  <si>
    <t>Morgan Stanley</t>
  </si>
  <si>
    <t>Proof of Concept on Rule Engines</t>
  </si>
  <si>
    <t>Stalgia Grigg</t>
  </si>
  <si>
    <t>Extending p5.js Friendly Error System</t>
  </si>
  <si>
    <t>2019 - 20</t>
  </si>
  <si>
    <t>Gagandeep Uppal</t>
  </si>
  <si>
    <t>SAC - ISRO</t>
  </si>
  <si>
    <t>ODD</t>
  </si>
  <si>
    <t>DEC - JAN</t>
  </si>
  <si>
    <t>Aashish Ramrakhiani</t>
  </si>
  <si>
    <t>Rutwij Sahjay Daptardar</t>
  </si>
  <si>
    <t>Reliance Jio</t>
  </si>
  <si>
    <t>kaushal Ramesh Yadav</t>
  </si>
  <si>
    <t>Larsen &amp; Toubro</t>
  </si>
  <si>
    <t>Ashna Jinesh Shah</t>
  </si>
  <si>
    <t>Service4Startup</t>
  </si>
  <si>
    <t>DEC - FEB</t>
  </si>
  <si>
    <t>Aysuh Suri</t>
  </si>
  <si>
    <t>Big data analyst</t>
  </si>
  <si>
    <t>JAN - JAN</t>
  </si>
  <si>
    <t>Jyoti D Mengade</t>
  </si>
  <si>
    <t>Image Processing</t>
  </si>
  <si>
    <t>Rebecca Biju</t>
  </si>
  <si>
    <t>Manifest Solution</t>
  </si>
  <si>
    <t>Neha Pradeep Patil</t>
  </si>
  <si>
    <t>Harsh J Palan</t>
  </si>
  <si>
    <t>Bolt IoT</t>
  </si>
  <si>
    <t>Student Partner</t>
  </si>
  <si>
    <t>DEC - MARCH</t>
  </si>
  <si>
    <t>Parth Ramesh Sheth</t>
  </si>
  <si>
    <t>Awign Enterprises</t>
  </si>
  <si>
    <t>Customer Aquisition</t>
  </si>
  <si>
    <t>NOV - JAN</t>
  </si>
  <si>
    <t>Talha Mohammed Zakir Chafekar</t>
  </si>
  <si>
    <t>Dr. Ninad Mehendale</t>
  </si>
  <si>
    <t>Chest X-ray Classification using Deep Learning for automated COVID-19 screening</t>
  </si>
  <si>
    <t>17-06-2020</t>
  </si>
  <si>
    <t>29-07-2020</t>
  </si>
  <si>
    <t>Urmil Jatin Chandarana</t>
  </si>
  <si>
    <t>Prof. Pradnya Gotmare</t>
  </si>
  <si>
    <t>Text Analytics</t>
  </si>
  <si>
    <t>30-05-2020</t>
  </si>
  <si>
    <t>30-06-2020</t>
  </si>
  <si>
    <t>Aafiya Shamshad Hussain</t>
  </si>
  <si>
    <t>Chest X-ray classification using Deep learning for automated COVID-19 screening</t>
  </si>
  <si>
    <t>Ansh Jain</t>
  </si>
  <si>
    <t>Vaibhav Vasani</t>
  </si>
  <si>
    <t>Reminder System</t>
  </si>
  <si>
    <t>Prof. Vaibav Vasani</t>
  </si>
  <si>
    <t>Saurav Yogen Joshi</t>
  </si>
  <si>
    <t>Prof. Jyothi Rao,Prof. Ujwala Bhangale</t>
  </si>
  <si>
    <t>GIS Framework for Sinnar Taluka Transportation Anaylsis</t>
  </si>
  <si>
    <t>Aaditya Rajesh Mahadevan</t>
  </si>
  <si>
    <t>Jyothi Rao</t>
  </si>
  <si>
    <t>GIS framework for Sinnar Taluka Transportation Analysis</t>
  </si>
  <si>
    <t>DHAIRYA ASHWIN MEHTA</t>
  </si>
  <si>
    <t>Prof.Bhakti Palkar</t>
  </si>
  <si>
    <t>Internship:OCR using Image Processing - Open CV Project:Photo Mosaic App</t>
  </si>
  <si>
    <t>14-07-2020</t>
  </si>
  <si>
    <t>Krish Sameer Parekh</t>
  </si>
  <si>
    <t>Prof. Sagar Korde</t>
  </si>
  <si>
    <t>BloomBox</t>
  </si>
  <si>
    <t>Prof. Smita Sankhe , Prof. Nirmala Shinde, Prof. Babaso Aldar</t>
  </si>
  <si>
    <t>Somaiya Conversational Chatbot Internship</t>
  </si>
  <si>
    <t>Vatsal Pathak</t>
  </si>
  <si>
    <t>Dr Jyoti Joglekar</t>
  </si>
  <si>
    <t>Studies and hands-on, on high performance computing for image analytics applications</t>
  </si>
  <si>
    <t>15-05-2020</t>
  </si>
  <si>
    <t>31-07-2020</t>
  </si>
  <si>
    <t>Anina Pillai</t>
  </si>
  <si>
    <t>Prof. Jyothi Rao, Prof. Ujwala Bhangale</t>
  </si>
  <si>
    <t>GIS Framework for Sinnar Taluka Transportation Analysis</t>
  </si>
  <si>
    <t>Tarush Rajput</t>
  </si>
  <si>
    <t>Prof. Jyothi Rao Prof. Ujwala Bhangale</t>
  </si>
  <si>
    <t>GIS FRAMEWORK FOR SINNAR TALUKA TRANSPORTATION</t>
  </si>
  <si>
    <t>Prof. Bhakti Palkar</t>
  </si>
  <si>
    <t>Handwritten digit recognition Game in Python using Deep Learning (Tensorflow and Keras)'and internship project on ' Navigation Control Using Finger Count '.</t>
  </si>
  <si>
    <t>31-05-2020</t>
  </si>
  <si>
    <t>Sanmit Sahu</t>
  </si>
  <si>
    <t xml:space="preserve">Akshit Shah </t>
  </si>
  <si>
    <t>Kartik Bhadesiya</t>
  </si>
  <si>
    <t>Robocon</t>
  </si>
  <si>
    <t>Sanika Bagwe</t>
  </si>
  <si>
    <t>Nurturing Lives, Dhruman Gohil</t>
  </si>
  <si>
    <t>Dr. NINAD MEHENDALE</t>
  </si>
  <si>
    <t>COVID-19 internship</t>
  </si>
  <si>
    <t>18-06-2020</t>
  </si>
  <si>
    <t>27-07-2020</t>
  </si>
  <si>
    <t>Nirmala Shinde, Pradnya Bhangale, Babaso Aldar</t>
  </si>
  <si>
    <t>Faculty documentation portal</t>
  </si>
  <si>
    <t>Ninad Mehendale</t>
  </si>
  <si>
    <t>Optical character recognition using deep learning techniques for printed and handwritten documents</t>
  </si>
  <si>
    <t>Mahesh Warang</t>
  </si>
  <si>
    <t>COVID-19 Research - Apply OCR on a handwritten text by the doctor and generate Database using IP and ML</t>
  </si>
  <si>
    <t>Dr. Rupali Patil</t>
  </si>
  <si>
    <t>Viraj Doshi</t>
  </si>
  <si>
    <t>Rajan Dinesh Gaul</t>
  </si>
  <si>
    <t>High Performance Computing And Its Use In Image Analytics.</t>
  </si>
  <si>
    <t>Vartika Gupta</t>
  </si>
  <si>
    <t>Professor Sagar Korde, Professor Inderjit Singh Dhanjal</t>
  </si>
  <si>
    <t>Bloombox, Ecell of KJSCE</t>
  </si>
  <si>
    <t>Jainam Dhiren Shah</t>
  </si>
  <si>
    <t>Prof. Pradnya S. Gotmare</t>
  </si>
  <si>
    <t>Interface Design Ato Accept Marathi Font / Devnagari</t>
  </si>
  <si>
    <t>Jainam Shah</t>
  </si>
  <si>
    <t>Dr.Rupali Patil</t>
  </si>
  <si>
    <t>Covid-19 research project</t>
  </si>
  <si>
    <t>18-05-2020</t>
  </si>
  <si>
    <t>Fake Profile detection on Matrimonial Sites using Machine Learning</t>
  </si>
  <si>
    <t>18-04-2020</t>
  </si>
  <si>
    <t>16-05-2020</t>
  </si>
  <si>
    <t>Gaurav Khatwani</t>
  </si>
  <si>
    <t>Dr. Ninad Mehendale and Dr. Rupali Patil</t>
  </si>
  <si>
    <t>COVID-19 Project: Extract 1D signals from ECG paper records</t>
  </si>
  <si>
    <t>Siddharth Mishra</t>
  </si>
  <si>
    <t>Prof. Zaheed Shaikh</t>
  </si>
  <si>
    <t>Traffic Density using OpenCV</t>
  </si>
  <si>
    <t>Ninad Mehendale EXTC</t>
  </si>
  <si>
    <t>Extract 1D digital signal from ECG paper records</t>
  </si>
  <si>
    <t>Automation of KJSCE Employees Co-Op Society</t>
  </si>
  <si>
    <t>29-02-2020</t>
  </si>
  <si>
    <t>RItik Mody</t>
  </si>
  <si>
    <t>Bishandeep Arora</t>
  </si>
  <si>
    <t>Enactus Somaiya Social Cell, K.J. Somaiya Institute of Management</t>
  </si>
  <si>
    <t>Ankita Amol Shelke</t>
  </si>
  <si>
    <t>Ankita Shelke</t>
  </si>
  <si>
    <t>COVID-19 Intership Projects</t>
  </si>
  <si>
    <t>30-07-2020</t>
  </si>
  <si>
    <t>Prof. Kavita Kelkar</t>
  </si>
  <si>
    <t>Automated Personality Trait Identification System Based on Psychometric Test</t>
  </si>
  <si>
    <t>30-03-2020</t>
  </si>
  <si>
    <t>Yash Arvind Satra</t>
  </si>
  <si>
    <t>Prof. Babaso Aldar (SDC KJSCE)</t>
  </si>
  <si>
    <t>23-12-2019</t>
  </si>
  <si>
    <t>14-03-2020</t>
  </si>
  <si>
    <t>Prof. Umang Patel</t>
  </si>
  <si>
    <t>System Development for Somaiya Vidyavihar University - Elective Courses Management</t>
  </si>
  <si>
    <t>SDC Portal</t>
  </si>
  <si>
    <t>13-12-2019</t>
  </si>
  <si>
    <t>28-02-2020</t>
  </si>
  <si>
    <t>Parth P Shah</t>
  </si>
  <si>
    <t>SDC PORTAL</t>
  </si>
  <si>
    <t>Dr.Irfan Siddavatam</t>
  </si>
  <si>
    <t>Parth Nilesh Shah</t>
  </si>
  <si>
    <t>Shah Vruddhi Manish</t>
  </si>
  <si>
    <t>Software Development Cell Portal</t>
  </si>
  <si>
    <t>Alfiza Shaikh</t>
  </si>
  <si>
    <t>Automated Personality Trait Identification System</t>
  </si>
  <si>
    <t>Ankit Dharmesh Thakker</t>
  </si>
  <si>
    <t>Prof. Babaso Aldar (SDC)</t>
  </si>
  <si>
    <t>Nikhil Namboodiri</t>
  </si>
  <si>
    <t>Virtual Lab Development on color theory</t>
  </si>
  <si>
    <t>Somaiya Conversational UI Chat Bot</t>
  </si>
  <si>
    <t>16-12-2019</t>
  </si>
  <si>
    <t>Asgar Ali Parvez Qureshi</t>
  </si>
  <si>
    <t>Mrs. Smita Sankhe, Mrs. Nirmala Shinde</t>
  </si>
  <si>
    <t>Somaiya admission chatbot</t>
  </si>
  <si>
    <t>Shefali Prajapati</t>
  </si>
  <si>
    <t>Sandeep Parmar</t>
  </si>
  <si>
    <t>Internship Coordinator</t>
  </si>
  <si>
    <t>Energiewende exhibition Coordinator</t>
  </si>
  <si>
    <t>20-01-2020</t>
  </si>
  <si>
    <t>25-01-2020</t>
  </si>
  <si>
    <t>Gaurang Thakker</t>
  </si>
  <si>
    <t>Rajanarasimha Sangam</t>
  </si>
  <si>
    <t>CAD, FEA, Introduction to Mech in Robotics</t>
  </si>
  <si>
    <t>Jeel Paresh Shah</t>
  </si>
  <si>
    <t>Automation Of KJSCE Employees Co-Op Society</t>
  </si>
  <si>
    <t>Student Developer Intern</t>
  </si>
  <si>
    <t>Prof. Anjali Chachra</t>
  </si>
  <si>
    <t>Application Development using Flutter: Flushion Ecommerce Application</t>
  </si>
  <si>
    <t>Audit/Elective Course Allocation</t>
  </si>
  <si>
    <t>15-12-2019</t>
  </si>
  <si>
    <t>Aditya Sanjay Tawade</t>
  </si>
  <si>
    <t>13-06-2020</t>
  </si>
  <si>
    <t>Anchal Jain</t>
  </si>
  <si>
    <t>Prof. VAIBHAV VASANI</t>
  </si>
  <si>
    <t>Arnav Naresh Mankad</t>
  </si>
  <si>
    <t>Ms. Kiran Kumari Sinha</t>
  </si>
  <si>
    <t>DevOps, Agile Process Development</t>
  </si>
  <si>
    <t>Placement Training System</t>
  </si>
  <si>
    <t>13-07-2020</t>
  </si>
  <si>
    <t>Mansi Kambli &amp; Sushma Kadge</t>
  </si>
  <si>
    <t>Mindwave Automation</t>
  </si>
  <si>
    <t>Bhagyashree Phadnis</t>
  </si>
  <si>
    <t>Prof. Nirmala Shinde, Prof. Pradnya Bhangale, Prof. Babaso Aldar</t>
  </si>
  <si>
    <t>Faculty Activities Details</t>
  </si>
  <si>
    <t>Darshan Chheda</t>
  </si>
  <si>
    <t>Mrs. Smita Sankhe</t>
  </si>
  <si>
    <t>Virtualization of Algorithms Lab</t>
  </si>
  <si>
    <t>31-01-2020</t>
  </si>
  <si>
    <t>Deep Doshi</t>
  </si>
  <si>
    <t>Umang Patel</t>
  </si>
  <si>
    <t>Admission Process</t>
  </si>
  <si>
    <t>Deep Shah</t>
  </si>
  <si>
    <t>Suchita Patil and Suchitra Patil</t>
  </si>
  <si>
    <t>Extension of GIS Shahapur Project of IIT Bombay</t>
  </si>
  <si>
    <t>Online Compiler</t>
  </si>
  <si>
    <t>Audit/Elective Course Allocation Portal</t>
  </si>
  <si>
    <t>Prof. Kiran Kumari</t>
  </si>
  <si>
    <t>Prof. Kiran Kumari (IT) and Prof. Pooja Malhotra (IT)</t>
  </si>
  <si>
    <t>DevOps Internship</t>
  </si>
  <si>
    <t>18-01-2020</t>
  </si>
  <si>
    <t>HARSH BHAGWATILAL GOKHRU</t>
  </si>
  <si>
    <t>Babaso Aldar</t>
  </si>
  <si>
    <t>Harsh Navin Gupta</t>
  </si>
  <si>
    <t>Mansi Kambli, Sushma Kadge</t>
  </si>
  <si>
    <t>Het Joshi</t>
  </si>
  <si>
    <t>Prof.Swati Mali.</t>
  </si>
  <si>
    <t>Intelligent Social Media Crawler for Alumni Data</t>
  </si>
  <si>
    <t>Kamal Beesham Rohra</t>
  </si>
  <si>
    <t>Prof. Kiran Kumari, Prof. Pooja Malhotra,Viraj Thakkar</t>
  </si>
  <si>
    <t>Game and Game World Development using Unreal Engine</t>
  </si>
  <si>
    <t>Kamal Rohra</t>
  </si>
  <si>
    <t>KRUNAL HITESH DABHI</t>
  </si>
  <si>
    <t>Prof. Babaso Aldar (BDA)</t>
  </si>
  <si>
    <t>Course Allocation Portal</t>
  </si>
  <si>
    <t>Krutika Vikrant Bhatt</t>
  </si>
  <si>
    <t>Team KJSCE Robocon</t>
  </si>
  <si>
    <t>OCR using Image-Processing-OpenCV</t>
  </si>
  <si>
    <t>Mahi Dedhia</t>
  </si>
  <si>
    <t>Dhruman Gohil</t>
  </si>
  <si>
    <t>NGO Project Intern</t>
  </si>
  <si>
    <t>Meet Ramesh Bhanushali</t>
  </si>
  <si>
    <t>16-11-2019</t>
  </si>
  <si>
    <t>Mihir Gada</t>
  </si>
  <si>
    <t>Prof.Kiran Kumari,Prof.Pooja Malhotra</t>
  </si>
  <si>
    <t>Mr.Sandeep Parmar</t>
  </si>
  <si>
    <t>Volunteer at Germany’s Energeiwende</t>
  </si>
  <si>
    <t>Hardware Intern for Mindwave Automation</t>
  </si>
  <si>
    <t>30-04-2020</t>
  </si>
  <si>
    <t>Ajay Gangrade</t>
  </si>
  <si>
    <t>Team Eta</t>
  </si>
  <si>
    <t>Mugdha Kurkure</t>
  </si>
  <si>
    <t>Image Processing Using OpenCV</t>
  </si>
  <si>
    <t>Viraj Thakkar</t>
  </si>
  <si>
    <t>Internship Coordinator for TKR</t>
  </si>
  <si>
    <t>Mugdha Makarand Kurkure</t>
  </si>
  <si>
    <t>Team Member of Embedded Coding Dept.</t>
  </si>
  <si>
    <t>Naman.Doshi</t>
  </si>
  <si>
    <t>Online Compilers</t>
  </si>
  <si>
    <t>Neel Gada</t>
  </si>
  <si>
    <t>Flushion Ecommerce Application</t>
  </si>
  <si>
    <t>Prof. Nirmala Shinde Baloorkar, Prof. Pradnya Bhangale, Prof. Babaso Aldar</t>
  </si>
  <si>
    <t>Omkar Satish Sawant</t>
  </si>
  <si>
    <t>Parth R. Sheth</t>
  </si>
  <si>
    <t>Prof.Babaso Aldar</t>
  </si>
  <si>
    <t>Audit/Elective course Allocation Portal</t>
  </si>
  <si>
    <t>Faculty Management System</t>
  </si>
  <si>
    <t>15-07-2019</t>
  </si>
  <si>
    <t>24-11-2019</t>
  </si>
  <si>
    <t>Raj Shah</t>
  </si>
  <si>
    <t>Marksheet Generation Software</t>
  </si>
  <si>
    <t>15-01-2020</t>
  </si>
  <si>
    <t>20-07-2020</t>
  </si>
  <si>
    <t>Prof. Dipti Pawade</t>
  </si>
  <si>
    <t>Physical Body Simulations using MATLAB</t>
  </si>
  <si>
    <t>Sagar Umesh Dama</t>
  </si>
  <si>
    <t>Sanket Dharmendrakumar Saboo</t>
  </si>
  <si>
    <t>Prof. Kiran Kumari and Prof. Pooja Malhotra</t>
  </si>
  <si>
    <t>Unreal Engine Pinball</t>
  </si>
  <si>
    <t>3D World generation using Unreal Engine</t>
  </si>
  <si>
    <t>Smit Keyur Shah</t>
  </si>
  <si>
    <t>Mr. Vaibhav P. Vasani</t>
  </si>
  <si>
    <t>Marksheet generator software</t>
  </si>
  <si>
    <t>Soham Gadhave</t>
  </si>
  <si>
    <t>Admission Software Development</t>
  </si>
  <si>
    <t>Tejas Trivedi</t>
  </si>
  <si>
    <t>Sir Umang Patel</t>
  </si>
  <si>
    <t>Covid 19 cases prediction using regression and novel SSM model</t>
  </si>
  <si>
    <t>31-08-2020</t>
  </si>
  <si>
    <t>Vedant Sarnobat</t>
  </si>
  <si>
    <t>15-04-2020</t>
  </si>
  <si>
    <t>15-06-2020</t>
  </si>
  <si>
    <t>Vishnu Ranjith</t>
  </si>
  <si>
    <t>Coding Member</t>
  </si>
  <si>
    <t>Dr. Ninad Mehendale, Dr. Rupali Patil</t>
  </si>
  <si>
    <t>Prof. Amey Gawde</t>
  </si>
  <si>
    <t>High Speed Video and Screen Multicasting using CISCO Routers and Switches</t>
  </si>
  <si>
    <t>Prof. Avani Sakhapara</t>
  </si>
  <si>
    <t>IUCEE Website Redesign Project</t>
  </si>
  <si>
    <t>Prof. Manish Potey</t>
  </si>
  <si>
    <t>KJSCE Canteen App</t>
  </si>
  <si>
    <t>Dr. Sudha Gupta</t>
  </si>
  <si>
    <t>Students' Council</t>
  </si>
  <si>
    <t>Sanyam V Savla</t>
  </si>
  <si>
    <t>Dr Sudha Gupta Mam</t>
  </si>
  <si>
    <t>Parshva Shah</t>
  </si>
  <si>
    <t>Yusha Sharif</t>
  </si>
  <si>
    <t>Council</t>
  </si>
  <si>
    <t>Ansh Ajit Jain</t>
  </si>
  <si>
    <t>QGIS and on-site data collection</t>
  </si>
  <si>
    <t>Dr Ujwala M Bhangale</t>
  </si>
  <si>
    <t>Tanuj Jain</t>
  </si>
  <si>
    <t>GIS ANALYSIS FOR GARODIA NAGAR METRO STATION</t>
  </si>
  <si>
    <t>Dr. Ujwala Bhangale</t>
  </si>
  <si>
    <t>Nidhi Nair</t>
  </si>
  <si>
    <t>Dr. Ujwala M Bhangale</t>
  </si>
  <si>
    <t>COVID-19 Projects</t>
  </si>
  <si>
    <t>Krisha Panchamia</t>
  </si>
  <si>
    <t>Team Gyrations</t>
  </si>
  <si>
    <t>15/07/2019</t>
  </si>
  <si>
    <t>Soham Katkar</t>
  </si>
  <si>
    <t>Team Rhapsody KJSCE</t>
  </si>
  <si>
    <t>17/05/2020</t>
  </si>
  <si>
    <t>Insignia 2019-20 (Creative Team)</t>
  </si>
  <si>
    <t>Mhir Meta</t>
  </si>
  <si>
    <t>KJSCE Insignia (Cultural Team)</t>
  </si>
  <si>
    <t>Smeet nagda</t>
  </si>
  <si>
    <t>Team insignia</t>
  </si>
  <si>
    <t>21/09/2019</t>
  </si>
  <si>
    <t>Ishita Rai</t>
  </si>
  <si>
    <t>Team Insignia</t>
  </si>
  <si>
    <t>Nandita Kadam</t>
  </si>
  <si>
    <t>Team Gyrations - The official Dance Council at KJSCE. Intenrship activity already approved by Sudha Gupta ma'am and the excel sheet for the same is attached below.</t>
  </si>
  <si>
    <t>Mihir Pandya</t>
  </si>
  <si>
    <t>KJSCE Insignia</t>
  </si>
  <si>
    <t>Pradnya Bhangale</t>
  </si>
  <si>
    <t>College Council Event Manager</t>
  </si>
  <si>
    <t>Srinil Mitesh Khandwala</t>
  </si>
  <si>
    <t>Jay Shah</t>
  </si>
  <si>
    <t>Mr. Harsh Jain, Ms. Priya Dutta</t>
  </si>
  <si>
    <t>Digital marketing- reaching out to working corporate professionals globally.</t>
  </si>
  <si>
    <t>2020 - 21</t>
  </si>
  <si>
    <t>Aman Desai</t>
  </si>
  <si>
    <t>Mr. Sudeep Chauhan</t>
  </si>
  <si>
    <t>Mr Maulik Tanna</t>
  </si>
  <si>
    <t>Content writer</t>
  </si>
  <si>
    <t>JINISHA VIKAS JAIN</t>
  </si>
  <si>
    <t>Mr. Maulik Tanna</t>
  </si>
  <si>
    <t>Content Writer</t>
  </si>
  <si>
    <t>Mr Aliasgar Mustafa</t>
  </si>
  <si>
    <t>Website Developer</t>
  </si>
  <si>
    <t>Zalak Bimal Bhojani</t>
  </si>
  <si>
    <t>Mr. Mihir Gada, Mr. Param Shendekar</t>
  </si>
  <si>
    <t>Technical Assistant - Data Structures and Algorithms</t>
  </si>
  <si>
    <t>In-house</t>
  </si>
  <si>
    <t>Arnav Mankad</t>
  </si>
  <si>
    <t>Web Developer (Django)</t>
  </si>
  <si>
    <t>Dhruvi Kantilal Patel</t>
  </si>
  <si>
    <t>MR. Keshav jhunjhunwala</t>
  </si>
  <si>
    <t>content writing. gathering and writing information about positive news.</t>
  </si>
  <si>
    <t>Jainam Rakshitkumar Shah</t>
  </si>
  <si>
    <t>Mobile App Development of a Flutter &amp; Django based B2B E-Commerce Application</t>
  </si>
  <si>
    <t>Mr. Darshan Gandhi</t>
  </si>
  <si>
    <t>Social Media and Content Management Intern</t>
  </si>
  <si>
    <t>Shubh Kalpesh Gosalia</t>
  </si>
  <si>
    <t>Darshan Gandhi</t>
  </si>
  <si>
    <t>Maulik Tanna</t>
  </si>
  <si>
    <t>Content writing Intern</t>
  </si>
  <si>
    <t>Gaurang Athavale</t>
  </si>
  <si>
    <t>Mr. Aftab Udaipurwala</t>
  </si>
  <si>
    <t>Internship in Data Science. Digitalization and Analytics</t>
  </si>
  <si>
    <t>Priyanka Hotchandani</t>
  </si>
  <si>
    <t>Worked on Robot Operating System (ROS), OpenCV for IP, MATLAB for smilulations</t>
  </si>
  <si>
    <t>I worked on the Image processing and matlab simulations</t>
  </si>
  <si>
    <t>kamal rohra</t>
  </si>
  <si>
    <t>i worked on image processing , matlab , ros in this internship</t>
  </si>
  <si>
    <t>Mr. Ankit Hasija</t>
  </si>
  <si>
    <t>Design, Implement, and Manage : Cloud Architecture</t>
  </si>
  <si>
    <t>No mentor as such</t>
  </si>
  <si>
    <t>Data science and Business analytics intern</t>
  </si>
  <si>
    <t>Mr. Mihir Gada</t>
  </si>
  <si>
    <t>Technical Assistant - Python Programming</t>
  </si>
  <si>
    <t>Hetvi Hitesh Kothari</t>
  </si>
  <si>
    <t>Mihir Gada, Param Shendekar</t>
  </si>
  <si>
    <t>Hardik Kapadia</t>
  </si>
  <si>
    <t>Mr. Krish Gajjar, Mr. Virag Bohra</t>
  </si>
  <si>
    <t>Social Media Manager</t>
  </si>
  <si>
    <t>Nishit Rajesh Shah</t>
  </si>
  <si>
    <t>Framework keeping journal repository</t>
  </si>
  <si>
    <t>B2B Ecommerce App in Flutter</t>
  </si>
  <si>
    <t>Mr Dhruman Gohil</t>
  </si>
  <si>
    <t>Neelansh Mathur</t>
  </si>
  <si>
    <t>Video-based interview portal</t>
  </si>
  <si>
    <t>Riya Vasant Gori</t>
  </si>
  <si>
    <t>Mr. Vaibhav Vasani</t>
  </si>
  <si>
    <t>Video-based interview portal phase I</t>
  </si>
  <si>
    <t>Mohammad Asif Athania</t>
  </si>
  <si>
    <t>SOFTWARE DEVELOPMENT INTERN</t>
  </si>
  <si>
    <t>Dr. Prabhat Tiwari</t>
  </si>
  <si>
    <t>App Developer - https://play.google.com/store/apps/details?id=my.keeel.learnapp</t>
  </si>
  <si>
    <t>KARAN BHANUSHALI</t>
  </si>
  <si>
    <t>Mr. Mayur Bhanushali</t>
  </si>
  <si>
    <t>Assistant cloud manager</t>
  </si>
  <si>
    <t>SIDDHARTH SURENDRA MISHRA</t>
  </si>
  <si>
    <t>Tanuj Aggrawal</t>
  </si>
  <si>
    <t>Frontend development of Rentkar website</t>
  </si>
  <si>
    <t>Ayush Rajesh Khade</t>
  </si>
  <si>
    <t>Mr. Tanuj Aggrawal</t>
  </si>
  <si>
    <t>Frontend Deveopment of Rentkar Website using ReactJS and Bootstrap</t>
  </si>
  <si>
    <t>Om Bhavesh Doshi</t>
  </si>
  <si>
    <t>Mr.Rishabh Pote</t>
  </si>
  <si>
    <t>Market Researching / Worked in a startup</t>
  </si>
  <si>
    <t>Mr. Anubhav</t>
  </si>
  <si>
    <t>worked as a Frontend developer on a website called Utoksmart</t>
  </si>
  <si>
    <t>Mr. Jaineel Shah</t>
  </si>
  <si>
    <t>App Development Intern</t>
  </si>
  <si>
    <t>Mr. Harsh Jain, Ms. Sirushtika R S</t>
  </si>
  <si>
    <t>Marketing Intern</t>
  </si>
  <si>
    <t>Aniket Anil Bhosale</t>
  </si>
  <si>
    <t>Rushil Shah</t>
  </si>
  <si>
    <t>Monika Sharma</t>
  </si>
  <si>
    <t>Developing a News App using React Native</t>
  </si>
  <si>
    <t>SARVESH RAJESH BANGAD</t>
  </si>
  <si>
    <t>Mr. Dev Shah</t>
  </si>
  <si>
    <t>React Native App Developer</t>
  </si>
  <si>
    <t>Dhairya Ashwin Mehta</t>
  </si>
  <si>
    <t>Purushottam M Kulkarni</t>
  </si>
  <si>
    <t>Content writing</t>
  </si>
  <si>
    <t>Kashish Anil Harisinghani</t>
  </si>
  <si>
    <t>Smit Bharat Bhatt</t>
  </si>
  <si>
    <t>Mr. Sahil Sharma</t>
  </si>
  <si>
    <t>full stack develop-food ordering web product similar to zomato using MERN stack</t>
  </si>
  <si>
    <t>Hiral Jitesh Sheth</t>
  </si>
  <si>
    <t>Mr. Babaso Aldar</t>
  </si>
  <si>
    <t>Akshar Ajay Barchha</t>
  </si>
  <si>
    <t>Dr. Manish Potey, Dr. Prasanna Shete, Prof. Mansi Kambli, Prof. Suchita Patil, Prof. Smita Sankhe, Prof. Vaibhav Vasani.</t>
  </si>
  <si>
    <t>Crop Disease Detection using Deep Learning</t>
  </si>
  <si>
    <t>Manas Gandhi</t>
  </si>
  <si>
    <t>Dr. Manish Potey, Dr. Prasanna Shete, Prof. Mansi Kambli, Prof. Suchita Patil, Prof. Smita Sankhe, Prof. Vaibhav Vasani</t>
  </si>
  <si>
    <t>Shantanu Sunil Godbole</t>
  </si>
  <si>
    <t>Elective Course Allocation Portal</t>
  </si>
  <si>
    <t>Mr. Somil Jain</t>
  </si>
  <si>
    <t>Timesheet System.</t>
  </si>
  <si>
    <t>Timesheet System</t>
  </si>
  <si>
    <t>Mr. Dev Shailesh Shah</t>
  </si>
  <si>
    <t>React Native Developer</t>
  </si>
  <si>
    <t>Hasti Shah</t>
  </si>
  <si>
    <t>Audit/Elective Course Allocation System</t>
  </si>
  <si>
    <t>Garbage Collection System using AI (128 hours), Research Paper (86 hours)</t>
  </si>
  <si>
    <t>Dev Shah</t>
  </si>
  <si>
    <t>Prof. Shanthini Ganesan.</t>
  </si>
  <si>
    <t>Role: Full Stack web developer. Worked a minor and a major project.</t>
  </si>
  <si>
    <t>Anubhav</t>
  </si>
  <si>
    <t>Front-End Development - Intern</t>
  </si>
  <si>
    <t>Mr. Anubhav Chaturvedi</t>
  </si>
  <si>
    <t>Backend Developer using Django</t>
  </si>
  <si>
    <t>Mr. Abinash Mohapatra</t>
  </si>
  <si>
    <t>Software Developer Intern</t>
  </si>
  <si>
    <t>Tanuj Vikram Jain</t>
  </si>
  <si>
    <t>Web Developer - Django</t>
  </si>
  <si>
    <t>Mr Udit Mittal</t>
  </si>
  <si>
    <t>Backend Developer intern - building APIs, maintaining backend,adding features</t>
  </si>
  <si>
    <t>Vatsal Dinesh Shah</t>
  </si>
  <si>
    <t>Full Stack Development Intern</t>
  </si>
  <si>
    <t>Pranav Dubey</t>
  </si>
  <si>
    <t>Data Science and Business Analytics Internship</t>
  </si>
  <si>
    <t>Mr. Pranav Dubey</t>
  </si>
  <si>
    <t>Data Science and Business Analyst</t>
  </si>
  <si>
    <t>Ms. Pallav Mehta, Mr. Harsh Jain</t>
  </si>
  <si>
    <t>Business and Product Analysis Intern</t>
  </si>
  <si>
    <t>Mr. Siddesh Pawar</t>
  </si>
  <si>
    <t>Web development internship using Django</t>
  </si>
  <si>
    <t>Yash Hiren Mehta</t>
  </si>
  <si>
    <t>Content Manager</t>
  </si>
  <si>
    <t>IOT &amp; COMPUTER VISION</t>
  </si>
  <si>
    <t>Data Science and Business Analytics</t>
  </si>
  <si>
    <t>Hardik Asher</t>
  </si>
  <si>
    <t>Mr. Keyur Karia</t>
  </si>
  <si>
    <t>Website Development</t>
  </si>
  <si>
    <t>MILIND PANKAJ DESHPANDE</t>
  </si>
  <si>
    <t>KEYUR KARIA</t>
  </si>
  <si>
    <t>WEBSITE DEVELOPMENT</t>
  </si>
  <si>
    <t>Devansh Alpesh Sanghavi</t>
  </si>
  <si>
    <t>Hussein Adamali Motiwala</t>
  </si>
  <si>
    <t>Prof. Vaibhav Vanasi</t>
  </si>
  <si>
    <t>Peergrade View System</t>
  </si>
  <si>
    <t>Mandliya Nayan Mansukhbhai</t>
  </si>
  <si>
    <t>Peer Grade System</t>
  </si>
  <si>
    <t>Romil Mayank Shah</t>
  </si>
  <si>
    <t>Mr Arjun and Mr Shivam</t>
  </si>
  <si>
    <t>Programme Manager</t>
  </si>
  <si>
    <t>Kannan Sudhakaran</t>
  </si>
  <si>
    <t>Python Intern - A Mega Trade Fair Web Application</t>
  </si>
  <si>
    <t>MODI CHINTAN KIRTIKUMAR</t>
  </si>
  <si>
    <t>Mr. Avanish Batkulia</t>
  </si>
  <si>
    <t>Back-end developer at Learnation</t>
  </si>
  <si>
    <t>Arjun sehgal</t>
  </si>
  <si>
    <t>Avanish batkulia</t>
  </si>
  <si>
    <t>Backend developer using meanstack</t>
  </si>
  <si>
    <t>Parth Virendrakumar Shah</t>
  </si>
  <si>
    <t>Om Rawal</t>
  </si>
  <si>
    <t>Tom Brunskill</t>
  </si>
  <si>
    <t>Data Analytics Consulting Virtual Internship</t>
  </si>
  <si>
    <t>Web Development &amp; Designing</t>
  </si>
  <si>
    <t>Ayush Khade</t>
  </si>
  <si>
    <t>Mr. Kannan Sudhakaran</t>
  </si>
  <si>
    <t>Python Internship</t>
  </si>
  <si>
    <t>Mayank Ravindra Chowdhary</t>
  </si>
  <si>
    <t>Prof. Ankit Khivasara</t>
  </si>
  <si>
    <t>Mechanical Parts Recognition using DL</t>
  </si>
  <si>
    <t>DHRUVI KANTILAL PATEL</t>
  </si>
  <si>
    <t>Mr. Kamal Meshram</t>
  </si>
  <si>
    <t>graphic designing and digital marketing</t>
  </si>
  <si>
    <t>Dhwani S, Mr. Kannan Sudhakaran</t>
  </si>
  <si>
    <t>Python Intern</t>
  </si>
  <si>
    <t>Data Science &amp; Business Analytics</t>
  </si>
  <si>
    <t>Samudra Nayak</t>
  </si>
  <si>
    <t>Mr. Harshal Tawde, Ms. Prerna Aggarwal</t>
  </si>
  <si>
    <t>Analysis of various web portals and ideation of campaigns for raising admissions</t>
  </si>
  <si>
    <t>Sakshi Keshavprasad Pandey</t>
  </si>
  <si>
    <t>Backend development intern. IOT testing through backend.</t>
  </si>
  <si>
    <t>MEET VIPUL GANDHI</t>
  </si>
  <si>
    <t>Mr. Hiren Sanghvi</t>
  </si>
  <si>
    <t>App development, content writing, digital and social media marketing</t>
  </si>
  <si>
    <t>Rohit Mundhra</t>
  </si>
  <si>
    <t>Business Process Automation Intern</t>
  </si>
  <si>
    <t>Manas Jiten Gandhi</t>
  </si>
  <si>
    <t>Mr. Narendra Sancheti</t>
  </si>
  <si>
    <t>Data Acquisition system using Python(GUI) and C language.</t>
  </si>
  <si>
    <t>Ronak Gala</t>
  </si>
  <si>
    <t>Ashish Shah</t>
  </si>
  <si>
    <t>Software Development and marketing</t>
  </si>
  <si>
    <t>SMIT DEEPAK SHAH</t>
  </si>
  <si>
    <t>Application Development Intern</t>
  </si>
  <si>
    <t>Saarah Khan</t>
  </si>
  <si>
    <t>React native, frontend development</t>
  </si>
  <si>
    <t>Mr. Siddhesh Pawar</t>
  </si>
  <si>
    <t>Technical support officer- Coded website using Django &amp; migrating it on AWS.</t>
  </si>
  <si>
    <t>learning fundamentals of python, OOPs, Python libraries, SQLite</t>
  </si>
  <si>
    <t>R. Vishal</t>
  </si>
  <si>
    <t>Sales and Marketing intern</t>
  </si>
  <si>
    <t>Kaushik Pradeep Metha</t>
  </si>
  <si>
    <t>Peer Grade Website</t>
  </si>
  <si>
    <t>Saurabh Ravindran Nambiar</t>
  </si>
  <si>
    <t>Vaibhav vasani</t>
  </si>
  <si>
    <t>Peergrading Website</t>
  </si>
  <si>
    <t>Mihir Mehta</t>
  </si>
  <si>
    <t>Peergrade Webapp</t>
  </si>
  <si>
    <t>Thomas Brunskill</t>
  </si>
  <si>
    <t>Engineering Virtual Program (Cyber Security Tasks)</t>
  </si>
  <si>
    <t>Piyush Sharma</t>
  </si>
  <si>
    <t>Mr. Sourabh R Walvekar</t>
  </si>
  <si>
    <t>FLUTTER FRONT END DEVELOPER</t>
  </si>
  <si>
    <t>Mr. Meet Gandhi, Mr. Sanjeet Naik</t>
  </si>
  <si>
    <t>Flask Intern</t>
  </si>
  <si>
    <t>Flutter Front End Developer</t>
  </si>
  <si>
    <t>Mr. Sumit Bhat</t>
  </si>
  <si>
    <t>Content Development (Coding) Intern- Web development and app development</t>
  </si>
  <si>
    <t>Animesh Chaturvedi</t>
  </si>
  <si>
    <t>Prof. Sagar kisee, Prof. Inderjit singh</t>
  </si>
  <si>
    <t>I worked as a marketing team member at bloombox, E-cell of K.J.S.C.E.</t>
  </si>
  <si>
    <t>Python Internship with Swabhav Techlabs</t>
  </si>
  <si>
    <t>Miss Priya Agarwal</t>
  </si>
  <si>
    <t>Human Resources Intern</t>
  </si>
  <si>
    <t>Naman Atul Shah</t>
  </si>
  <si>
    <t>Mr. Meet Gandhi, Sanjeet Naik</t>
  </si>
  <si>
    <t>Machine Learning Intern</t>
  </si>
  <si>
    <t>AIML_based_publishing</t>
  </si>
  <si>
    <t>Swapnil Jha</t>
  </si>
  <si>
    <t>Front-end Web Development</t>
  </si>
  <si>
    <t>Mr. Haresh Gada</t>
  </si>
  <si>
    <t>Mr Pranav Dubey</t>
  </si>
  <si>
    <t>Mr. Avinash Anandan</t>
  </si>
  <si>
    <t>Development Intern, mainly web applications</t>
  </si>
  <si>
    <t>Developing codebase for autonomous drone flight system.</t>
  </si>
  <si>
    <t>NESAC Drone Technical Development Program (TDP)</t>
  </si>
  <si>
    <t>Team leader and Cross platform app developer</t>
  </si>
  <si>
    <t>Cross Platform App Developer</t>
  </si>
  <si>
    <t>Cross platform app developer</t>
  </si>
  <si>
    <t>Mitesh Mahavir Chanodiya</t>
  </si>
  <si>
    <t>Mr. Nitin Srivastava</t>
  </si>
  <si>
    <t>IT-Development consisting of web applications and third party vendor integration</t>
  </si>
  <si>
    <t>Parag Nar</t>
  </si>
  <si>
    <t>Mr. Dipankar Sinha</t>
  </si>
  <si>
    <t>Special Tech Project</t>
  </si>
  <si>
    <t>Akshit Girish Shah</t>
  </si>
  <si>
    <t>Flutter Application Development</t>
  </si>
  <si>
    <t>PARTH CHAUDHARY</t>
  </si>
  <si>
    <t>DARSHAN GANDHI</t>
  </si>
  <si>
    <t>MARKETING INTERN</t>
  </si>
  <si>
    <t>Khushal B Jhaveri</t>
  </si>
  <si>
    <t>Shreyas Mahendra More</t>
  </si>
  <si>
    <t>Mr. Santosh Deshpande</t>
  </si>
  <si>
    <t>Payroll analysis for compensation of payment and Data analysis of trends.</t>
  </si>
  <si>
    <t>Web Designer</t>
  </si>
  <si>
    <t>None</t>
  </si>
  <si>
    <t>Data Scientist Trainee</t>
  </si>
  <si>
    <t>Aishvarya Akshaya Vishva Raman</t>
  </si>
  <si>
    <t>NESAC Technology Development Project for Swarm of Drones</t>
  </si>
  <si>
    <t>KJSCE-NESAC TDP Project on Swarm of Drones</t>
  </si>
  <si>
    <t>Janhavi Ganesh Patil</t>
  </si>
  <si>
    <t>KJSCE-NESAC TDP Project on Swarm of Drones.</t>
  </si>
  <si>
    <t>Vatsal Bharat Pathak</t>
  </si>
  <si>
    <t>NESAC Technology Development Project on Swarm of Drones</t>
  </si>
  <si>
    <t>Mr. Nitin Kothari</t>
  </si>
  <si>
    <t>Business Analytics Developer</t>
  </si>
  <si>
    <t>Mr Dev Shah</t>
  </si>
  <si>
    <t>Fullstack developer</t>
  </si>
  <si>
    <t>Mr. Krish Parekh</t>
  </si>
  <si>
    <t>Game Developer Intern working on a 2D Endless Runner Game</t>
  </si>
  <si>
    <t>Ms. Maitreyi Narsalay</t>
  </si>
  <si>
    <t>Unity Programmer (Intern) working on a 3D Virtual Stall</t>
  </si>
  <si>
    <t>SUJAY MUKUND TORVI</t>
  </si>
  <si>
    <t>Mr. Suyash Tiwari, Mr. Hirak Jain</t>
  </si>
  <si>
    <t>Semester long Internship Development of Petchem Business Data Management System</t>
  </si>
  <si>
    <t>Project Volunteer</t>
  </si>
  <si>
    <t>Mrs. Niharikka Budhwani</t>
  </si>
  <si>
    <t>Heena Ikbal Kasali</t>
  </si>
  <si>
    <t>Rocky Jagtiani</t>
  </si>
  <si>
    <t>1.Consumer Loan Assistant Project 2. Home Inventory Manager Project</t>
  </si>
  <si>
    <t>Mr. Mohammad Athania</t>
  </si>
  <si>
    <t>E-wallet and Services Mobile Application Development</t>
  </si>
  <si>
    <t>Mr. Dhruman Gohil</t>
  </si>
  <si>
    <t>Rajeshwari Rabindranath Jha</t>
  </si>
  <si>
    <t>Content and Event Head</t>
  </si>
  <si>
    <t>Technical Head</t>
  </si>
  <si>
    <t>Cholena Orr</t>
  </si>
  <si>
    <t>Cyber Security Intern (Analysis of various attacks ,Wireshark use cases)</t>
  </si>
  <si>
    <t>Jay Amit Zobalia</t>
  </si>
  <si>
    <t>MR. Jainam Gogree</t>
  </si>
  <si>
    <t>TEAM MEMBER AT KJSCE ROBOCON</t>
  </si>
  <si>
    <t>MR. Dev Shah</t>
  </si>
  <si>
    <t>marketing, sales and consumer analysis</t>
  </si>
  <si>
    <t>Hetvi Gudka</t>
  </si>
  <si>
    <t>Jainam Gogree</t>
  </si>
  <si>
    <t>Coding Team Member at KJSCE Robocon</t>
  </si>
  <si>
    <t>Atharva Pradeep Dalvi</t>
  </si>
  <si>
    <t>Mr. Jainam Gogree</t>
  </si>
  <si>
    <t>Meet Panchal</t>
  </si>
  <si>
    <t>Mr.Pragyan Mishra , Mr.Shabaz Khan , Mr.Abhishek Kumar</t>
  </si>
  <si>
    <t>Title : Mobile App developer (Flutter)</t>
  </si>
  <si>
    <t>Shravani Guchhait</t>
  </si>
  <si>
    <t>IoT &amp; Computer Vision</t>
  </si>
  <si>
    <t>Computer Vision and IoT Intern</t>
  </si>
  <si>
    <t>RONAK DEEPAK GALA</t>
  </si>
  <si>
    <t>Haresh Gada</t>
  </si>
  <si>
    <t>Software development</t>
  </si>
  <si>
    <t>Pritesh Shah</t>
  </si>
  <si>
    <t>Database Management and Web developmemt</t>
  </si>
  <si>
    <t>Manasi Varaiya</t>
  </si>
  <si>
    <t>Mr. Abdul Quadir Ansari</t>
  </si>
  <si>
    <t>Mobile Application Development For Mobile/DTH Recharge And Services, E-wallet</t>
  </si>
  <si>
    <t>Nishant Chetia</t>
  </si>
  <si>
    <t>Jainam Gogree, Dhruv Joshi</t>
  </si>
  <si>
    <t>Dr. Manoj Pawar</t>
  </si>
  <si>
    <t>Orion Racing India: Driverless</t>
  </si>
  <si>
    <t>Shreyans Mehta</t>
  </si>
  <si>
    <t>Orion Racing India : Driverless Subsystem</t>
  </si>
  <si>
    <t>Priyal Babel</t>
  </si>
  <si>
    <t>Mr. Prashanth Namagiri</t>
  </si>
  <si>
    <t>Full Stack Developer</t>
  </si>
  <si>
    <t>Orion Racing India : Web Development</t>
  </si>
  <si>
    <t>Harshit Naveen Jain</t>
  </si>
  <si>
    <t>Orion Racing India: Driverless subsystem</t>
  </si>
  <si>
    <t>Mr. Ravneet Singh</t>
  </si>
  <si>
    <t>Development and maintenance of server-side components for website and app</t>
  </si>
  <si>
    <t>Sharif Yusha Sadatulla</t>
  </si>
  <si>
    <t>I was the Marketing Head at JobsQuest during my internship.</t>
  </si>
  <si>
    <t>Asim Ahmed Shakeel Ahmed Siddiqui</t>
  </si>
  <si>
    <t>Mrs. Krati Agrawal</t>
  </si>
  <si>
    <t>Android Developer Intern</t>
  </si>
  <si>
    <t>Nirav Nilesh Gujarathi</t>
  </si>
  <si>
    <t>Mr. Jainam Gogree, Mr. Chirag Jain</t>
  </si>
  <si>
    <t>Bhairav Nitin Narkhede</t>
  </si>
  <si>
    <t>Dr.Manoj Pawar</t>
  </si>
  <si>
    <t>Orion Racing India : Driverless subsystem</t>
  </si>
  <si>
    <t>Mobile App Development using flutter</t>
  </si>
  <si>
    <t>Hasti Devanshu Shah</t>
  </si>
  <si>
    <t>Sakshi Arun Shelar</t>
  </si>
  <si>
    <t>Mr. Sreshta Rupa Dasa, Mr. Mitank Dasondhi</t>
  </si>
  <si>
    <t>Frontend Flutter Developer</t>
  </si>
  <si>
    <t>Manav Rajesh Modi</t>
  </si>
  <si>
    <t>Mr.Anush Ramachandran</t>
  </si>
  <si>
    <t>Business Development,Marketing and Sales</t>
  </si>
  <si>
    <t>Prof. Rohini Nair</t>
  </si>
  <si>
    <t>Networking and PR head, Alumni Cell</t>
  </si>
  <si>
    <t>Asher Hardik Vinay</t>
  </si>
  <si>
    <t>Covid-19 Cases Prediction</t>
  </si>
  <si>
    <t>Milind Pankaj Deshpande</t>
  </si>
  <si>
    <t>Prof. Manasi Kambli</t>
  </si>
  <si>
    <t>Covid 19 Cases Prediction</t>
  </si>
  <si>
    <t>Parth Chaudhary</t>
  </si>
  <si>
    <t>Prof. Sagar Korde, Prof. Inderjit Singh Dhanjal</t>
  </si>
  <si>
    <t>FE Representative</t>
  </si>
  <si>
    <t>Damandeep Singh</t>
  </si>
  <si>
    <t>Tutor Internship - Programming in C</t>
  </si>
  <si>
    <t>VANI VIPUL KAMANI</t>
  </si>
  <si>
    <t>Prof. Sagar Korde, Prof. Inderjit Singh</t>
  </si>
  <si>
    <t>Social Wing</t>
  </si>
  <si>
    <t>Grishma Sharma</t>
  </si>
  <si>
    <t>Research paper embeddings and study of encoder decoder techniques</t>
  </si>
  <si>
    <t>Research Paper Embeddings and study of encoder-decoder techniques</t>
  </si>
  <si>
    <t>Prof. Grishma Sharma</t>
  </si>
  <si>
    <t>Research paper embeddings and study of encoder decoder techniques.</t>
  </si>
  <si>
    <t>Mr Jerin Jaimes, Mr Harsh Sharma.</t>
  </si>
  <si>
    <t>Ethnicity Detection using Machine Learning</t>
  </si>
  <si>
    <t>Mazhar Patel</t>
  </si>
  <si>
    <t>Customer Support Engineer</t>
  </si>
  <si>
    <t>Mr. Shreyash Sinha</t>
  </si>
  <si>
    <t>Web Developer Associate</t>
  </si>
  <si>
    <t>Prof. Sagar Korde, Prof Inderjit Singh Dhanjal</t>
  </si>
  <si>
    <t>Vice Chairperson(Events and Logistics)</t>
  </si>
  <si>
    <t>Sameer Anil Wadhwa</t>
  </si>
  <si>
    <t>Aliasgar Haji</t>
  </si>
  <si>
    <t>Frontend Developer Intern</t>
  </si>
  <si>
    <t>Aditya Ravindra Pawar</t>
  </si>
  <si>
    <t>Mr. Dhruv Daftary</t>
  </si>
  <si>
    <t>Customer Acquisition and Outreach</t>
  </si>
  <si>
    <t>Nishant Sanjay Pal</t>
  </si>
  <si>
    <t>Mobile App Development using Flutter</t>
  </si>
  <si>
    <t>SHEFALI PRAJAPATI</t>
  </si>
  <si>
    <t>Mr. Sandeep Parmar</t>
  </si>
  <si>
    <t>Internship &amp; IIC Student Coordinator</t>
  </si>
  <si>
    <t>Student Internship Coordinator and Part of the Institute Innovation Council</t>
  </si>
  <si>
    <t>Yash Dedhia</t>
  </si>
  <si>
    <t>Prof. Sagar Korde / Prof. Inderjit Singh Dhanjal</t>
  </si>
  <si>
    <t>Events and Public Relations Wing</t>
  </si>
  <si>
    <t>Mitali Sharma</t>
  </si>
  <si>
    <t>Internship at as a marketing intern . It was a virtual (WFH) internship.</t>
  </si>
  <si>
    <t>Mr. Vibhu Chinmay</t>
  </si>
  <si>
    <t>Data Science</t>
  </si>
  <si>
    <t>burhanuddin rangwala</t>
  </si>
  <si>
    <t>Gayatri Vijay Patil</t>
  </si>
  <si>
    <t>Project Volunteer and a member of managing team for Project Ekasaathe.</t>
  </si>
  <si>
    <t>Mr. Kunj Haria, Mr. Tanish Sehgal, Mr. Ayush Suri, Ms. Shreya Verma</t>
  </si>
  <si>
    <t>Mr. Kunj Haria, Mr. Ayush Suri, Mr. Tanish Sehgal, Ms Shreya Verma</t>
  </si>
  <si>
    <t>Full-Stack Developer</t>
  </si>
  <si>
    <t>Shubh Gangar</t>
  </si>
  <si>
    <t>Mr Kunj Haria, Mr Tanish Sehgal, Mr Ayush Suri, Ms Shreya Verma</t>
  </si>
  <si>
    <t>Saurav Vidyadhar Shetty</t>
  </si>
  <si>
    <t>Creation of front-end pages for the B2B flutter application</t>
  </si>
  <si>
    <t>Prof. Sandeep Parmar</t>
  </si>
  <si>
    <t>KJSCE Internship cell Student coordinator and KJSCE IIC social media team member</t>
  </si>
  <si>
    <t>Carla Wilkinson</t>
  </si>
  <si>
    <t>Security Analysis (Intrusion and anomaly/outlier detection)</t>
  </si>
  <si>
    <t>Kashish Harisinghani</t>
  </si>
  <si>
    <t>Mr. Ankit Gala</t>
  </si>
  <si>
    <t>Pathik Prashant Ghugare</t>
  </si>
  <si>
    <t>Portfolio-Internship</t>
  </si>
  <si>
    <t>Prof. Vaibhav Prakash Vasani</t>
  </si>
  <si>
    <t>RUSHABH DHARMESH GANDHI</t>
  </si>
  <si>
    <t>Mr Rishabh Pote</t>
  </si>
  <si>
    <t>Junior Intern, as Market Research Analyst.</t>
  </si>
  <si>
    <t>Prachi D Randeria</t>
  </si>
  <si>
    <t>Mr. Jatan Pandya</t>
  </si>
  <si>
    <t>Trainee in Software Development</t>
  </si>
  <si>
    <t>Alpesh Bhanushali</t>
  </si>
  <si>
    <t>Assistant manager associate</t>
  </si>
  <si>
    <t>Mr. Rugved Bongale</t>
  </si>
  <si>
    <t>Gyaanibuddys website development</t>
  </si>
  <si>
    <t>Mr. Sunil Samel</t>
  </si>
  <si>
    <t>Web Development Internship</t>
  </si>
  <si>
    <t>Smit Bhatt</t>
  </si>
  <si>
    <t>I was assigned tasks under the domain of data science and business analytics.</t>
  </si>
  <si>
    <t>Ritik Ashish Mody</t>
  </si>
  <si>
    <t>IOT and COMPUTER VISION</t>
  </si>
  <si>
    <t>Samiksha Shrimali</t>
  </si>
  <si>
    <t>Mr. Shiv Kumar Mittal, Mr.Vishal Mote</t>
  </si>
  <si>
    <t>UI Designer</t>
  </si>
  <si>
    <t>Sanjeet Naresh Singh Naik</t>
  </si>
  <si>
    <t>Data Science and Business Analytics Intern</t>
  </si>
  <si>
    <t>Mr. Rocky Jagtiani</t>
  </si>
  <si>
    <t>Coding Internship</t>
  </si>
  <si>
    <t>Sentiment Analysis</t>
  </si>
  <si>
    <t>Dhairya Sanjay Shah</t>
  </si>
  <si>
    <t>CA. Divyesh Shah</t>
  </si>
  <si>
    <t>Accounting, Income Tax, Automating mails ,Managing files in file server</t>
  </si>
  <si>
    <t>Kush Harish Vora</t>
  </si>
  <si>
    <t>Mr. Chandra Sekhar Kanteti</t>
  </si>
  <si>
    <t>Finkit and Taxfox, both are Income Tax Filing PWA Softwares</t>
  </si>
  <si>
    <t>Divesh Haresh Thakker</t>
  </si>
  <si>
    <t>Mr. Bhavya Gada, Mr. Deepak Dalal</t>
  </si>
  <si>
    <t>Bizhives Core Enterprise Rest Application using Spring Boot and React</t>
  </si>
  <si>
    <t>Mr. Kushal Bhansali</t>
  </si>
  <si>
    <t>Website Development , SEO and general upkeep of the property.</t>
  </si>
  <si>
    <t>Anchal Satish Jain</t>
  </si>
  <si>
    <t>Website Development , SEO and general upkeep of the property</t>
  </si>
  <si>
    <t>Rahil Ruben Parikh</t>
  </si>
  <si>
    <t>Mr. Liqzan Manna</t>
  </si>
  <si>
    <t>Machine Learning</t>
  </si>
  <si>
    <t>Mayank Chowdhary</t>
  </si>
  <si>
    <t>Mr. Sanket Gattani</t>
  </si>
  <si>
    <t>Web Development in Django - User Auth module (frontend as well as backend)</t>
  </si>
  <si>
    <t>Mr. Yash Ramani</t>
  </si>
  <si>
    <t>Product Development</t>
  </si>
  <si>
    <t>Prof. Algonda Desai, Prof. Vinayak Kharpure, Prof. Nandini Rao, Prof. Jitendra Karekar</t>
  </si>
  <si>
    <t>Committee Head</t>
  </si>
  <si>
    <t>Mr. Piyush Vora</t>
  </si>
  <si>
    <t>Product Development Intern</t>
  </si>
  <si>
    <t>Technical and PR Team Member</t>
  </si>
  <si>
    <t>Pinaki Jayakar</t>
  </si>
  <si>
    <t>PR Team Member</t>
  </si>
  <si>
    <t>Technical Team Member</t>
  </si>
  <si>
    <t>Kinjal Nilesh Parekh</t>
  </si>
  <si>
    <t>Mr. Shivendu Aggarwal</t>
  </si>
  <si>
    <t>Product Management on Digital Catalogue</t>
  </si>
  <si>
    <t>Parthiv Shah</t>
  </si>
  <si>
    <t>Creative Team Member</t>
  </si>
  <si>
    <t>Gaurav Mehta</t>
  </si>
  <si>
    <t>Arva Kachwala</t>
  </si>
  <si>
    <t>PR team member</t>
  </si>
  <si>
    <t>Mrs. Indu Nalwaya</t>
  </si>
  <si>
    <t>Worked with Apache Solr cloud and containerised the application with Docker</t>
  </si>
  <si>
    <t>Akash Shetgar</t>
  </si>
  <si>
    <t>Mr. Ajay Dusa</t>
  </si>
  <si>
    <t>Autonomous programming using openCV</t>
  </si>
  <si>
    <t>Tiny Tonson Thomas</t>
  </si>
  <si>
    <t>Dr. Jagannath Nirmal</t>
  </si>
  <si>
    <t>Speaker Verification System</t>
  </si>
  <si>
    <t>Irfanali Jamaluddin Shaikh</t>
  </si>
  <si>
    <t>DR. JAGANNATH NIRMAL</t>
  </si>
  <si>
    <t>Speech Processing (Robust Speaker Verification)</t>
  </si>
  <si>
    <t>Mr. Aliasgar Mustafa</t>
  </si>
  <si>
    <t>Frontend Developer for Blockchain based NFT Platform</t>
  </si>
  <si>
    <t>Nilay Rajesh Sheth</t>
  </si>
  <si>
    <t>Mrs Kriti</t>
  </si>
  <si>
    <t>Mr. Aditya Raj</t>
  </si>
  <si>
    <t>Programming Content Writing</t>
  </si>
  <si>
    <t>susmit patil</t>
  </si>
  <si>
    <t>Mr. Ali Asgar Haji</t>
  </si>
  <si>
    <t>blockchain developer intern</t>
  </si>
  <si>
    <t>Gaurav Umesh Nambiar</t>
  </si>
  <si>
    <t>Mrs Tency George</t>
  </si>
  <si>
    <t>IT intern</t>
  </si>
  <si>
    <t>Mr. Kunal Dixit</t>
  </si>
  <si>
    <t>Junior Technical Developer</t>
  </si>
  <si>
    <t>Sahil Kamlesh Changlani</t>
  </si>
  <si>
    <t>The Sparks foundation</t>
  </si>
  <si>
    <t>Mobile App Development</t>
  </si>
  <si>
    <t>Sasikumar Goundar</t>
  </si>
  <si>
    <t>The Sparks Foundation</t>
  </si>
  <si>
    <t>Web Development and Designing</t>
  </si>
  <si>
    <t xml:space="preserve">Priyanka Hotchandani </t>
  </si>
  <si>
    <t>Business Analytics Trainee developed project “Investment Analysis using PANDAS”</t>
  </si>
  <si>
    <t>Jr. Technology Developer (App Development using Flutter, Content Writing)</t>
  </si>
  <si>
    <t>Jr. Technology Developer</t>
  </si>
  <si>
    <t>Mr Gagan Singh</t>
  </si>
  <si>
    <t>Car Model Acceptance Using AIML Model</t>
  </si>
  <si>
    <t>Khan Fardeen Mohammad Rafik</t>
  </si>
  <si>
    <t>Machine learning</t>
  </si>
  <si>
    <t>Zain Shahid Azmi</t>
  </si>
  <si>
    <t>Mr. Sibath Ahmed , Mr. Mohammed Shahid</t>
  </si>
  <si>
    <t>I.T Administration and Server and Firewall Management</t>
  </si>
  <si>
    <t>Krish Prakash Bhat</t>
  </si>
  <si>
    <t>Mr. Milan Roy</t>
  </si>
  <si>
    <t>campus ambassador(digital marketing field)</t>
  </si>
  <si>
    <t>Varshaah Shashidhar Karkala</t>
  </si>
  <si>
    <t>Milan Roy</t>
  </si>
  <si>
    <t>Digital Marketing</t>
  </si>
  <si>
    <t>Rohan Ajmera</t>
  </si>
  <si>
    <t>Mr. Bhushan Sabadra</t>
  </si>
  <si>
    <t>Internship title - Game Developer, Project - Bonds game</t>
  </si>
  <si>
    <t>Mr. Ashish Ashok Chaurasia</t>
  </si>
  <si>
    <t>Internship title - Mobile App Developer, Project - Payment Shop</t>
  </si>
  <si>
    <t>Tanmay Tete</t>
  </si>
  <si>
    <t>Sales and Marketing Intern</t>
  </si>
  <si>
    <t>Priya Basant Gupta</t>
  </si>
  <si>
    <t>Vani Vipul Kamani</t>
  </si>
  <si>
    <t>Mr Kunal Dixit</t>
  </si>
  <si>
    <t>App Development using Flutter and Content Writing</t>
  </si>
  <si>
    <t>Dhairya Samir Salot</t>
  </si>
  <si>
    <t>Mr. Ashish Chaurasia</t>
  </si>
  <si>
    <t>App Developer</t>
  </si>
  <si>
    <t>Peeya Thacker</t>
  </si>
  <si>
    <t>Shivam Bhotika</t>
  </si>
  <si>
    <t>Marketing Ambassador</t>
  </si>
  <si>
    <t>Neeraj Arun Naik</t>
  </si>
  <si>
    <t>Ms. Kavita Menon</t>
  </si>
  <si>
    <t>Verifying resource and patient leads, Collating and managing databases</t>
  </si>
  <si>
    <t>Mrs. Ketkee Pandit</t>
  </si>
  <si>
    <t>Exploring hand written data extraction and multi-language data extraction</t>
  </si>
  <si>
    <t>Ms. Tithi Mukherjee</t>
  </si>
  <si>
    <t>Developed Covid-19 dashboard using Power Bi</t>
  </si>
  <si>
    <t>Isha Rajesh Dhabalia</t>
  </si>
  <si>
    <t>Dhananjay Chaudhari</t>
  </si>
  <si>
    <t>Worked on Power BI reports for Insurance business operation development unit</t>
  </si>
  <si>
    <t xml:space="preserve">Aditi Paretkar </t>
  </si>
  <si>
    <t xml:space="preserve">Ms. Sreya Bhattacharya </t>
  </si>
  <si>
    <t>Mobile App Development Intern</t>
  </si>
  <si>
    <t>Shrikant Rameshchandra Sahu</t>
  </si>
  <si>
    <t>Ms. Kareena Singh</t>
  </si>
  <si>
    <t>Facebook Marketing Intern</t>
  </si>
  <si>
    <t>Mr. Rajat Piplewar</t>
  </si>
  <si>
    <t>Web Development, uCheck –Construction Checklist.</t>
  </si>
  <si>
    <t>Mahi Paresh Dedhia</t>
  </si>
  <si>
    <t>Image Registration and Fusion</t>
  </si>
  <si>
    <t>Mr. Aarav</t>
  </si>
  <si>
    <t>Web Developer Intern</t>
  </si>
  <si>
    <t>Rushil</t>
  </si>
  <si>
    <t>Tameesh Sood</t>
  </si>
  <si>
    <t>Lead React Native Developer</t>
  </si>
  <si>
    <t>Ayushi Jayantibhai Vaghela</t>
  </si>
  <si>
    <t>Dr. Sejal Shah</t>
  </si>
  <si>
    <t xml:space="preserve">Student Intern </t>
  </si>
  <si>
    <t>Mr Abhishek Gupta</t>
  </si>
  <si>
    <t xml:space="preserve">Doubtnut </t>
  </si>
  <si>
    <t>Multilingual Speech Translation Mobile Application</t>
  </si>
  <si>
    <t>Parth Sangoi</t>
  </si>
  <si>
    <t>Mr. Shratik Jaiswal</t>
  </si>
  <si>
    <t>Nishant Amit Rajadhyaksha</t>
  </si>
  <si>
    <t xml:space="preserve">Khushal B Jhaveri </t>
  </si>
  <si>
    <t>TMRT Ros team</t>
  </si>
  <si>
    <t>Rishabh Pote</t>
  </si>
  <si>
    <t>Junior Intern at Moshak Tech</t>
  </si>
  <si>
    <t>Manas Vidhyesh Marathe</t>
  </si>
  <si>
    <t xml:space="preserve">Dr. Ninad Mehendale </t>
  </si>
  <si>
    <t>Image Processing and Machine Learning</t>
  </si>
  <si>
    <t>Mr. Palak Shah</t>
  </si>
  <si>
    <t>Web development</t>
  </si>
  <si>
    <t>Portfolio Internship</t>
  </si>
  <si>
    <t>Software Head</t>
  </si>
  <si>
    <t>Ms. Palak Shah</t>
  </si>
  <si>
    <t>Website Designer and Developer</t>
  </si>
  <si>
    <t>Devansh Dhimant Shah</t>
  </si>
  <si>
    <t>Mr. Soumya Kanti Banerjee</t>
  </si>
  <si>
    <t>Associate Consultant Intern, Worked on Car Rentals System using Power Platform</t>
  </si>
  <si>
    <t>Dwayne Nigel Vaz</t>
  </si>
  <si>
    <t>Mr. Eric Chan</t>
  </si>
  <si>
    <t>Title: Computer Engineering and Data Science Intern</t>
  </si>
  <si>
    <t>UCHIT NIKHIL MODY</t>
  </si>
  <si>
    <t xml:space="preserve">TMRT- Software Team: ROS </t>
  </si>
  <si>
    <t>Kunal Dixit</t>
  </si>
  <si>
    <t>App Development using Flutter and Content Writer (Jr. Technology Developer)</t>
  </si>
  <si>
    <t>Bhavish Nikhil Salia</t>
  </si>
  <si>
    <t>Mrs Radhika Pillai</t>
  </si>
  <si>
    <t>Tushar M Bapecha</t>
  </si>
  <si>
    <t>Prasanta Mohanty, Hirnaya Deka, Ananya Gupta</t>
  </si>
  <si>
    <t>Software Engineer Intern</t>
  </si>
  <si>
    <t>Mr.Kunal Dixit</t>
  </si>
  <si>
    <t>Mrs. Shweta Sawant, Mr. Amit Upadhyay, Mr. Youvraj Ghorpade</t>
  </si>
  <si>
    <t xml:space="preserve">Summer Intern- Software Engineer </t>
  </si>
  <si>
    <t>Sudarshan Nair</t>
  </si>
  <si>
    <t>Internationalization Support</t>
  </si>
  <si>
    <t>Prasanta Mohanty</t>
  </si>
  <si>
    <t>Null</t>
  </si>
  <si>
    <t>Niha Kamaluddin Shaikh</t>
  </si>
  <si>
    <t>Polina Koroleva Agarwal</t>
  </si>
  <si>
    <t>App Development in Flutter</t>
  </si>
  <si>
    <t>Raj Kirti Shah</t>
  </si>
  <si>
    <t>Jalpa ma'am</t>
  </si>
  <si>
    <t xml:space="preserve">Data analyst (observing daily trends on their server) </t>
  </si>
  <si>
    <t xml:space="preserve"> Ketan Dodia</t>
  </si>
  <si>
    <t>Maintaining and developing E-commerce website and server</t>
  </si>
  <si>
    <t>Amogh Sinkar</t>
  </si>
  <si>
    <t>Mr. Manish K Konde</t>
  </si>
  <si>
    <t xml:space="preserve">Graphic Design and Content Writing </t>
  </si>
  <si>
    <t>Bhuvnesh Yogesh Solanki</t>
  </si>
  <si>
    <t>Mr. Suresh Kumar K U</t>
  </si>
  <si>
    <t>Learner- Remote Learning Program</t>
  </si>
  <si>
    <t>Mr. Prasanta Mohanty, Mr. Hiranya Deka, Mr. Ananya Gupta</t>
  </si>
  <si>
    <t>Mr. Gagandeep Panesar, Mrs. Arti Marane</t>
  </si>
  <si>
    <t>Mr. Rajat Piplewar, Ms. Shraddha Singh</t>
  </si>
  <si>
    <t>Data Analyst</t>
  </si>
  <si>
    <t>Mr. Rudra Dave</t>
  </si>
  <si>
    <t>Backend Developer- Software Developer</t>
  </si>
  <si>
    <t>Mr. Ravindra Manohar</t>
  </si>
  <si>
    <t>Project Intern - ComputerVision on Drones, Blockchain</t>
  </si>
  <si>
    <t>Darshil Mehul Mehta</t>
  </si>
  <si>
    <t>Mr. Amay Gada</t>
  </si>
  <si>
    <t>More Jayadeep Sudhakar</t>
  </si>
  <si>
    <t>Mr. Pankaj Pate</t>
  </si>
  <si>
    <t>Digital Marketing Internship</t>
  </si>
  <si>
    <t>Mr. Dev Shah, Mr. Vikas Gupta</t>
  </si>
  <si>
    <t>Backend developer</t>
  </si>
  <si>
    <t>Harshavardhan Rajesh Talele</t>
  </si>
  <si>
    <t>Mrs. Arti Marane, Mr. Gagandeep Panesar</t>
  </si>
  <si>
    <t>Summer Internship as Software Engineer</t>
  </si>
  <si>
    <t>Mihir Sheth</t>
  </si>
  <si>
    <t>Mr. Gaurang Shetty</t>
  </si>
  <si>
    <t>Marketing Executive</t>
  </si>
  <si>
    <t>Pranav Nitin Patki</t>
  </si>
  <si>
    <t>React-Native Developer</t>
  </si>
  <si>
    <t>Bhavin Shankar Patel</t>
  </si>
  <si>
    <t>Saurabh Shah</t>
  </si>
  <si>
    <t>Web developer- website development for iconnect , app development.</t>
  </si>
  <si>
    <t>NIMISH VITHALANI</t>
  </si>
  <si>
    <t>Mr. Harshil Bansal</t>
  </si>
  <si>
    <t>Intern – Python and Node.JS Development</t>
  </si>
  <si>
    <t>Aniket Shailesh Joshi</t>
  </si>
  <si>
    <t xml:space="preserve">Harsh Jain </t>
  </si>
  <si>
    <t>Content Creation</t>
  </si>
  <si>
    <t>Sudiksha Mishra</t>
  </si>
  <si>
    <t>Mr. Divya Kumar Mishra</t>
  </si>
  <si>
    <t>Training on FTPC software, an MES product of Rockwell Automation</t>
  </si>
  <si>
    <t>Dr. Sonali Patil</t>
  </si>
  <si>
    <t>BETIC Project Intern - Wrist CPM machine</t>
  </si>
  <si>
    <t>Mr.  Saruque Ahamed Mollick</t>
  </si>
  <si>
    <t>working on different source codes implementing android applications xml,java</t>
  </si>
  <si>
    <t>Mr. Saumya Agrawal</t>
  </si>
  <si>
    <t>Dr. Irfan Siddavatam</t>
  </si>
  <si>
    <t>COMRADE</t>
  </si>
  <si>
    <t>Flutter Developer</t>
  </si>
  <si>
    <t>Sarvesh Bangad</t>
  </si>
  <si>
    <t>Internship Cell Coordinator</t>
  </si>
  <si>
    <t>Nidhi Bhanushali</t>
  </si>
  <si>
    <t>Mr. Sunny Kumar</t>
  </si>
  <si>
    <t>Subject Matter Expert for Python</t>
  </si>
  <si>
    <t>Hinal Rohitbhai Pujara</t>
  </si>
  <si>
    <t>Mrs. Lillu Routray</t>
  </si>
  <si>
    <t>HR - INTERN</t>
  </si>
  <si>
    <t>Mr. Vedant Khandokar</t>
  </si>
  <si>
    <t>Madhur Vishwas Dixit</t>
  </si>
  <si>
    <t>Mr. Chinmay Narbekar</t>
  </si>
  <si>
    <t>Web Developer intern</t>
  </si>
  <si>
    <t>Amey Satish Gangan</t>
  </si>
  <si>
    <t>Ms. Karishma Kunder</t>
  </si>
  <si>
    <t>Data Collection Intern</t>
  </si>
  <si>
    <t>Vedant Rajendra Sarnobat</t>
  </si>
  <si>
    <t>Mr. Abdul Ansari</t>
  </si>
  <si>
    <t>Flutter App development</t>
  </si>
  <si>
    <t>Swanand Mukund Apte</t>
  </si>
  <si>
    <t>Mr. Sujit Kumar</t>
  </si>
  <si>
    <t>Software Development Engineer</t>
  </si>
  <si>
    <t>Shefali Shailesh Prajapati</t>
  </si>
  <si>
    <t>Mr.Sumeet Malik</t>
  </si>
  <si>
    <t>Anay Sanjay Nayak</t>
  </si>
  <si>
    <t>Ms.Dharnhi Sharma (Vice President)</t>
  </si>
  <si>
    <t>Member(Raising and International Relations Management)</t>
  </si>
  <si>
    <t>Dhruv Harishchandra Nouni</t>
  </si>
  <si>
    <t>Maker Relations Executive In  Makermela</t>
  </si>
  <si>
    <t>Pinaki Rakesh Jayakar</t>
  </si>
  <si>
    <t xml:space="preserve">Miss. Aditi Bhadoriya </t>
  </si>
  <si>
    <t>Ojas Anil Kulkarni</t>
  </si>
  <si>
    <t>Ms Banya Brahma</t>
  </si>
  <si>
    <t>Summer Intern. Worked on Video Analysis using Machine Learning</t>
  </si>
  <si>
    <t>Freelance Developer Full Stack</t>
  </si>
  <si>
    <t>NISHIT RAJESH SHAH</t>
  </si>
  <si>
    <t>Mr. Abhay Joshi, Mr.Prayoosh Rawani, Miss. Twinkle Sanghvi</t>
  </si>
  <si>
    <t>Umaima Yasir  Dabir</t>
  </si>
  <si>
    <t>Mr. Md Nazim Ahmed</t>
  </si>
  <si>
    <t>relief for assam floods 2021</t>
  </si>
  <si>
    <t>RAJ JITESHKUMAR RATHOD</t>
  </si>
  <si>
    <t>Ms. Anima Agrawal</t>
  </si>
  <si>
    <t>Urmil Vora</t>
  </si>
  <si>
    <t>Mr. Darshak Gosar</t>
  </si>
  <si>
    <t>Trainee Web Developer</t>
  </si>
  <si>
    <t>Luv AnilKumar Arora</t>
  </si>
  <si>
    <t>Sarwasvi Ingoley</t>
  </si>
  <si>
    <t>Vinit Kailash Mundra</t>
  </si>
  <si>
    <t xml:space="preserve"> Mr. Rishav </t>
  </si>
  <si>
    <t>I worked on HTML, CSS, Firebase and NodeJS. Developed a full stack website .</t>
  </si>
  <si>
    <t>Mr. Rishav</t>
  </si>
  <si>
    <t>Jinay Girish Gada</t>
  </si>
  <si>
    <t>KJSCE Students' Council 2020-21</t>
  </si>
  <si>
    <t>Sanyam Vipul savla</t>
  </si>
  <si>
    <t>Dr Sudha Gupta</t>
  </si>
  <si>
    <t>KJSCE Students' Council</t>
  </si>
  <si>
    <t>Nishi Surendra Shah</t>
  </si>
  <si>
    <t>Dr.Sudha Gupta</t>
  </si>
  <si>
    <t>Cultural Secretary, KJSCE Student's Council</t>
  </si>
  <si>
    <t>Mr. Parag Jayawant Sinkar</t>
  </si>
  <si>
    <t>Leveraging Azure cloud data platforms for analytics and machine learning</t>
  </si>
  <si>
    <t>Sports Secretary at KJSCE Students' Council</t>
  </si>
  <si>
    <t>Literary Secretary at KJSCE Students' Council 2020-21</t>
  </si>
  <si>
    <t>SASHANK VV MATHAMSETTY</t>
  </si>
  <si>
    <t>Organizing Committee (Marketing)</t>
  </si>
  <si>
    <t>Visual Data Analytics using Tableau</t>
  </si>
  <si>
    <t>Mr. Sanyam Savla</t>
  </si>
  <si>
    <t xml:space="preserve">Jt. Literary Secretary, KJSCE Students' Council </t>
  </si>
  <si>
    <t>Mr. Amar Joshi</t>
  </si>
  <si>
    <t>Google Cloud Platform : Developed and implemented PoVs on Cloud Systems</t>
  </si>
  <si>
    <t>Google Cloud Platform</t>
  </si>
  <si>
    <t>Research on Multi-task learning for Facial Emotion Recognition</t>
  </si>
  <si>
    <t>Mansi Ramesh Bhanushali</t>
  </si>
  <si>
    <t>KJSCE Robocon Coding Team</t>
  </si>
  <si>
    <t>Prof Vaibhav Vasani</t>
  </si>
  <si>
    <t>Research Intern</t>
  </si>
  <si>
    <t>SASHANK</t>
  </si>
  <si>
    <t>PALAK CHOPRA</t>
  </si>
  <si>
    <t>Mr. Animesh Chaturvedi, Mr. Ronak Gala</t>
  </si>
  <si>
    <t>Video Editor, Graphic Designer</t>
  </si>
  <si>
    <t>Manasi Kamalkumar Varaiya</t>
  </si>
  <si>
    <t>Mohammed Javed Qureshi</t>
  </si>
  <si>
    <t>Content creation and management on the Social Media platforms</t>
  </si>
  <si>
    <t>Sam Thursfield, Carlos Garnacho</t>
  </si>
  <si>
    <t>worked on tracker-miner project of GNOME Foundation</t>
  </si>
  <si>
    <t>bhairav nitin narkhede</t>
  </si>
  <si>
    <t>ECG DIGITIZATION RESEARCH INTERNSHIP</t>
  </si>
  <si>
    <t>Akshat Alkesh Gandhi</t>
  </si>
  <si>
    <t>Mr. Nilesh Shahaji Deshmukh</t>
  </si>
  <si>
    <t>Developed a dashboard using data from snowflake and mysql</t>
  </si>
  <si>
    <t>Mr. Rajnish Kumar</t>
  </si>
  <si>
    <t>Big Data Analytics Intern</t>
  </si>
  <si>
    <t>Shreyas</t>
  </si>
  <si>
    <t>Sprinter Data - Snowflake Data Cloud Migration Accelerator</t>
  </si>
  <si>
    <t>Ajay Bhan</t>
  </si>
  <si>
    <t>Mr. Praveen Soni</t>
  </si>
  <si>
    <t>Youtube Recommender System</t>
  </si>
  <si>
    <t>Gaurang Hitesh Thakker</t>
  </si>
  <si>
    <t>Mr. Raghav Toshniwal</t>
  </si>
  <si>
    <t>Full Stack Web Development Intern</t>
  </si>
  <si>
    <t>Coding Team Member</t>
  </si>
  <si>
    <t>Meet Anil Gajra</t>
  </si>
  <si>
    <t>Dr. Prasanna Shete, Prof. Swati Mali</t>
  </si>
  <si>
    <t>Educonnect - software developer</t>
  </si>
  <si>
    <t>Gupshup- An Inhouse discussion forum</t>
  </si>
  <si>
    <t>Shubh Hitesh Gangar</t>
  </si>
  <si>
    <t>Online notes sharing web application was built with our mentor's advice.</t>
  </si>
  <si>
    <t xml:space="preserve">Developed Educonnect : An online notes and study material sharing portal </t>
  </si>
  <si>
    <t>Harshit Jain</t>
  </si>
  <si>
    <t>Gupshup: Discussion Forum</t>
  </si>
  <si>
    <t>Dr Manish Potey, Dr. Prasanna Shete, Prof Vaibhav Vasani, Prof Smita Sankhe, Prof Prasidini Padwal</t>
  </si>
  <si>
    <t xml:space="preserve">Hand Hygiene </t>
  </si>
  <si>
    <t>Rushabh Doshi</t>
  </si>
  <si>
    <t>Nilesh dodeja</t>
  </si>
  <si>
    <t>Software engineering intern - website development from scratch.</t>
  </si>
  <si>
    <t>Mr. Amit Goel</t>
  </si>
  <si>
    <t>FIS Team Integration and Technological learnings</t>
  </si>
  <si>
    <t>Revathi Priyan</t>
  </si>
  <si>
    <t>Mr. Rahul Upadhyay</t>
  </si>
  <si>
    <t>Developed an QR based complaint portal and website for Smartdwell Technologies.</t>
  </si>
  <si>
    <t>Amey Gangan</t>
  </si>
  <si>
    <t>Mr. Nagesh Prabhu</t>
  </si>
  <si>
    <t>Creative Eco-Warrior</t>
  </si>
  <si>
    <t>Herschel Menezes</t>
  </si>
  <si>
    <t>Mr. Anush Ramachandran</t>
  </si>
  <si>
    <t>MyCaptain Campus Ambassador</t>
  </si>
  <si>
    <t>Vedant Mahadik</t>
  </si>
  <si>
    <t>Mr. Aditya Srivastava</t>
  </si>
  <si>
    <t xml:space="preserve">ML and software engineering.Helped build a recommendation and validation system </t>
  </si>
  <si>
    <t>Raj Joshi, Aditya Srivastava</t>
  </si>
  <si>
    <t>Mrs. Mansi Kambli</t>
  </si>
  <si>
    <t>Image Compression</t>
  </si>
  <si>
    <t>Deven Sharma</t>
  </si>
  <si>
    <t>Vice Chairperson Marketing</t>
  </si>
  <si>
    <t>Mr. Raj Dhiravani</t>
  </si>
  <si>
    <t>Program Manager</t>
  </si>
  <si>
    <t>Mrs. Hetal Mundra</t>
  </si>
  <si>
    <t>Harsh Vitra</t>
  </si>
  <si>
    <t>Trainee Developer</t>
  </si>
  <si>
    <t>Chairperson</t>
  </si>
  <si>
    <t>Shruti Tyagi</t>
  </si>
  <si>
    <t>Engineering Virtual Internship</t>
  </si>
  <si>
    <t>Mrs. Sandhya Deshpande</t>
  </si>
  <si>
    <t>As a Summer Intern learnt the Use of Technology in trains</t>
  </si>
  <si>
    <t>Aagman Suri</t>
  </si>
  <si>
    <t>Mr. Swyam Duggal</t>
  </si>
  <si>
    <t>Utsavi Jiten Visaria</t>
  </si>
  <si>
    <t>Project Training in Software Development</t>
  </si>
  <si>
    <t>Keval Suresh Sanghvi</t>
  </si>
  <si>
    <t>Web Development Team, KJSCE</t>
  </si>
  <si>
    <t>Marmik Samir Shah</t>
  </si>
  <si>
    <t>KJSCE Web development team for developing Symphony 2021 Website</t>
  </si>
  <si>
    <t>Utsavi</t>
  </si>
  <si>
    <t>Jt. Sports Secretary</t>
  </si>
  <si>
    <t>Idrees Ibrahim Barnagarwala</t>
  </si>
  <si>
    <t>Mr. Majid Ramay</t>
  </si>
  <si>
    <t>IT Service desk process, network monitoring and security, server management</t>
  </si>
  <si>
    <t>Mr. Narendra Kumar</t>
  </si>
  <si>
    <t>Ecommerce website</t>
  </si>
  <si>
    <t>Tejas Suresh Khanolkar</t>
  </si>
  <si>
    <t>Mr. Ashish Lakra</t>
  </si>
  <si>
    <t>Full Stack Development</t>
  </si>
  <si>
    <t>Prateek Pandey</t>
  </si>
  <si>
    <t>parag jayawant sinkar</t>
  </si>
  <si>
    <t>Dr. Ramesh Lekurwale, Prof. Akshata Prabhu</t>
  </si>
  <si>
    <t>BETIC-Worked on a 'Dermatoscope' and modified its hardware capabilties.</t>
  </si>
  <si>
    <t>Prof. Rohini S Nair, Prof. Poonam M Bhogle</t>
  </si>
  <si>
    <t>A Study of Various Word Embeddings in Deep Learning</t>
  </si>
  <si>
    <t>Analysis of health parameters measured by a wearable fitness tracker</t>
  </si>
  <si>
    <t>Dr Prasanna Shette</t>
  </si>
  <si>
    <t>Air Quality Index Monitoring using Crowdsourcing Phase 2</t>
  </si>
  <si>
    <t>Devashish Chafale</t>
  </si>
  <si>
    <t>Mr Akshat Sharma, Mr Akash</t>
  </si>
  <si>
    <t>Campus ambassador</t>
  </si>
  <si>
    <t>Frontend Web Developer</t>
  </si>
  <si>
    <t>Rahul Panchal</t>
  </si>
  <si>
    <t>Prof. Pradnya Gothmare</t>
  </si>
  <si>
    <t>NLP Intern</t>
  </si>
  <si>
    <t>Arora Bishandeep Manmeet Singh</t>
  </si>
  <si>
    <t>Project Co-ordinator</t>
  </si>
  <si>
    <t>Ojasvi Saurabh Naik</t>
  </si>
  <si>
    <t>Location specific real-time air quality measurement using crowdsourcing  Phase 1</t>
  </si>
  <si>
    <t>Location specific real-time air quality measurement using crowdsourcing Phase 2</t>
  </si>
  <si>
    <t xml:space="preserve">Mr. Ronak Gala </t>
  </si>
  <si>
    <t xml:space="preserve">Creative Content Writing </t>
  </si>
  <si>
    <t>Mr. Shriram Lohar</t>
  </si>
  <si>
    <t xml:space="preserve">Machine Learning Development </t>
  </si>
  <si>
    <t>Parth Jignesh Mehta</t>
  </si>
  <si>
    <t>Mr. Vishal Geet</t>
  </si>
  <si>
    <t>Full Stack Developer, Leave Management System</t>
  </si>
  <si>
    <t>Aditya Deepak Bhaleghare</t>
  </si>
  <si>
    <t xml:space="preserve">Website Designer </t>
  </si>
  <si>
    <t>Vaishnavi Patil</t>
  </si>
  <si>
    <t>NA</t>
  </si>
  <si>
    <t>2021 - 22</t>
  </si>
  <si>
    <t>Mr. Rajesh Sheth</t>
  </si>
  <si>
    <t>Mr. Suresh Kumar KU</t>
  </si>
  <si>
    <t>Live Project- Remote Learning Program</t>
  </si>
  <si>
    <t>Mr. Kalpesh Pusalkar</t>
  </si>
  <si>
    <t>Hetvi Kothari</t>
  </si>
  <si>
    <t>IOT and Computer Vision</t>
  </si>
  <si>
    <t>Sarvesh Rajesh bangad</t>
  </si>
  <si>
    <t xml:space="preserve"> Software developer</t>
  </si>
  <si>
    <t>Soham Avanish Shah</t>
  </si>
  <si>
    <t>Mr.Monil Shah</t>
  </si>
  <si>
    <t>Automatic Detection of trendlines</t>
  </si>
  <si>
    <t>Sparks Foundation</t>
  </si>
  <si>
    <t>Web Developement and Design</t>
  </si>
  <si>
    <t>Meet Gandhi</t>
  </si>
  <si>
    <t>Mr. Sagar Patil</t>
  </si>
  <si>
    <t xml:space="preserve">Aditya P Malwade </t>
  </si>
  <si>
    <t>Mr Sagnik Ghosh</t>
  </si>
  <si>
    <t>Wed Development intern, Creating webpages with html css js and nodejs as backend</t>
  </si>
  <si>
    <t>Aditya Purushottam Malwade</t>
  </si>
  <si>
    <t>Full Stack Web Developer, Firebase as DB, Authentication, Admin Dashboard,NodeJs</t>
  </si>
  <si>
    <t>Rachana Mehta</t>
  </si>
  <si>
    <t>Client based project to develop a software</t>
  </si>
  <si>
    <t>Mr. Kes Daood</t>
  </si>
  <si>
    <t>React Frontend Developer</t>
  </si>
  <si>
    <t>Kaushik Shivkumar Iyer</t>
  </si>
  <si>
    <t>Abhishek Sachdeva, CA</t>
  </si>
  <si>
    <t>Rahul Nareshkumar Panchal</t>
  </si>
  <si>
    <t>Mr. Saurabh Bachawe</t>
  </si>
  <si>
    <t>Blockchain Front-End Developer</t>
  </si>
  <si>
    <t>Data science and business analytics intern</t>
  </si>
  <si>
    <t>AI/ML Internship</t>
  </si>
  <si>
    <t>Tarush Tejas Rajput</t>
  </si>
  <si>
    <t>Azhar Rabbani</t>
  </si>
  <si>
    <t>Mrs. Tejasvini Pise</t>
  </si>
  <si>
    <t>Business Development</t>
  </si>
  <si>
    <t>Aditya Malwade</t>
  </si>
  <si>
    <t>Mr. Sagnik Ghosh</t>
  </si>
  <si>
    <t>Mr. Shaik Rafi</t>
  </si>
  <si>
    <t>Dhairya Shah</t>
  </si>
  <si>
    <t>Mr. Rajesh Pandya</t>
  </si>
  <si>
    <t>Windows application development using Flutter</t>
  </si>
  <si>
    <t>Prof. Zaheed Shaikh, Prof. Nirmala Shinde</t>
  </si>
  <si>
    <t>Invigilator Duty Allocation System</t>
  </si>
  <si>
    <t>Prof. Zaheed Shaikh , Prof Nirmala Shinde</t>
  </si>
  <si>
    <t>Automated Invigilator Duty Allocation System</t>
  </si>
  <si>
    <t>VEDANT RAJENDRA SARNOBAT</t>
  </si>
  <si>
    <t>Ashish Ashok Chaurasia</t>
  </si>
  <si>
    <t>Mr. Nishant Vyas</t>
  </si>
  <si>
    <t>Project</t>
  </si>
  <si>
    <t>Mr. Aashish Mittal</t>
  </si>
  <si>
    <t>Data Preprocessing, NLP</t>
  </si>
  <si>
    <t>Mr Anubhav Mittal</t>
  </si>
  <si>
    <t>Flutter Developer Intern</t>
  </si>
  <si>
    <t>Mr. Somil Shah</t>
  </si>
  <si>
    <t>Front End Developer Intern</t>
  </si>
  <si>
    <t>Akash Sanjay Shetgar</t>
  </si>
  <si>
    <t>Madhavan Mukund</t>
  </si>
  <si>
    <t>Programming, Data Structures and Algorithms Using Python</t>
  </si>
  <si>
    <t>Mr. Tushar Sarkar</t>
  </si>
  <si>
    <t xml:space="preserve">Data Science Community Mentor </t>
  </si>
  <si>
    <t>Ayush Singh</t>
  </si>
  <si>
    <t>Mr. Pratap Singh</t>
  </si>
  <si>
    <t>Ansh Kaushik Dagha</t>
  </si>
  <si>
    <t>Dhruv Daftary</t>
  </si>
  <si>
    <t>Lead Website Developer</t>
  </si>
  <si>
    <t>Mr Ashish Ashok Chaurasia</t>
  </si>
  <si>
    <t>Mr. Mayank Arora</t>
  </si>
  <si>
    <t>Python for ML/AI</t>
  </si>
  <si>
    <t xml:space="preserve">Mr. Pranavesh Shenoy </t>
  </si>
  <si>
    <t>Social media executive for KathaShrankhla -an online story telling Festival</t>
  </si>
  <si>
    <t>Wed Development and Designing</t>
  </si>
  <si>
    <t>Avadesh Bhandari</t>
  </si>
  <si>
    <t>DOSHI PARAM PANKAJKUMAR</t>
  </si>
  <si>
    <t>Atharva Sangle</t>
  </si>
  <si>
    <t>Kinjal Parekh</t>
  </si>
  <si>
    <t>Mr. Nishant Sabnis</t>
  </si>
  <si>
    <t>Mr. Alpesh Bhanushali</t>
  </si>
  <si>
    <t>General Sales, Marketing campaign, Cloud management and SEO management</t>
  </si>
  <si>
    <t>Nimish Chittaranjandas Vithalani</t>
  </si>
  <si>
    <t>Mr.  Siddhesh Kulthe</t>
  </si>
  <si>
    <t xml:space="preserve">Course creator Intern at Codemugg. </t>
  </si>
  <si>
    <t>Dr. Deepak Sharma, Prof. Grishma Sharma</t>
  </si>
  <si>
    <t>Question Generation (MCQs, FIB, True/False) using NLP techniques</t>
  </si>
  <si>
    <t>TALHA CHAFEKAR</t>
  </si>
  <si>
    <t xml:space="preserve"> Question Generation (MCQs, FIB, True/False) using NLP techniques</t>
  </si>
  <si>
    <t>Mihir Jayanti Jadhav</t>
  </si>
  <si>
    <t xml:space="preserve">Prof. Zaheed Shaikh , Prof. Nirmala Shinde </t>
  </si>
  <si>
    <t>Naisargi Doshi</t>
  </si>
  <si>
    <t>Operations &amp; Frontend Web Development.</t>
  </si>
  <si>
    <t>Vihaan Prashant Puradkar</t>
  </si>
  <si>
    <t>Mr. Hrithik Poojaray</t>
  </si>
  <si>
    <t xml:space="preserve">Graphic Designer </t>
  </si>
  <si>
    <t>Mr. Rahul Nathan</t>
  </si>
  <si>
    <t>Jatin Saraf</t>
  </si>
  <si>
    <t>Ms. Ritika Prasad</t>
  </si>
  <si>
    <t>Brand Ambassador</t>
  </si>
  <si>
    <t>Dr. Irfan Siddavatam, Prof. Ashwini Dalvi</t>
  </si>
  <si>
    <t>Web development and web scraping</t>
  </si>
  <si>
    <t>Srinil Khandwala</t>
  </si>
  <si>
    <t>Dr. Akansha Singh, Dr Hosein Aghayan Golkashani</t>
  </si>
  <si>
    <t>Tushar Sarkar, Disha Shah</t>
  </si>
  <si>
    <t xml:space="preserve">Social Media Content Creator </t>
  </si>
  <si>
    <t>Saurav Shetty</t>
  </si>
  <si>
    <t>Mr. Rohit Nemani</t>
  </si>
  <si>
    <t>Flutter Junior Developer Internship</t>
  </si>
  <si>
    <t>Swastik Kar</t>
  </si>
  <si>
    <t>Karthee Vidya C</t>
  </si>
  <si>
    <t>Design games for students that can be played on the phone in 5 mins.</t>
  </si>
  <si>
    <t>Mulla Rayyan Razi</t>
  </si>
  <si>
    <t>Mr. Asim Siddiqui</t>
  </si>
  <si>
    <t>Android Development</t>
  </si>
  <si>
    <t>Mr. Aman Desai</t>
  </si>
  <si>
    <t>Archita Sogani</t>
  </si>
  <si>
    <t>MS. Payal Badhe</t>
  </si>
  <si>
    <t>Coding Tutor</t>
  </si>
  <si>
    <t>Bharuka Himanshu Manoj</t>
  </si>
  <si>
    <t>Mrs. Nikita Sharma</t>
  </si>
  <si>
    <t>Technical Human Resource Intern</t>
  </si>
  <si>
    <t>Ishit Arvind Fariya</t>
  </si>
  <si>
    <t>Mr. Naveen Kumar</t>
  </si>
  <si>
    <t>Made an front end part of their ecommerce website.</t>
  </si>
  <si>
    <t>Web development and design intern</t>
  </si>
  <si>
    <t>Mrs. Mayuri Hajare Gosewade</t>
  </si>
  <si>
    <t>Web Developement</t>
  </si>
  <si>
    <t>Akash R</t>
  </si>
  <si>
    <t>Mobile Application Developer</t>
  </si>
  <si>
    <t>Harsh Shah</t>
  </si>
  <si>
    <t>Mr. Deepak Malik</t>
  </si>
  <si>
    <t>ML Computer Vision Intern- Work on image and signal processing</t>
  </si>
  <si>
    <t>Mr. Aman Mujeeb, Mr. Sufian Shaikh</t>
  </si>
  <si>
    <t>Web Developer Intern / Mentor</t>
  </si>
  <si>
    <t>Bhumi Panchal</t>
  </si>
  <si>
    <t>Sufiyan Idrisi</t>
  </si>
  <si>
    <t>Mohd Jasir Noor Khan</t>
  </si>
  <si>
    <t>Ashish Pradhan</t>
  </si>
  <si>
    <t>Isha Vinod Jain</t>
  </si>
  <si>
    <t xml:space="preserve">Devansh Alpesh Sanghavi </t>
  </si>
  <si>
    <t>Devops Intern</t>
  </si>
  <si>
    <t>Mr. Utkarsh Tiwary</t>
  </si>
  <si>
    <t>Mr. Raghav Jain</t>
  </si>
  <si>
    <t>College Ambassador (Social Media Marketing)</t>
  </si>
  <si>
    <t>Dr. Deepak Changlani</t>
  </si>
  <si>
    <t>App Developer(Appointment booking app)</t>
  </si>
  <si>
    <t>App Developer (Appointment booking app)</t>
  </si>
  <si>
    <t>Kapil Wagh</t>
  </si>
  <si>
    <t>App Developer(Appointment Booking App)</t>
  </si>
  <si>
    <t>Ved Govardhan Patel</t>
  </si>
  <si>
    <t>Mr. Abdul Khaliq</t>
  </si>
  <si>
    <t>Mihir Rahul Hundiwala</t>
  </si>
  <si>
    <t>Chhavi Gupta</t>
  </si>
  <si>
    <t>Ms. Siddhi Sawant</t>
  </si>
  <si>
    <t>team member at kjsce robocon - Image processing</t>
  </si>
  <si>
    <t>Mr. Sherullah Baig</t>
  </si>
  <si>
    <t>Did testing on LMD app to be deployed within e-com website and did data analysis</t>
  </si>
  <si>
    <t>Parth Mehta</t>
  </si>
  <si>
    <t>Mr. Sudhakar Surve</t>
  </si>
  <si>
    <t>Accounting and Sales Internship</t>
  </si>
  <si>
    <t>Mihir Dholakia</t>
  </si>
  <si>
    <t>The Sparks Foundation for function Data Science &amp; Business Analytics</t>
  </si>
  <si>
    <t>Siddharth Maniar</t>
  </si>
  <si>
    <t>Gaurav Chawla</t>
  </si>
  <si>
    <t>Mr. Atharva Sangle</t>
  </si>
  <si>
    <t>Mr Deven Sharma</t>
  </si>
  <si>
    <t>Vice Chairperson, Graphic Design &amp; Video Editing</t>
  </si>
  <si>
    <t>Jinay Jain</t>
  </si>
  <si>
    <t>Mr Dhruman gohil</t>
  </si>
  <si>
    <t>Blanket Distribution Project Volunteer</t>
  </si>
  <si>
    <t>Sanyukta Joshi</t>
  </si>
  <si>
    <t>Social Media Marketing Intern</t>
  </si>
  <si>
    <t>Mr. Swapnil Sule</t>
  </si>
  <si>
    <t>Sneha Panditpautra</t>
  </si>
  <si>
    <t>Joint Marketing Head for Maker Mela 2022</t>
  </si>
  <si>
    <t>MANN JIGNESH SHAH</t>
  </si>
  <si>
    <t>Krish Bhat</t>
  </si>
  <si>
    <t>Mr. Deven Sharma</t>
  </si>
  <si>
    <t>Ishika De</t>
  </si>
  <si>
    <t>Ms. Riya Rege</t>
  </si>
  <si>
    <t>Content Developer</t>
  </si>
  <si>
    <t>Nidhin Mon Paul</t>
  </si>
  <si>
    <t>Office Admin Intern</t>
  </si>
  <si>
    <t>Dhairya Ameria</t>
  </si>
  <si>
    <t>Mr. Vedant Khandelwal</t>
  </si>
  <si>
    <t>Tech Intern</t>
  </si>
  <si>
    <t>Mr. Bhavik Mehta</t>
  </si>
  <si>
    <t>Sneha Ashit Kothi</t>
  </si>
  <si>
    <t>Ms.Disha Shah</t>
  </si>
  <si>
    <t>Social Media Reel Creator</t>
  </si>
  <si>
    <t>Ms. Disha Shah</t>
  </si>
  <si>
    <t>Mr. Harshal Mandlekar</t>
  </si>
  <si>
    <t>Full Stack Developer (Technical Intern)</t>
  </si>
  <si>
    <t>Mr Priyesh Kumar</t>
  </si>
  <si>
    <t>Bhushan Pungliya</t>
  </si>
  <si>
    <t>MIHIR GIRISH PANDYA</t>
  </si>
  <si>
    <t>Mr. Kashish Kumar</t>
  </si>
  <si>
    <t>Youtube adview prediction using Machine Learning</t>
  </si>
  <si>
    <t>Divya Tikoo</t>
  </si>
  <si>
    <t>Head, Public Relations</t>
  </si>
  <si>
    <t>Aaditya Mahadevan</t>
  </si>
  <si>
    <t>Rajesh Mahadevan</t>
  </si>
  <si>
    <t>Trainee AWS Cloud Engineer- AWS setup and configuration, report generation etc.</t>
  </si>
  <si>
    <t>Chintan Kirtikumar Modi</t>
  </si>
  <si>
    <t>Manav Matolia</t>
  </si>
  <si>
    <t>Mobile App Development intern</t>
  </si>
  <si>
    <t>Mr. Atul Verma</t>
  </si>
  <si>
    <t>Monika Tandulkar</t>
  </si>
  <si>
    <t>Business Process Automation and Financial summarization</t>
  </si>
  <si>
    <t>Meet Jagdish Panchal</t>
  </si>
  <si>
    <t>Mr. Jitesh Seth , Mr. Saurabh Shah</t>
  </si>
  <si>
    <t>Courier App development using Flutter and Firebase</t>
  </si>
  <si>
    <t>Mr. Nischay Ghadge</t>
  </si>
  <si>
    <t>Hrishik Sancheti</t>
  </si>
  <si>
    <t>Ishan Vatsaraj</t>
  </si>
  <si>
    <t>App development , SecurET app , Flutter-firebase</t>
  </si>
  <si>
    <t>Mr. Sanjeet Naik</t>
  </si>
  <si>
    <t>Mr. Shariq Ansari,  Gavin D'souza</t>
  </si>
  <si>
    <t>Harsh Gada</t>
  </si>
  <si>
    <t>Md. Sabahuzzaman</t>
  </si>
  <si>
    <t>Himanshu Teotia</t>
  </si>
  <si>
    <t>Data Analytics Intern</t>
  </si>
  <si>
    <t>Aayush Malde</t>
  </si>
  <si>
    <t>Mr. Vijay Kawale</t>
  </si>
  <si>
    <t>Priyal Pradeep Babel</t>
  </si>
  <si>
    <t>Implementation of various Cyber Attack prevention techniques</t>
  </si>
  <si>
    <t>Implementing various Cyber Attack prevention techniques</t>
  </si>
  <si>
    <t>Mr Manav matolia</t>
  </si>
  <si>
    <t>Mr. Shubham</t>
  </si>
  <si>
    <t>Creatives Intern</t>
  </si>
  <si>
    <t>Rahul Anand</t>
  </si>
  <si>
    <t>Dr. Bhakti Palkar</t>
  </si>
  <si>
    <t>Palm Tree Detection using ArcGIS Pro</t>
  </si>
  <si>
    <t xml:space="preserve">Talha Chafekar </t>
  </si>
  <si>
    <t>Dr Deepak Sharma, Prof Grishma Sharma</t>
  </si>
  <si>
    <t xml:space="preserve">Question Generation using Graph Neural Networks </t>
  </si>
  <si>
    <t>Prof. Grishma Sharma, Dr. Deepak Sharma</t>
  </si>
  <si>
    <t>Dr. Ninad Mehendale, Prof. Makarand Kulkarn</t>
  </si>
  <si>
    <t>LiDAR cap for the blind with text-to-speech (TTS) navigation system</t>
  </si>
  <si>
    <t>TMRT (Team Captain)</t>
  </si>
  <si>
    <t>Mritunjay Musale</t>
  </si>
  <si>
    <t>Applying Deep Learning on  Fluid Simulation problem</t>
  </si>
  <si>
    <t>Kush Vora</t>
  </si>
  <si>
    <t>Mrs. Pema Sherpa</t>
  </si>
  <si>
    <t>Information Engineer Intern at Symbl.ai as part of the Github Externship Program</t>
  </si>
  <si>
    <t>Tanishk Krishnakant Shah</t>
  </si>
  <si>
    <t>Mr. Manish Naik</t>
  </si>
  <si>
    <t xml:space="preserve">Prof. Vaibhav Vasani </t>
  </si>
  <si>
    <t>Supporting and upgrading Peer Grade system</t>
  </si>
  <si>
    <t>Kunal Kalpesh Maniyar</t>
  </si>
  <si>
    <t>Omkar Sawant</t>
  </si>
  <si>
    <t>Mr. Aaquib Niyama</t>
  </si>
  <si>
    <t>CA Aishwary Gupta</t>
  </si>
  <si>
    <t>Full Stack Developer Intern</t>
  </si>
  <si>
    <t>Mr. Nihaal Singh Adarsh</t>
  </si>
  <si>
    <t>Vidisha Wanjare</t>
  </si>
  <si>
    <t>Prof. Sagar Korde , Prof. Inderjit Singh Dhanjal</t>
  </si>
  <si>
    <t>Mr. Tushar Sarkar, Ms. Disha Shah</t>
  </si>
  <si>
    <t>Front end developer intern</t>
  </si>
  <si>
    <t xml:space="preserve"> Marketing Wing at BloomBox E-Cell KJSCE</t>
  </si>
  <si>
    <t>Preetish Parikh</t>
  </si>
  <si>
    <t>Web developer</t>
  </si>
  <si>
    <t>Shubham Mayur Mehta</t>
  </si>
  <si>
    <t>Mr. Shubham Prakash</t>
  </si>
  <si>
    <t>Outreach Intern</t>
  </si>
  <si>
    <t>Mr. Hiten Sachdev</t>
  </si>
  <si>
    <t xml:space="preserve">Yash Dedhia </t>
  </si>
  <si>
    <t>Frontend Intern</t>
  </si>
  <si>
    <t>Shreshtha Sodhia</t>
  </si>
  <si>
    <t>Social Media Content Writer</t>
  </si>
  <si>
    <t xml:space="preserve">Social media volunteer. </t>
  </si>
  <si>
    <t>Kavya Bansal</t>
  </si>
  <si>
    <t>Mr. Aman Singhal</t>
  </si>
  <si>
    <t>Azure Technology</t>
  </si>
  <si>
    <t xml:space="preserve">Bloombox – ECell of KJSCE: Technical Wing </t>
  </si>
  <si>
    <t>Ghanchi Vinod Ramesh Hema</t>
  </si>
  <si>
    <t>Assistant prof. Mr. Vaibhav Vasani</t>
  </si>
  <si>
    <t>Sentiment analysis part 1</t>
  </si>
  <si>
    <t>Nair Sidharth Vinodkumar Anupama</t>
  </si>
  <si>
    <t>Assistant Professor Vaibhav Vasani</t>
  </si>
  <si>
    <t>Sentiment Analysis Part 1</t>
  </si>
  <si>
    <t>Corporate Wing</t>
  </si>
  <si>
    <t>Siddhi Sawant</t>
  </si>
  <si>
    <t>Team Member at the Coding division</t>
  </si>
  <si>
    <t>Yash Darshan Shah</t>
  </si>
  <si>
    <t>Mr. Adhik Mewada</t>
  </si>
  <si>
    <t>a Marketing Executive Intern</t>
  </si>
  <si>
    <t>Umaima Yasir Dabir</t>
  </si>
  <si>
    <t>Mr. Anis Kazi</t>
  </si>
  <si>
    <t>Full time IT Services Management Intern. Understanding IT as a service provider.</t>
  </si>
  <si>
    <t>Ms. Riya Rege, Ms. Vidhi Shah</t>
  </si>
  <si>
    <t>Content Development Intern</t>
  </si>
  <si>
    <t>Bhavesh Ghanchi</t>
  </si>
  <si>
    <t>Mr. G Ravikanth Reddy</t>
  </si>
  <si>
    <t>Backend App developer. create backend apis in nodejs, mongodb and express</t>
  </si>
  <si>
    <t xml:space="preserve">Marketing Wing </t>
  </si>
  <si>
    <t>Pratham Mehta</t>
  </si>
  <si>
    <t xml:space="preserve">Machine-Vision based crack detection bot for Railway Tracks </t>
  </si>
  <si>
    <t>Manav Modi</t>
  </si>
  <si>
    <t>Mr.Dheeraj Mittal</t>
  </si>
  <si>
    <t>Web Development (FRONT-END)</t>
  </si>
  <si>
    <t>Mr. Sunil Dadhich</t>
  </si>
  <si>
    <t>Secure IT Ecosystem (Email Security, EPP using Antivirus and EDR)</t>
  </si>
  <si>
    <t xml:space="preserve">Gaurav Umesh Nambiar </t>
  </si>
  <si>
    <t>Mr. Prashant D Kamat</t>
  </si>
  <si>
    <t>Front end web developer</t>
  </si>
  <si>
    <t>Ananya Sengupta</t>
  </si>
  <si>
    <t>Mr. Payodhi Mishra</t>
  </si>
  <si>
    <t>NOCPL Helpdesk</t>
  </si>
  <si>
    <t>Anisha Sah</t>
  </si>
  <si>
    <t>Mr. Ramkumar Ranganathan</t>
  </si>
  <si>
    <t>Face Detection and Recognition and models in python using AI and deep learning</t>
  </si>
  <si>
    <t>Janhavi Shailendra Komurlekar</t>
  </si>
  <si>
    <t>Data analysis and annotation. (scraping,cleaning data from justdial &amp; instagram)</t>
  </si>
  <si>
    <t>Jeet Sawardekar</t>
  </si>
  <si>
    <t xml:space="preserve">Corporate Wing </t>
  </si>
  <si>
    <t>Arpita Saxena</t>
  </si>
  <si>
    <t>Mr. Anmol</t>
  </si>
  <si>
    <t>Dolly Pathak</t>
  </si>
  <si>
    <t>Mr. Ritesh Chourasia</t>
  </si>
  <si>
    <t xml:space="preserve">Testing the simulation of Aerodynamic flow by applying a deep learning approach </t>
  </si>
  <si>
    <t>Confidential as per firm policy</t>
  </si>
  <si>
    <t>Technical Analyst Intern</t>
  </si>
  <si>
    <t>Mayank Dhiraj Chopra</t>
  </si>
  <si>
    <t>Mr. Akash R</t>
  </si>
  <si>
    <t>AI in Medical Imaging</t>
  </si>
  <si>
    <t>Mr. Yash Dedhia</t>
  </si>
  <si>
    <t>Technical Team Lead</t>
  </si>
  <si>
    <t xml:space="preserve">Pathik Prashant Ghugare </t>
  </si>
  <si>
    <t xml:space="preserve">Mr. Shashank Lokesh </t>
  </si>
  <si>
    <t>Research in Adversarial ML</t>
  </si>
  <si>
    <t xml:space="preserve">Hinal Pujara </t>
  </si>
  <si>
    <t>Parthiv Shah, Srinivas Sivkumar</t>
  </si>
  <si>
    <t>Diabetic Retinopathy - Segmenting Exudates from Fundus Images</t>
  </si>
  <si>
    <t>Diabetic Retinopathy</t>
  </si>
  <si>
    <t xml:space="preserve">Aparna Jadhav </t>
  </si>
  <si>
    <t>Ms. Grishma Sharma</t>
  </si>
  <si>
    <t>Information extraction and Parsing of documents using NLP.</t>
  </si>
  <si>
    <t>Isha Yogesh Kaskhedikar</t>
  </si>
  <si>
    <t>Mr. Mangesh Dashpute, Mr. Shivraj Chougule</t>
  </si>
  <si>
    <t>Summer intern in Backup &amp; data recovery vertical of CW worked on TrialExperience</t>
  </si>
  <si>
    <t>Design and develop the frontend of the web application for  products</t>
  </si>
  <si>
    <t>Parth Satyen Shah</t>
  </si>
  <si>
    <t>Mrs Nancy Saroha</t>
  </si>
  <si>
    <t>Video Content developement on OOP concepts in Python</t>
  </si>
  <si>
    <t>Information Extraction - Worked on Embeddings in NLP and Data Pre-Processing</t>
  </si>
  <si>
    <t>Video Editing Intern</t>
  </si>
  <si>
    <t>Mr. Rishi Raigude</t>
  </si>
  <si>
    <t>Volunteering Teacher</t>
  </si>
  <si>
    <t>Mr. Nagaraj Chittapur, Mrs Sushma Nagaraj</t>
  </si>
  <si>
    <t>Applications Developer Intern</t>
  </si>
  <si>
    <t>Mr. Vikrant Tyagi, Mr. Deepak Atry</t>
  </si>
  <si>
    <t>Mr. Shivendra Mishra, Mr. Chetan Parmar</t>
  </si>
  <si>
    <t>Python developer- Developed search utility which enable search on datastage jobs</t>
  </si>
  <si>
    <t>zenith mehta</t>
  </si>
  <si>
    <t>mr punit ganatra</t>
  </si>
  <si>
    <t>FrontEnd Web Developement</t>
  </si>
  <si>
    <t>Gaurav Nilesh Mehta</t>
  </si>
  <si>
    <t>Dr. Suren Patwardhan, Prof. Vinayak Kharpude, Prof. Jitendra Karekar</t>
  </si>
  <si>
    <t>Technical Team Member for Team Emfinity</t>
  </si>
  <si>
    <t>Aishwarya Ramasubramanian</t>
  </si>
  <si>
    <t>Esha Milind Shelar</t>
  </si>
  <si>
    <t>Public Relations and Creative Team Member</t>
  </si>
  <si>
    <t>Aditya pawar</t>
  </si>
  <si>
    <t>Debashan China</t>
  </si>
  <si>
    <t>Gaurav Yogesh Kulkarni</t>
  </si>
  <si>
    <t>FrontEnd Developent in React js</t>
  </si>
  <si>
    <t>Ms. Sanika Chavan, Mr. Pratik Vasa</t>
  </si>
  <si>
    <t>Intern: Engineering &amp; Technology Team</t>
  </si>
  <si>
    <t>Chief Managing Officer</t>
  </si>
  <si>
    <t>Abeeshek Pandit</t>
  </si>
  <si>
    <t>Technology Intern(Summer Internship)</t>
  </si>
  <si>
    <t>Prof Pradnya Gotmare</t>
  </si>
  <si>
    <t>NLP- Information Extraction</t>
  </si>
  <si>
    <t>Ayush Subedar Singh</t>
  </si>
  <si>
    <t>Mr. Anurag Anand</t>
  </si>
  <si>
    <t>Created a portal used to search and assign cases in Salesforce.</t>
  </si>
  <si>
    <t>Public Relations Head</t>
  </si>
  <si>
    <t>Dr S S Bhusnoor</t>
  </si>
  <si>
    <t>Dr. S.S. Bhusnoor</t>
  </si>
  <si>
    <t>Ebrahim Malkapurwala</t>
  </si>
  <si>
    <t>Mr. Husainy Hakimuddin</t>
  </si>
  <si>
    <t>Pre Sales(Marketing), Social Media Marketing across all digital platforms.</t>
  </si>
  <si>
    <t>Hardik Mitesh Kapadia</t>
  </si>
  <si>
    <t>Mr. Vamsi Madhav</t>
  </si>
  <si>
    <t>Software developer Intern</t>
  </si>
  <si>
    <t>Nilesh Shah</t>
  </si>
  <si>
    <t>Junior Sales Representative</t>
  </si>
  <si>
    <t>Burhanuddin Rangwala</t>
  </si>
  <si>
    <t>Software Engineer</t>
  </si>
  <si>
    <t>Dr. Ajay Gangrade</t>
  </si>
  <si>
    <t>Team Eta - Web application development intern</t>
  </si>
  <si>
    <t>Mr. Mitesh Shah</t>
  </si>
  <si>
    <t>Mr. Himanshu Arora</t>
  </si>
  <si>
    <t>Mr. Kunal Khubchandani</t>
  </si>
  <si>
    <t>Recruitment Management System</t>
  </si>
  <si>
    <t>Miss.Misba Mulla</t>
  </si>
  <si>
    <t>Lead Developer for Wallet Intel. Built microservices on aws to help 20 business.</t>
  </si>
  <si>
    <t>Mr. Akash Bagrecha</t>
  </si>
  <si>
    <t>Pranav Patki</t>
  </si>
  <si>
    <t>Information Extraction-Worked on Embeddings in NLP and Data Pre-Processing</t>
  </si>
  <si>
    <t>Mr. Chandrahas Singh</t>
  </si>
  <si>
    <t>Software Engineer Program Internship 2022</t>
  </si>
  <si>
    <t>Mr. Shivanshu Gupta, Mr. Daksh Tyagi</t>
  </si>
  <si>
    <t>Full Stack Developer in Web Development</t>
  </si>
  <si>
    <t>Aparna Jadhav</t>
  </si>
  <si>
    <t>Mrs. Pradnya Gotmare</t>
  </si>
  <si>
    <t>NLP information extraction</t>
  </si>
  <si>
    <t>Ms. Pradnya S Gotmare</t>
  </si>
  <si>
    <t>Information extraction.</t>
  </si>
  <si>
    <t>Mrs. Ketaki Gathoo</t>
  </si>
  <si>
    <t>Intern in Markets Pre Trade</t>
  </si>
  <si>
    <t>Jheel Gala</t>
  </si>
  <si>
    <t>Mr. Vaibhav Uchil, Mr. Satish Khande</t>
  </si>
  <si>
    <t>Trainee Software Developer</t>
  </si>
  <si>
    <t>Ms. Astha Botadra</t>
  </si>
  <si>
    <t>Python Developer Intern</t>
  </si>
  <si>
    <t>Divyam Patani</t>
  </si>
  <si>
    <t>Shubham Keshav Prabhu</t>
  </si>
  <si>
    <t>Mr. Nilesh Shah</t>
  </si>
  <si>
    <t xml:space="preserve">Junior Sales Representative </t>
  </si>
  <si>
    <t>Consultant</t>
  </si>
  <si>
    <t>Sameer Wadhwa</t>
  </si>
  <si>
    <t>Mrs. Neha Swetambari, Mr. Abdul Ahad</t>
  </si>
  <si>
    <t>Frontend Developer Intern / Algo360 Tech / App Developer</t>
  </si>
  <si>
    <t>Riddhesh Shah</t>
  </si>
  <si>
    <t>Mr. Punit Ganatra</t>
  </si>
  <si>
    <t xml:space="preserve">Backend Web Developer </t>
  </si>
  <si>
    <t>Atharv Madhav Chandane</t>
  </si>
  <si>
    <t>Prof. Vijay Bhosle, Siddhi Sawant</t>
  </si>
  <si>
    <t>Team KJSCE Robocon Mega Projects Team</t>
  </si>
  <si>
    <t>Atharv Chandane</t>
  </si>
  <si>
    <t>Team KJSCE Robocon Mega Projects</t>
  </si>
  <si>
    <t>Vishrut Deshmukh</t>
  </si>
  <si>
    <t>Prof. Vijay Bhosale</t>
  </si>
  <si>
    <t xml:space="preserve">TEAM KJSCE ROBOCON </t>
  </si>
  <si>
    <t>Meet Hemant Gala</t>
  </si>
  <si>
    <t>Prof. Vijay Bhosale, Siddhi Sawant(Team Captain)</t>
  </si>
  <si>
    <t>Milind Santoshkumar Nair</t>
  </si>
  <si>
    <t>Prof Vijay Bhosale</t>
  </si>
  <si>
    <t>Milind SantoshKumar Nair</t>
  </si>
  <si>
    <t>Coding team Member at KJSCE Robocon</t>
  </si>
  <si>
    <t>Anubroto Dasgupta</t>
  </si>
  <si>
    <t>Mr. Koushik Sen</t>
  </si>
  <si>
    <t>2D and 3D Animation departments</t>
  </si>
  <si>
    <t>Tattvam Shah</t>
  </si>
  <si>
    <t>Mr Anshul Shah</t>
  </si>
  <si>
    <t>Quantitative Data Analyst</t>
  </si>
  <si>
    <t>Yash Sachin Shah</t>
  </si>
  <si>
    <t>Mr. Manikanta Devarakonda</t>
  </si>
  <si>
    <t>Mr. Sunny Bhatia</t>
  </si>
  <si>
    <t>BA3 Intern</t>
  </si>
  <si>
    <t>Prof. Ajay Gangrade</t>
  </si>
  <si>
    <t>Team ETA- Autonomous department member</t>
  </si>
  <si>
    <t>Mr. Amit Saha</t>
  </si>
  <si>
    <t>BA3 intern in Customer Digital &amp; data</t>
  </si>
  <si>
    <t>Mr. Rajesh Bhatia</t>
  </si>
  <si>
    <t>Mrs. Kavita Sharma</t>
  </si>
  <si>
    <t>Web Developer-PHP</t>
  </si>
  <si>
    <t>Mr. Jinesh Mudatholy, Mr. Vijay Verma</t>
  </si>
  <si>
    <t>BA3 Summer Intern</t>
  </si>
  <si>
    <t>Anjali Shukla</t>
  </si>
  <si>
    <t>Mr. Karan Sajnani(Director) / Miss. Saili Chavan (HR)</t>
  </si>
  <si>
    <t>Graphics and UI/UX designing</t>
  </si>
  <si>
    <t>Prof. Abhishek Bhadauria, Prof. Sushma Kadge</t>
  </si>
  <si>
    <t>Technical Head-ISTE</t>
  </si>
  <si>
    <t>Ridhiman Dhariwal</t>
  </si>
  <si>
    <t>Mr Sumit Raj</t>
  </si>
  <si>
    <t>Resume Tracking System</t>
  </si>
  <si>
    <t>Anushka Karamchandani</t>
  </si>
  <si>
    <t>Mr. Aditya Gusain</t>
  </si>
  <si>
    <t>Industrial Projects using Full Stack Web Development</t>
  </si>
  <si>
    <t>Neha Janamejay Rane</t>
  </si>
  <si>
    <t>Prof. Abhishek bhadauria, Prof. Sushma kadge</t>
  </si>
  <si>
    <t>Treasurer and Secretary - ISTE</t>
  </si>
  <si>
    <t>Kritarth Mukesh Jain</t>
  </si>
  <si>
    <t>Mr. Pranay Srivastava</t>
  </si>
  <si>
    <t>Graduate Intern in Risk Finance and Treasury</t>
  </si>
  <si>
    <t>Mr Nilesh Shah</t>
  </si>
  <si>
    <t>Mr. Deepak Atrey</t>
  </si>
  <si>
    <t>Full Stack Intern</t>
  </si>
  <si>
    <t>Mr. Nikhil Naik</t>
  </si>
  <si>
    <t>Software Intern</t>
  </si>
  <si>
    <t>Aaquib Niyama</t>
  </si>
  <si>
    <t>Software developer Intern. Assisted in PHP development for web app.</t>
  </si>
  <si>
    <t>Ms. Jaishree Bagul</t>
  </si>
  <si>
    <t>Software Engineering Intern. Assisted with back-end coding. POC for BPM Software</t>
  </si>
  <si>
    <t>Harsh Bipin Shah</t>
  </si>
  <si>
    <t>Saji Anthony</t>
  </si>
  <si>
    <t>Ecommerce Data Analyst intern</t>
  </si>
  <si>
    <t>Dhairya Salot</t>
  </si>
  <si>
    <t>Mr. Keval Vora</t>
  </si>
  <si>
    <t>BA3 Intern in Customer Digital &amp; Data</t>
  </si>
  <si>
    <t>Vatsal Sanghavi,  Director</t>
  </si>
  <si>
    <t>Intern : Lead Conversion &amp; Support, Data Analysis (CRM Team)</t>
  </si>
  <si>
    <t>Nandhini Ramesh</t>
  </si>
  <si>
    <t>Mr. Jainam Gosar, Mr. Deven Sharma</t>
  </si>
  <si>
    <t>Digital Marketing Executive</t>
  </si>
  <si>
    <t>Vedantika Singh</t>
  </si>
  <si>
    <t>Mr.Gaurang Shetty</t>
  </si>
  <si>
    <t>Head at Events &amp; Engagements under MM</t>
  </si>
  <si>
    <t>Atharva Vaibhav Vaidya</t>
  </si>
  <si>
    <t>Shivam Sharma</t>
  </si>
  <si>
    <t>Cyber Security Training</t>
  </si>
  <si>
    <t>Bhavya Sura</t>
  </si>
  <si>
    <t>Prof Nirmala Baloorkar</t>
  </si>
  <si>
    <t>Faculty Portal Development</t>
  </si>
  <si>
    <t>Ms Deepika Singh</t>
  </si>
  <si>
    <t>DCIP Phase 1 &amp; Phase 2</t>
  </si>
  <si>
    <t>Kaushik Iyer</t>
  </si>
  <si>
    <t>Ms. Deepika Singh</t>
  </si>
  <si>
    <t>Cybersecurity Intern working on different forensics tools</t>
  </si>
  <si>
    <t>Om Topale</t>
  </si>
  <si>
    <t>none</t>
  </si>
  <si>
    <t>My responsiblity was to write a code for web scraping.</t>
  </si>
  <si>
    <t>Aayush Pandey</t>
  </si>
  <si>
    <t>Prof. Nirmala Shinde</t>
  </si>
  <si>
    <t>Chaitanya Hitendra Patil</t>
  </si>
  <si>
    <t>Mr. Vivek Tiwari</t>
  </si>
  <si>
    <t>Inciflo Tech Deparment, worked on mobile application of the company.</t>
  </si>
  <si>
    <t>Shaili Shah</t>
  </si>
  <si>
    <t>Ms.Vidhi Shah</t>
  </si>
  <si>
    <t>Vision Mastermind</t>
  </si>
  <si>
    <t>Jyoti Tryambake</t>
  </si>
  <si>
    <t>Hospital Management in PHP</t>
  </si>
  <si>
    <t>Tejas Sudhir Jagtap</t>
  </si>
  <si>
    <t>Hospital Management System in PHP</t>
  </si>
  <si>
    <t>Varshaah Karkala</t>
  </si>
  <si>
    <t>Web development internship</t>
  </si>
  <si>
    <t>Ms. Vidhi Shah under Prof. Inderjit Singh Dhanjal</t>
  </si>
  <si>
    <t>Social Media intern at vision mastermind</t>
  </si>
  <si>
    <t>.</t>
  </si>
  <si>
    <t>Backend Engineer</t>
  </si>
  <si>
    <t>Image processing Intern</t>
  </si>
  <si>
    <t>Biswadip Pandey</t>
  </si>
  <si>
    <t>Summer Intern</t>
  </si>
  <si>
    <t>Aayush Chheda</t>
  </si>
  <si>
    <t>Technical Intern - Design and development of software products.</t>
  </si>
  <si>
    <t>Mr. Alok Kujur</t>
  </si>
  <si>
    <t>BA3 Markets Pre Trade Intern</t>
  </si>
  <si>
    <t>Shubham Kishor Dathia</t>
  </si>
  <si>
    <t>Mr. Mahendra Dora</t>
  </si>
  <si>
    <t>Teaching Faculty for C &amp; C++</t>
  </si>
  <si>
    <t>GAYATRI VIJAY PATIL</t>
  </si>
  <si>
    <t>Ms Nirmala Shinde</t>
  </si>
  <si>
    <t>Web Development using PHP and SQL for Faculty Documentation Portal</t>
  </si>
  <si>
    <t>Riya Gori</t>
  </si>
  <si>
    <t>Mr. Arvind Paranjpye</t>
  </si>
  <si>
    <t>Mr. Krishna Mohan</t>
  </si>
  <si>
    <t>Associate Consultant Intern</t>
  </si>
  <si>
    <t>Mr. Ashwin Thosar</t>
  </si>
  <si>
    <t>Software Engineering Program</t>
  </si>
  <si>
    <t>Mr. Manoj Muralidharan Pillai</t>
  </si>
  <si>
    <t>Software Engineering Program Intern</t>
  </si>
  <si>
    <t>Machine Learning and NLP Internship</t>
  </si>
  <si>
    <t>Mr. Atul Hatgaonkar</t>
  </si>
  <si>
    <t>Business Intelligence and Machine Learning</t>
  </si>
  <si>
    <t>Venkat Sirlam</t>
  </si>
  <si>
    <t>I worked as Data Intern where I used Azure and Snowflake technology in project</t>
  </si>
  <si>
    <t>Riya Hemani</t>
  </si>
  <si>
    <t>Mr. Vatsal Sanghavi</t>
  </si>
  <si>
    <t>Web Content Writer and Digital Marketing at P2S Information Systems Pvt. Ltd</t>
  </si>
  <si>
    <t>Mr. Luvai Darwajawala</t>
  </si>
  <si>
    <t>Content Creator at Blockwee Professional Services Pvt. Ltd.</t>
  </si>
  <si>
    <t>Dhruvi Shah</t>
  </si>
  <si>
    <t>Project Manager</t>
  </si>
  <si>
    <t>Prof. Pranoti Khanolkar</t>
  </si>
  <si>
    <t>Event Head at SAHAS KJSCE</t>
  </si>
  <si>
    <t>Ritvik Sanjeev Jindal</t>
  </si>
  <si>
    <t>Treasurer-SAHAS</t>
  </si>
  <si>
    <t>Event Head- SAHAS</t>
  </si>
  <si>
    <t>Yash Salunke</t>
  </si>
  <si>
    <t>NGO</t>
  </si>
  <si>
    <t>Sudhanshu Suhas Shrirao</t>
  </si>
  <si>
    <t>Mr. Aman Malhotra</t>
  </si>
  <si>
    <t>Deploy a cloud</t>
  </si>
  <si>
    <t>Mr. Shubham Agarwal</t>
  </si>
  <si>
    <t>Graphic Designer</t>
  </si>
  <si>
    <t>Mr. Parth Mistry</t>
  </si>
  <si>
    <t>Mihir Nikhil Sheth</t>
  </si>
  <si>
    <t>Joint Marketing Secretary</t>
  </si>
  <si>
    <t>SaiKrishna Karra</t>
  </si>
  <si>
    <t>Advait Khandare</t>
  </si>
  <si>
    <t>Joint Marketing Secretary in KJSCE Students' Council</t>
  </si>
  <si>
    <t>Manori Bharat Sangani</t>
  </si>
  <si>
    <t>Ladies Representative at the Students’ Council</t>
  </si>
  <si>
    <t>Chaitanya Narendra Shaligram</t>
  </si>
  <si>
    <t>KJSCE student council</t>
  </si>
  <si>
    <t>Student' Council 21-22</t>
  </si>
  <si>
    <t>Organizing Committee</t>
  </si>
  <si>
    <t>Mr. Gaurav Mishra</t>
  </si>
  <si>
    <t>Program Director</t>
  </si>
  <si>
    <t>Mr.Vidit Chokshi</t>
  </si>
  <si>
    <t>software developer</t>
  </si>
  <si>
    <t>Mr. Chandan Maurya</t>
  </si>
  <si>
    <t>Vani Kamani</t>
  </si>
  <si>
    <t>Mr. Krishna Mohan Botcha</t>
  </si>
  <si>
    <t>Associate Consultant</t>
  </si>
  <si>
    <t xml:space="preserve">Surabhi Venkatesh </t>
  </si>
  <si>
    <t>KJSCE SAHAS Joint Creative Head</t>
  </si>
  <si>
    <t>Rahi Nitin Patil</t>
  </si>
  <si>
    <t>Mr. Rajendra Mathrani, Ms Ankita Tikare.</t>
  </si>
  <si>
    <t>Graphic Design Intern. Made Social Media Posts, Product Package designs.</t>
  </si>
  <si>
    <t>Swarangi Prashant Kule</t>
  </si>
  <si>
    <t>Organising Committee</t>
  </si>
  <si>
    <t>Mr. Dharmesh Gandhi</t>
  </si>
  <si>
    <t>Autonomous Programming Team Member</t>
  </si>
  <si>
    <t>Mr. Jayesh Nagpal</t>
  </si>
  <si>
    <t>SEP intern</t>
  </si>
  <si>
    <t>Ms. Kritika Ravichandran</t>
  </si>
  <si>
    <t>BD Intern and Web3 Developer Intern</t>
  </si>
  <si>
    <t>Jay Bharat Rambhiya</t>
  </si>
  <si>
    <t>Aatmaj Kaustubh Mhatre</t>
  </si>
  <si>
    <t>Prof Ashwini Dalvi</t>
  </si>
  <si>
    <t>Studying methods for reduction of information flow in dark web using Networkx</t>
  </si>
  <si>
    <t>Aryan Balpande</t>
  </si>
  <si>
    <t>Ms Deepika Singh, Mr Shubham Pareek</t>
  </si>
  <si>
    <t>Cybersecurity Intern</t>
  </si>
  <si>
    <t>omigirsh1999@gmail.com</t>
  </si>
  <si>
    <t>Hrishik Mayur Sancheti</t>
  </si>
  <si>
    <t>Mr Swapnil Katare</t>
  </si>
  <si>
    <t>Kaustubh Dilip Karkhanis</t>
  </si>
  <si>
    <t>Front End/Software Developer</t>
  </si>
  <si>
    <t>Yash  Salunke</t>
  </si>
  <si>
    <t>Mobile Based game development part 1</t>
  </si>
  <si>
    <t>Ritesh Gunvantbhai Jadav</t>
  </si>
  <si>
    <t>Mr.Prakash Raje</t>
  </si>
  <si>
    <t>Rohan Balasubramanian</t>
  </si>
  <si>
    <t>Mr. Hardik Bavishi</t>
  </si>
  <si>
    <t>Mr Amit Sarode</t>
  </si>
  <si>
    <t>Soft</t>
  </si>
  <si>
    <t>Mr. Uddhabendra Maity, Mrs. Neha Swetambari</t>
  </si>
  <si>
    <t>Data Analyst Intern</t>
  </si>
  <si>
    <t>Mr. Sami Mulla</t>
  </si>
  <si>
    <t>Manas Marathe</t>
  </si>
  <si>
    <t>Mr. Lalit Tanwar</t>
  </si>
  <si>
    <t>Mr. Tahami Mundewadi</t>
  </si>
  <si>
    <t>Web Development Team</t>
  </si>
  <si>
    <t>Alumni Relations Team</t>
  </si>
  <si>
    <t>Manan Pandya</t>
  </si>
  <si>
    <t>Subhasis Pattnaik</t>
  </si>
  <si>
    <t>Prof. Sangeeta Nagpure</t>
  </si>
  <si>
    <t>Kshitij Editorial Board 2022</t>
  </si>
  <si>
    <t>Member of Autonomous Programming Department and Marketing Deparment</t>
  </si>
  <si>
    <t>Aayushi Pawar</t>
  </si>
  <si>
    <t>Prof Sangeeta Nagpure Mam</t>
  </si>
  <si>
    <t>Editorial Board- Kshitij 21-22</t>
  </si>
  <si>
    <t>Mr Mihir Oka</t>
  </si>
  <si>
    <t>Software Developer/Web development/Creating Web application for IOT device</t>
  </si>
  <si>
    <t>Husain Mohammed Bengali</t>
  </si>
  <si>
    <t>Mr. Mihir Oka</t>
  </si>
  <si>
    <t>Software Development. Creating web application using React and Node.</t>
  </si>
  <si>
    <t>Viraj Yadav</t>
  </si>
  <si>
    <t>Mr. Arijit Bhaumik</t>
  </si>
  <si>
    <t>Back-end Development Intern</t>
  </si>
  <si>
    <t>Zaidali Merchant</t>
  </si>
  <si>
    <t>Mr. Dinesh Saini</t>
  </si>
  <si>
    <t>To get hands on experience of Web development and hardware systems.</t>
  </si>
  <si>
    <t>Shiwani Kundu</t>
  </si>
  <si>
    <t xml:space="preserve">Mr . Prathamesh Bagal </t>
  </si>
  <si>
    <t>Market Research Intern</t>
  </si>
  <si>
    <t>Manasi Kailas Kothawade</t>
  </si>
  <si>
    <t>Mr Suren Patwardhan , Mrs Pranoti Khanolkar</t>
  </si>
  <si>
    <t xml:space="preserve">KJSCE SAHAS Council -- Role : Creative Head </t>
  </si>
  <si>
    <t>Surabhi Venkatesh</t>
  </si>
  <si>
    <t>Prof Sangeeta Nagpure</t>
  </si>
  <si>
    <t xml:space="preserve">Copy Editor for Kshitij Editorial Board, helped to edit articles </t>
  </si>
  <si>
    <t>Shreyam Borah</t>
  </si>
  <si>
    <t>Mr Rahil Shah</t>
  </si>
  <si>
    <t xml:space="preserve">I have taken various roles during my 2 year tenure at AIESEC. PFA Certificate </t>
  </si>
  <si>
    <t>Raj Thakkar</t>
  </si>
  <si>
    <t>Nikhil Sharma</t>
  </si>
  <si>
    <t xml:space="preserve">Accounts Manager / Business Development </t>
  </si>
  <si>
    <t xml:space="preserve">Rohan Dsouza </t>
  </si>
  <si>
    <t xml:space="preserve">Marketing Executive </t>
  </si>
  <si>
    <t>Apurva Sunildatta Rasal</t>
  </si>
  <si>
    <t>Mr. Saurabh Patil</t>
  </si>
  <si>
    <t>IT Intern</t>
  </si>
  <si>
    <t>Aanchal Thaman</t>
  </si>
  <si>
    <t>I was the Jt. Public Relations Officer at 'KJSCE Students Council 2021'</t>
  </si>
  <si>
    <t xml:space="preserve">Intern </t>
  </si>
  <si>
    <t>SARAUNSH SUNIL JADHAV</t>
  </si>
  <si>
    <t>Mrs. Vidhi Shah</t>
  </si>
  <si>
    <t>Jay Ramesh Malve</t>
  </si>
  <si>
    <t>Mr. Mayur Chettiar</t>
  </si>
  <si>
    <t>Develop Mobile Application for the company for both platforms android and iOS</t>
  </si>
  <si>
    <t>Dhanjal Pargatsingh Jaspalsingh Harjitkaur</t>
  </si>
  <si>
    <t>FY Rep Creative Team - KJSCE CodeCell / Created material, updated website</t>
  </si>
  <si>
    <t>Pranay Singh</t>
  </si>
  <si>
    <t>Prof. Smita Sankhe, Prof. Avani Sakhapara</t>
  </si>
  <si>
    <t>Technical Team Member. Conducted events, competitions.</t>
  </si>
  <si>
    <t>Tanvi Deshpande</t>
  </si>
  <si>
    <t>Prof. Grishma Sharma, Prof Avani Sakhpara, Prof. Smita Sankhe,</t>
  </si>
  <si>
    <t>Coordination team</t>
  </si>
  <si>
    <t>SAHIL SAYANI</t>
  </si>
  <si>
    <t>PROF. SMITA SANKHE, PROF. AVANI SAKHAPARA</t>
  </si>
  <si>
    <t>Tech Team Member / Creative Team Member</t>
  </si>
  <si>
    <t>Hussain Pettiwala</t>
  </si>
  <si>
    <t>Prof. Grishma Sharma, Prof. Avani Sakhapara</t>
  </si>
  <si>
    <t>Technical Member: Authored and Tested CP questions, conducted various workshops</t>
  </si>
  <si>
    <t>Dhairye Gala</t>
  </si>
  <si>
    <t>Aamir Baugwala</t>
  </si>
  <si>
    <t>Aamir</t>
  </si>
  <si>
    <t>Aakash Wagle</t>
  </si>
  <si>
    <t>Ms. Saniya Kulkarni</t>
  </si>
  <si>
    <t>PR Team</t>
  </si>
  <si>
    <t>Shivam Lalit Nikam</t>
  </si>
  <si>
    <t>G. Nikhil. Srivatsa</t>
  </si>
  <si>
    <t>Developed Backend and APIs, hosted servers and managed a Community.</t>
  </si>
  <si>
    <t>Jugraj Singh</t>
  </si>
  <si>
    <t>Mr. Lalit Vazirani</t>
  </si>
  <si>
    <t>Atharva Duddalwar</t>
  </si>
  <si>
    <t>Prof.Prashant Jain</t>
  </si>
  <si>
    <t>Propulsion Engineer</t>
  </si>
  <si>
    <t>PROF.PRASHANT JAIN</t>
  </si>
  <si>
    <t>Data Acquisition team (propulsion), Team Onyx India, Mega Project</t>
  </si>
  <si>
    <t>Aryaman Gandhi</t>
  </si>
  <si>
    <t>Prof. Manoj Pawar</t>
  </si>
  <si>
    <t>Member of DV Department</t>
  </si>
  <si>
    <t>Mr.Rohini Nair</t>
  </si>
  <si>
    <t>Alumni Cell ,was a part of the SOCIAL media and deign team.</t>
  </si>
  <si>
    <t>Devesh Jain</t>
  </si>
  <si>
    <t>Prof. Prashant Jain</t>
  </si>
  <si>
    <t>Team Onyx India</t>
  </si>
  <si>
    <t>Worked as propulsion professional in the team.</t>
  </si>
  <si>
    <t>Manasi Kothawade</t>
  </si>
  <si>
    <t>Mr Harsh Khot - Team Captain</t>
  </si>
  <si>
    <t>Team Onyx Image Processing Department</t>
  </si>
  <si>
    <t>Sunkari Sharoon Vidyasagar Saheeda</t>
  </si>
  <si>
    <t>Mr. Gireesh Kudav</t>
  </si>
  <si>
    <t>Information Security Analysis</t>
  </si>
  <si>
    <t>Ria Mehul Shah</t>
  </si>
  <si>
    <t>Mr. Chander M. Gujral, Mr. Abhilash Kumar</t>
  </si>
  <si>
    <t>Market Research, Business Analysis and Development - Drones</t>
  </si>
  <si>
    <t>Mr. Nikhil Srivatsa</t>
  </si>
  <si>
    <t>Local Growth Strategist</t>
  </si>
  <si>
    <t>Propulsion engineer at team Onyx india</t>
  </si>
  <si>
    <t>Mr. Shubham Pareek</t>
  </si>
  <si>
    <t>Cybersecurity analyst</t>
  </si>
  <si>
    <t>Devayani S Krishnan</t>
  </si>
  <si>
    <t>Mr. Arjun Warrier</t>
  </si>
  <si>
    <t>SDE Intern</t>
  </si>
  <si>
    <t>Katyayani S Krishnan</t>
  </si>
  <si>
    <t>Arjun Warrier</t>
  </si>
  <si>
    <t>Yashraj</t>
  </si>
  <si>
    <t>Mr Shailesh Deshmukh</t>
  </si>
  <si>
    <t>A web App for online billing portal</t>
  </si>
  <si>
    <t>Khushi Kenia</t>
  </si>
  <si>
    <t>Alumni Cell</t>
  </si>
  <si>
    <t>KEVAL HIREN SHAH</t>
  </si>
  <si>
    <t>My duties included Data Analysis, Data Collection, Data Cleaning and a few other</t>
  </si>
  <si>
    <t>Utkarsh Dubey</t>
  </si>
  <si>
    <t>Mr. Tahemi Mundewadi</t>
  </si>
  <si>
    <t>Web Developer Intern.</t>
  </si>
  <si>
    <t>Niyati Rolia</t>
  </si>
  <si>
    <t>Member of autonomous department of team ETA</t>
  </si>
  <si>
    <t>Bhavya Verma</t>
  </si>
  <si>
    <t>Anant Chaturvedi</t>
  </si>
  <si>
    <t>Campus Leader</t>
  </si>
  <si>
    <t>Sahil Prasad Nagarkar</t>
  </si>
  <si>
    <t>Prof. Subramaniam</t>
  </si>
  <si>
    <t>Web Development/ 2 projects were done 1 was group project,other was individual</t>
  </si>
  <si>
    <t>Kush Patel</t>
  </si>
  <si>
    <t>Mr. Ashok Sindkar</t>
  </si>
  <si>
    <t>Summer Analyst</t>
  </si>
  <si>
    <t>Mr Punit Ganatra</t>
  </si>
  <si>
    <t>Frontend Web Development</t>
  </si>
  <si>
    <t>Esha Shelar</t>
  </si>
  <si>
    <t>Olivia D'Souza</t>
  </si>
  <si>
    <t>Teaching basics in computers and assisting Intellectually challenged persons</t>
  </si>
  <si>
    <t>Shreya Moily</t>
  </si>
  <si>
    <t>Mr. Sarthak Vijayran</t>
  </si>
  <si>
    <t>Mr. Challa Rohit</t>
  </si>
  <si>
    <t>Nayan Mandliya</t>
  </si>
  <si>
    <t>Mr. Abhishek Bhanushali</t>
  </si>
  <si>
    <t>Web Developer  (Designed and developed the backend of the trading platform).</t>
  </si>
  <si>
    <t>Mr. Sanat Behera</t>
  </si>
  <si>
    <t>Backend DBMS intern</t>
  </si>
  <si>
    <t>Ms Divya</t>
  </si>
  <si>
    <t>Operations Internship</t>
  </si>
  <si>
    <t>Janhavi Komurlekar</t>
  </si>
  <si>
    <t>Mr. Shivang Aggarwal</t>
  </si>
  <si>
    <t xml:space="preserve">Web development internship. I had to migrate and recreate a website. </t>
  </si>
  <si>
    <t>Manav Chandak</t>
  </si>
  <si>
    <t>Shubham Dathia</t>
  </si>
  <si>
    <t>Mr. Dharmesh J. Gandhi</t>
  </si>
  <si>
    <t>Mr. Chirag Hemant Kenia</t>
  </si>
  <si>
    <t>Automation of flow of documents</t>
  </si>
  <si>
    <t>Raunak Mitra</t>
  </si>
  <si>
    <t>Community Manager</t>
  </si>
  <si>
    <t>Mr. Dhiraj Mittal</t>
  </si>
  <si>
    <t xml:space="preserve">Front End Developer </t>
  </si>
  <si>
    <t>Mr. Aditya Anand</t>
  </si>
  <si>
    <t>Flutter App Development</t>
  </si>
  <si>
    <t>Hardik Panchal</t>
  </si>
  <si>
    <t>Mr. Challa Rohit, Mr. Mohit Tripathi</t>
  </si>
  <si>
    <t>Sentiment Classification using NLP, identify opinion in text, label them (+,-,~)</t>
  </si>
  <si>
    <t>Vinod Ghanchi</t>
  </si>
  <si>
    <t>Asst. Prof. Vaibhav Vasani</t>
  </si>
  <si>
    <t>Sentiment analysis Part 2</t>
  </si>
  <si>
    <t>Sidharth Nair</t>
  </si>
  <si>
    <t>Ishit Fariya</t>
  </si>
  <si>
    <t>Mr. Sorabh Jain</t>
  </si>
  <si>
    <t>Software Engineer(Backend developer)</t>
  </si>
  <si>
    <t>Kritarth Jain</t>
  </si>
  <si>
    <t>Mr. Sajid Ali Khan</t>
  </si>
  <si>
    <t>Data Analyst Machine Learning Intern</t>
  </si>
  <si>
    <t>Sneha Kothi</t>
  </si>
  <si>
    <t>UI/UX Designer</t>
  </si>
  <si>
    <t>Not shared</t>
  </si>
  <si>
    <t>Mrs Smita Sankhe and Mrs Nirmala Shinde</t>
  </si>
  <si>
    <t>Comparative Study on Segmentation Techniques</t>
  </si>
  <si>
    <t>Nicole dcosta</t>
  </si>
  <si>
    <t>Prof. Umang patel</t>
  </si>
  <si>
    <t>Adversarial machine learning, model building, training and validation</t>
  </si>
  <si>
    <t>Kedar Kulkarni</t>
  </si>
  <si>
    <t>Ved Mulik</t>
  </si>
  <si>
    <t>Aditya Parikh</t>
  </si>
  <si>
    <t>Volunteering at Maker Mela 2023 as official photographer with KJSCE Shutterbugs</t>
  </si>
  <si>
    <t>Kanishka Raikwar</t>
  </si>
  <si>
    <t>Ms. Tanvi Kangane</t>
  </si>
  <si>
    <t>Pavan Keshari</t>
  </si>
  <si>
    <t>Marketing and Teaching</t>
  </si>
  <si>
    <t>Abhiraj Kale</t>
  </si>
  <si>
    <t>Mr. Adhiraj Kashyap</t>
  </si>
  <si>
    <t>Backend Developer Intern - Developed, deployed and launched Jamr sites's backend</t>
  </si>
  <si>
    <t>Shrishti Rai</t>
  </si>
  <si>
    <t>Mr. Godfrey Moses, Mr. Gaurav Mathur, Mr. Jekin Desai</t>
  </si>
  <si>
    <t>Geomapping and territory marking of retailors using React</t>
  </si>
  <si>
    <t>Vedansh Avlani</t>
  </si>
  <si>
    <t>Mr. Atit Kumbhani (Assistant Director)</t>
  </si>
  <si>
    <t>I was a software intern and was associated with their new website design project</t>
  </si>
  <si>
    <t>Gaurav Naresh Chawla</t>
  </si>
  <si>
    <t>Mr. Ramesh Chandra Bagh</t>
  </si>
  <si>
    <t>Summer Intern / Project Trainee</t>
  </si>
  <si>
    <t>Mr. Sanjeev Kumar</t>
  </si>
  <si>
    <t>Ankur Shetty</t>
  </si>
  <si>
    <t>Mayank Shetty</t>
  </si>
  <si>
    <t>Ms. Smita Sankhe,Mrs. Nirmala Baloorkar</t>
  </si>
  <si>
    <t>Mr. Vivek Vadrevu</t>
  </si>
  <si>
    <t>Web developer - Frontend and Backend</t>
  </si>
  <si>
    <t>Marmik Shah</t>
  </si>
  <si>
    <t>Mr. Jay Chheda</t>
  </si>
  <si>
    <t>Program Analyst</t>
  </si>
  <si>
    <t>Priya Gupta</t>
  </si>
  <si>
    <t>Abhijit Tripathy</t>
  </si>
  <si>
    <t>KaggleX BIPOC Mentee</t>
  </si>
  <si>
    <t>Mr. Ankit Anil Patil</t>
  </si>
  <si>
    <t>Mr. Rajesh Lokhande</t>
  </si>
  <si>
    <t>Student Volunteer at Agastya International Foundation</t>
  </si>
  <si>
    <t>Mr Raj</t>
  </si>
  <si>
    <t>Student Volunteer</t>
  </si>
  <si>
    <t>Raghav Srivastava</t>
  </si>
  <si>
    <t>Sir Rajesh Lokhande</t>
  </si>
  <si>
    <t>Student Volunteer ( Agastya International Foundation)</t>
  </si>
  <si>
    <t>Ms. Khushi Munjyasara</t>
  </si>
  <si>
    <t>Sania Sarin</t>
  </si>
  <si>
    <t>Official photographer as KJSCE Shutterbugs</t>
  </si>
  <si>
    <t>Azhar Bamne</t>
  </si>
  <si>
    <t>Ms. Ambika Balasubramaniam</t>
  </si>
  <si>
    <t>Content Creator (Teacher)</t>
  </si>
  <si>
    <t>Girik Bhambra</t>
  </si>
  <si>
    <t>Prof. Rajanarsimha Sangam</t>
  </si>
  <si>
    <t>Mechanics Virtual Lab</t>
  </si>
  <si>
    <t>Jagjit Singh Bhumra</t>
  </si>
  <si>
    <t>Mechanics Virtual Lab Development - Shear Force &amp; Bending Moment Diagrams</t>
  </si>
  <si>
    <t>Social Service(NGO)</t>
  </si>
  <si>
    <t>Sonu Pradhan</t>
  </si>
  <si>
    <t>Alok Agarwal</t>
  </si>
  <si>
    <t>Future Ready Talent Intern</t>
  </si>
  <si>
    <t>Mr. Sushrut Sakharkar</t>
  </si>
  <si>
    <t>chaitanya chaniyara</t>
  </si>
  <si>
    <t>Mr Chaitanya Shah</t>
  </si>
  <si>
    <t>Machine learning engineer</t>
  </si>
  <si>
    <t>Saket Medhekar</t>
  </si>
  <si>
    <t>Dr. J.H.Nirmal</t>
  </si>
  <si>
    <t>Audio spoofing detection and speaker verification</t>
  </si>
  <si>
    <t>Sahil Changlani</t>
  </si>
  <si>
    <t>Technical Intern</t>
  </si>
  <si>
    <t>Kush Hasmukh Patel</t>
  </si>
  <si>
    <t>Siddhart Rout</t>
  </si>
  <si>
    <t>Kashish Kumar</t>
  </si>
  <si>
    <t>Parth Pawar</t>
  </si>
  <si>
    <t>Ms. Bhavna Pandya</t>
  </si>
  <si>
    <t>Vice-Chairperson of Darwin(an international conference in the field of Biology)</t>
  </si>
  <si>
    <t>Arnav Gholap</t>
  </si>
  <si>
    <t>Sales Internship</t>
  </si>
  <si>
    <t>Aryan Mehta</t>
  </si>
  <si>
    <t>Ms. Suvarna Shinde</t>
  </si>
  <si>
    <t>Training as site engineer for hiranandani builders.</t>
  </si>
  <si>
    <t>Avanindra Patil</t>
  </si>
  <si>
    <t>Software Engineering Virtual Program</t>
  </si>
  <si>
    <t>Software engineering virtual program</t>
  </si>
  <si>
    <t>Miss. Poorva Tambe &amp; Mr. Rajesh Lokhande</t>
  </si>
  <si>
    <t>Akhil Nagar</t>
  </si>
  <si>
    <t>Ms. Purva Tambe, Mr. Rajendra</t>
  </si>
  <si>
    <t>Jai Rajani</t>
  </si>
  <si>
    <t>Saurav Suman</t>
  </si>
  <si>
    <t>Mobile Application Developer using React-Native</t>
  </si>
  <si>
    <t>LiDAR &amp; Machine Vision Based Realtime Navigation Hat for the Visually Impaired</t>
  </si>
  <si>
    <t>NAVKAR SHAH</t>
  </si>
  <si>
    <t>Mr. Sudip Shah</t>
  </si>
  <si>
    <t>Website and Software Development</t>
  </si>
  <si>
    <t>Mr. Parth Agarwal</t>
  </si>
  <si>
    <t>Prof. Ramanathan Anand</t>
  </si>
  <si>
    <t>Ansh Bandral</t>
  </si>
  <si>
    <t>T.Nikhil</t>
  </si>
  <si>
    <t>Web Devloper</t>
  </si>
  <si>
    <t>Full stack devloper</t>
  </si>
  <si>
    <t>DR. S.S BHUSNOOR</t>
  </si>
  <si>
    <t>Comparative Study On Classification Techniques For Image</t>
  </si>
  <si>
    <t>Mr. Ashkok Sindkar</t>
  </si>
  <si>
    <t>Excel Automation Intern</t>
  </si>
  <si>
    <t>AYUSHI VAGHELA</t>
  </si>
  <si>
    <t>DR. S S BHUSNOOR</t>
  </si>
  <si>
    <t>WEB DEVELOPER</t>
  </si>
  <si>
    <t xml:space="preserve">Ayushi Jayantibhai Vaghela </t>
  </si>
  <si>
    <t>DR. S S Bhusnoor</t>
  </si>
  <si>
    <t xml:space="preserve">Web developer </t>
  </si>
  <si>
    <t>Sakshi Borade</t>
  </si>
  <si>
    <t>Mr.SUSHRUT SAKHARKAR</t>
  </si>
  <si>
    <t>Outreach intern in PressX</t>
  </si>
  <si>
    <t>NEIL CARNAC</t>
  </si>
  <si>
    <t>Creative Graphic Designer</t>
  </si>
  <si>
    <t>Aditya Chandran</t>
  </si>
  <si>
    <t>Rohit Sawant</t>
  </si>
  <si>
    <t>Development of In-House ERP (Enterprise Resource Planning)</t>
  </si>
  <si>
    <t>Aatmaj Mhatre</t>
  </si>
  <si>
    <t>Dr Irfan Siddavatam</t>
  </si>
  <si>
    <t>To Develop an open-source java package for research of neural networks</t>
  </si>
  <si>
    <t>Vatsal Soni</t>
  </si>
  <si>
    <t>Data aquisition at Redshift Racing India</t>
  </si>
  <si>
    <t>Omkar Kubal</t>
  </si>
  <si>
    <t>Miss. Bindi Thakkar</t>
  </si>
  <si>
    <t>Website Management and backend updation, Digital Marketing</t>
  </si>
  <si>
    <t>Amandeep Kaur</t>
  </si>
  <si>
    <t>Mohammed Danish Ansari</t>
  </si>
  <si>
    <t>Mr. Pratik Kate</t>
  </si>
  <si>
    <t>Worked on real world problem where machine learning algorithms were applied.</t>
  </si>
  <si>
    <t xml:space="preserve">Rushabh Gandhi </t>
  </si>
  <si>
    <t>Mr. Sumit Tirlotkar</t>
  </si>
  <si>
    <t xml:space="preserve">Flutter developer </t>
  </si>
  <si>
    <t>Shubham Pareek</t>
  </si>
  <si>
    <t>Cyber Security</t>
  </si>
  <si>
    <t>Teaching Faculty for Basic Python</t>
  </si>
  <si>
    <t>Campus Company and Innovation Wing</t>
  </si>
  <si>
    <t>VIDISHA WANJARE</t>
  </si>
  <si>
    <t>Social Media and Content Wing</t>
  </si>
  <si>
    <t>Mr. Satyajit Garewal</t>
  </si>
  <si>
    <t>IBM Cloud and Watson Services</t>
  </si>
  <si>
    <t>Fardeen Khan</t>
  </si>
  <si>
    <t>NLP for Question-answering</t>
  </si>
  <si>
    <t>Umaima Dabir</t>
  </si>
  <si>
    <t>Ms. Fairie Mariel Lamera</t>
  </si>
  <si>
    <t>Cyber Security Internship- Understand Riverbed, endpoint management &amp; security.</t>
  </si>
  <si>
    <t>Tejas Jagtap</t>
  </si>
  <si>
    <t>Events and PR Wing (BloomBox, E-Cell KJSCE)</t>
  </si>
  <si>
    <t>Nabodita Choudhury</t>
  </si>
  <si>
    <t>Mr. Pradeep K, Mr. Deepak Hanumantharayappa</t>
  </si>
  <si>
    <t xml:space="preserve">Performed primary market research to help clients from various sectors. </t>
  </si>
  <si>
    <t xml:space="preserve">Mr. Adhiraj Kashyap </t>
  </si>
  <si>
    <t>Backend Developer Intern - Created Backend system for studio booking app</t>
  </si>
  <si>
    <t>Vihan Kumbhare</t>
  </si>
  <si>
    <t>Mr. Sanket Umredkar</t>
  </si>
  <si>
    <t>Projects on analysing the market potential of the products globally</t>
  </si>
  <si>
    <t>Avnish Joshi</t>
  </si>
  <si>
    <t>prof. sagar korde , prof. inderjit singh dhanjal</t>
  </si>
  <si>
    <t>First Year Representative</t>
  </si>
  <si>
    <t>Raahi Joshi</t>
  </si>
  <si>
    <t xml:space="preserve">first year representative </t>
  </si>
  <si>
    <t>Priyal Keharia</t>
  </si>
  <si>
    <t>Mr. Anuj Bansal</t>
  </si>
  <si>
    <t>WEB PAGE FOR DCPS CONTROLLER</t>
  </si>
  <si>
    <t>Mr. Sanjay Petkar</t>
  </si>
  <si>
    <t xml:space="preserve">IT Intern. Developed an SRS Report and a Program Feedback Portal. </t>
  </si>
  <si>
    <t>Developed a program feedback system using css and php. Made Kaizen report.</t>
  </si>
  <si>
    <t>Aditya Ved</t>
  </si>
  <si>
    <t>Mrs. Alisha Shingade</t>
  </si>
  <si>
    <t>Data Science Intern: data preprocessing, extracting insights, create ML models</t>
  </si>
  <si>
    <t>Ritvik Jindal</t>
  </si>
  <si>
    <t>Marketing Wing</t>
  </si>
  <si>
    <t>Anurag Pandey</t>
  </si>
  <si>
    <t>Medical Information Collector App</t>
  </si>
  <si>
    <t>Mr. Kaustubh Dixit</t>
  </si>
  <si>
    <t>“School's challenge” program in partnership with J.P. Morgan</t>
  </si>
  <si>
    <t>Prof.Sagar Korde, Prof.Inderjit Singh Dhanjal</t>
  </si>
  <si>
    <t>Ashwin Nair</t>
  </si>
  <si>
    <t>Prof. Ninad Mehendale</t>
  </si>
  <si>
    <t>Researched drone applications for machine vision</t>
  </si>
  <si>
    <t>Deev Patel</t>
  </si>
  <si>
    <t>Events and Public Relations Wing, BloomBox, Entrepreneurship Cell of KJSCE</t>
  </si>
  <si>
    <t>AADIL SHAIKH</t>
  </si>
  <si>
    <t>Mr. Tanay Mathukia</t>
  </si>
  <si>
    <t>EMBEDDED CODING TEAM MEMBER AT KJSCE ROBOCON</t>
  </si>
  <si>
    <t>Rashika Agarwal</t>
  </si>
  <si>
    <t xml:space="preserve">Mr. Parth Brahmaxatri </t>
  </si>
  <si>
    <t>Front end development : Made a portfolio using html, css, javascript</t>
  </si>
  <si>
    <t>Pratham Dhruv</t>
  </si>
  <si>
    <t>Data gathering , Data analysis and Machine Learning</t>
  </si>
  <si>
    <t>Data gathering, data analysis and Machine learning</t>
  </si>
  <si>
    <t>SIDHI GANDHI</t>
  </si>
  <si>
    <t>MR.ANSHUL BODELE</t>
  </si>
  <si>
    <t>DATA ANALYSIS</t>
  </si>
  <si>
    <t>SHREENAND JOSHI</t>
  </si>
  <si>
    <t>Mr JaiPrakash Prasad</t>
  </si>
  <si>
    <t>Python Backend using Flask.Data Analysis using Python Libaries.</t>
  </si>
  <si>
    <t>Mr. Vimal Malhotra</t>
  </si>
  <si>
    <t>Website Development and Prototype Building</t>
  </si>
  <si>
    <t>Alfiya Anware</t>
  </si>
  <si>
    <t>Asst. Prof. Umang Patel</t>
  </si>
  <si>
    <t>Adversarial Machine Learning</t>
  </si>
  <si>
    <t>Alekya Arra</t>
  </si>
  <si>
    <t>Asst Prof. Umang Patel</t>
  </si>
  <si>
    <t>Praneel Bora</t>
  </si>
  <si>
    <t>Assistant Professor Umang Patel</t>
  </si>
  <si>
    <t>AML Internship</t>
  </si>
  <si>
    <t>Himanshu Patil</t>
  </si>
  <si>
    <t>Mr. Tanay Mathukia, Mr. Vishrut Deshmukh</t>
  </si>
  <si>
    <t>Team Member at KJSCE Robocon</t>
  </si>
  <si>
    <t>Team Member at Team KJSCE Robocon</t>
  </si>
  <si>
    <t>Mr. Venkat P</t>
  </si>
  <si>
    <t>Intern - Risk Advisory</t>
  </si>
  <si>
    <t>Viknesh Mohan</t>
  </si>
  <si>
    <t>Sudhanshu Shrirao</t>
  </si>
  <si>
    <t>Mr. Uttam Patil</t>
  </si>
  <si>
    <t>Software Developer as an intern</t>
  </si>
  <si>
    <t>Qusai Kader</t>
  </si>
  <si>
    <t>Mr. Mohammed Kantawala</t>
  </si>
  <si>
    <t>Website Development Internship</t>
  </si>
  <si>
    <t>Bloombox-Corporate Wing Member</t>
  </si>
  <si>
    <t>Chairperson (E-Cell Head) at BloomBox E-Cell KJSCE</t>
  </si>
  <si>
    <t>Khushal Jhaveri</t>
  </si>
  <si>
    <t>Prof. Sagar Korde, Prof Inderjit Singh</t>
  </si>
  <si>
    <t>Marketing Head</t>
  </si>
  <si>
    <t>Swarup Pingale</t>
  </si>
  <si>
    <t>Brishti Roy</t>
  </si>
  <si>
    <t>Ms. Isha Shetty</t>
  </si>
  <si>
    <t>Social Internship</t>
  </si>
  <si>
    <t>Tanish Bhilare</t>
  </si>
  <si>
    <t>Mr.Divesh Mishra</t>
  </si>
  <si>
    <t>Ideation, integration of AI, documentation and website development.</t>
  </si>
  <si>
    <t xml:space="preserve">Vedantika Ajit Kumar Singh </t>
  </si>
  <si>
    <t xml:space="preserve">Chinmaya Upamanyu- mentor </t>
  </si>
  <si>
    <t xml:space="preserve">Technology department intern- python automation and scripting </t>
  </si>
  <si>
    <t>Shivansh Gautam</t>
  </si>
  <si>
    <t>Mr. Percy K. Daver</t>
  </si>
  <si>
    <t>Understand and Summarize 'IRDAI Guidelines' &amp; map same to relevant IT solutions</t>
  </si>
  <si>
    <t xml:space="preserve">Jiya Bhagat </t>
  </si>
  <si>
    <t>Mr. Chris Samuel</t>
  </si>
  <si>
    <t>Internship Profile Name : Google SWE STEP Intern</t>
  </si>
  <si>
    <t>Shubraja Lalith</t>
  </si>
  <si>
    <t>Mr. Divyesh Kothari</t>
  </si>
  <si>
    <t>Institutional Sales team - contacted and collected data of potential clients.</t>
  </si>
  <si>
    <t>Mr. Kaustubh Dixit, Mr. Rajesh Lokhande</t>
  </si>
  <si>
    <t>Worked as a College Volunteer for "The School Challenge"</t>
  </si>
  <si>
    <t>Prof. Bharathi H. N</t>
  </si>
  <si>
    <t>Campus Pathways using Geo-Intelligence</t>
  </si>
  <si>
    <t>UJJAWAL PATEL</t>
  </si>
  <si>
    <t>MEDICINE INFORMATION COLLECTOR APP</t>
  </si>
  <si>
    <t>Shivangi Verma</t>
  </si>
  <si>
    <t>Teaching Grade 7 Mathematics and Spoken English to underprivileged students</t>
  </si>
  <si>
    <t>Dwayne Vaz</t>
  </si>
  <si>
    <t>Mr. Wishwell Joshi</t>
  </si>
  <si>
    <t xml:space="preserve"> Developed revenue models, presented to CXOs, improved data processes in Python</t>
  </si>
  <si>
    <t>Rudar Mahajan</t>
  </si>
  <si>
    <t>Mr. Mehraj-ud-din Bhat</t>
  </si>
  <si>
    <t>Development using HTML, CSS, and Bootstrap and database implementation using SQL</t>
  </si>
  <si>
    <t>Suhil Mir</t>
  </si>
  <si>
    <t>Mr Mehraj-ud-din Bhat</t>
  </si>
  <si>
    <t>Development using HTML,CSS,BOOTSTRAP and database implementation using SQL</t>
  </si>
  <si>
    <t>Mr. Nagmani Bhardwaj</t>
  </si>
  <si>
    <t xml:space="preserve">Software development intern </t>
  </si>
  <si>
    <t>Anannya Khedekar</t>
  </si>
  <si>
    <t>Mr.Dilip Srivastava</t>
  </si>
  <si>
    <t xml:space="preserve">Android developer intern </t>
  </si>
  <si>
    <t>Mihika Dakappagari</t>
  </si>
  <si>
    <t>Mr. Anoop Paidhungat</t>
  </si>
  <si>
    <t>API Development with PHP and MySQL</t>
  </si>
  <si>
    <t>Ujjwal Kumar</t>
  </si>
  <si>
    <t>Mr HERAMB PENDSE</t>
  </si>
  <si>
    <t>SOFTWARE DEVE</t>
  </si>
  <si>
    <t>YASHRAJ DESHMUKH</t>
  </si>
  <si>
    <t>Ms. Labdhi Daftari</t>
  </si>
  <si>
    <t>Project on Computer Vision based stock out alert.</t>
  </si>
  <si>
    <t>Saikrishna Karra</t>
  </si>
  <si>
    <t>Mr. Vijay Patel , Mr. Chinmaya Upamanyu</t>
  </si>
  <si>
    <t>Technology Intern at MCX Exchange</t>
  </si>
  <si>
    <t>Prof. Indranil Bose</t>
  </si>
  <si>
    <t>Sustainability in Companies: Multimodal analysis of YouTube videos</t>
  </si>
  <si>
    <t>Bharat Nema</t>
  </si>
  <si>
    <t>Mr James Liao, Mr Marcos Ocasio, Mr Ashu Chatterji</t>
  </si>
  <si>
    <t>Engineering Intern</t>
  </si>
  <si>
    <t>Mr. Godwin Jathanna</t>
  </si>
  <si>
    <t>IT Operations And Support Project</t>
  </si>
  <si>
    <t>Ms. Swati Dwivedi and Mr. Rijin Malayattil</t>
  </si>
  <si>
    <t>Summer intern</t>
  </si>
  <si>
    <t>Diya Patel</t>
  </si>
  <si>
    <t>Designed the Instagram stories for all festivals for official bloombox handle</t>
  </si>
  <si>
    <t>Mrs. Bharathi H. N</t>
  </si>
  <si>
    <t>Campus pathways using Geo-Intelligence</t>
  </si>
  <si>
    <t>Assistant Professor Mr. Vaibhav Prakash Vasani</t>
  </si>
  <si>
    <t>Clinical Data Mining Part 1</t>
  </si>
  <si>
    <t>Rahi Patil</t>
  </si>
  <si>
    <t>Asst Prof. Vaibhav Vasani</t>
  </si>
  <si>
    <t xml:space="preserve">Clinical Data Mining Part 1 </t>
  </si>
  <si>
    <t>Uchit Mody</t>
  </si>
  <si>
    <t>Clinical Data Mining</t>
  </si>
  <si>
    <t xml:space="preserve">Nicole Dcosta </t>
  </si>
  <si>
    <t xml:space="preserve">Uday Joshi </t>
  </si>
  <si>
    <t xml:space="preserve">Creating a faculty system keeping our college in mind </t>
  </si>
  <si>
    <t>Raj Agrawal</t>
  </si>
  <si>
    <t>Prof. Sushma Kadge , Prof. Abhishek Bhadauria</t>
  </si>
  <si>
    <t>Web Admin - ISTE</t>
  </si>
  <si>
    <t>Om Ghadia</t>
  </si>
  <si>
    <t>Competitive Data Analyst at PressX</t>
  </si>
  <si>
    <t xml:space="preserve">Nupur Chaudhari </t>
  </si>
  <si>
    <t>Dr. Uday Bapuji Joshi</t>
  </si>
  <si>
    <t xml:space="preserve">Full Stack Web Development of Exam Duty Allocation </t>
  </si>
  <si>
    <t>Develop mobile and web products for the company.</t>
  </si>
  <si>
    <t>Data Scientist</t>
  </si>
  <si>
    <t>Gaurav Kulkarni</t>
  </si>
  <si>
    <t>Mr. Pratham Sejpal</t>
  </si>
  <si>
    <t>web and software developer</t>
  </si>
  <si>
    <t>Aryan Deshmukh</t>
  </si>
  <si>
    <t>Web developer intern frontend and backend</t>
  </si>
  <si>
    <t>Web Development: Building marketing tools for e-commerce affiliate sale.</t>
  </si>
  <si>
    <t>Vivek Iyer</t>
  </si>
  <si>
    <t>Web developer intern- Frontend and Backend</t>
  </si>
  <si>
    <t>Web Development, Building marketing tools for E-commerce affiliate sales</t>
  </si>
  <si>
    <t>Akshat Shah</t>
  </si>
  <si>
    <t>Mr. Parth Kotak</t>
  </si>
  <si>
    <t>Mr Ayush Anand</t>
  </si>
  <si>
    <t>Data Science &amp; Analytics Virtual Experience Program</t>
  </si>
  <si>
    <t>Mr. Sumit Rai</t>
  </si>
  <si>
    <t>Sahil Chauhan</t>
  </si>
  <si>
    <t>data gathering, data analysis and machine learning</t>
  </si>
  <si>
    <t>Aryan Parekh</t>
  </si>
  <si>
    <t>Mrs. Supriya Ankolekar, Mr. Piyush Singh</t>
  </si>
  <si>
    <t>Cloud SecDevOps Application Modernization</t>
  </si>
  <si>
    <t>Nikul Chheda</t>
  </si>
  <si>
    <t>Intelligent Personal Assistant and Home Automation System</t>
  </si>
  <si>
    <t>Mrs. Shalaka Nadhe</t>
  </si>
  <si>
    <t>Mrs. Ina Joshi</t>
  </si>
  <si>
    <t>Data Transformation And Ingesting Using Open Source Tools</t>
  </si>
  <si>
    <t>Mr. Ankit Joshi</t>
  </si>
  <si>
    <t>Risk Advisory Intern</t>
  </si>
  <si>
    <t>Mr. Jigar Mehta</t>
  </si>
  <si>
    <t xml:space="preserve">Manav Rupani </t>
  </si>
  <si>
    <t xml:space="preserve">Prof. Deepak Sharma </t>
  </si>
  <si>
    <t>Doc chain - storing student records on blockchain</t>
  </si>
  <si>
    <t>Web Developer - ISTE</t>
  </si>
  <si>
    <t>Dr. Deepak Sharma</t>
  </si>
  <si>
    <t>Dochain</t>
  </si>
  <si>
    <t>Doc Chain - Storing student records on Blockchain</t>
  </si>
  <si>
    <t>Himanshu Garg</t>
  </si>
  <si>
    <t>Emfinity Event Team Member</t>
  </si>
  <si>
    <t>Bhavana Sharma</t>
  </si>
  <si>
    <t>Emfinity (Official Math Council of KJSCE)</t>
  </si>
  <si>
    <t>Harikrishnan Gopal</t>
  </si>
  <si>
    <t>Tech Team member of Emfinity KJSCE.</t>
  </si>
  <si>
    <t>Rahil Kothari</t>
  </si>
  <si>
    <t>First Year Representative of Tech Team of KJSCE CodeCell</t>
  </si>
  <si>
    <t>Mr. Avyay Tandon</t>
  </si>
  <si>
    <t>Jt. Digicom Director</t>
  </si>
  <si>
    <t>Shashank Bhanushali</t>
  </si>
  <si>
    <t>Digital Marketing Intern</t>
  </si>
  <si>
    <t>Mr. Parth Matalia</t>
  </si>
  <si>
    <t>KJSCE Shutterbugs Council</t>
  </si>
  <si>
    <t>KJSCE SHUTTERBUGS</t>
  </si>
  <si>
    <t>Creative Team Member - KJSCE CodeCell / Creative Material, Website UI/UX + Dev</t>
  </si>
  <si>
    <t>Vatsal Sanchala</t>
  </si>
  <si>
    <t>Technical Team Member, Conducted Events, Competitions, hosted National Hackathon</t>
  </si>
  <si>
    <t>PR TEAM MEMBER</t>
  </si>
  <si>
    <t>Shreya Khetan</t>
  </si>
  <si>
    <t>Mr Kunal Pimperkhede</t>
  </si>
  <si>
    <t>ML INTERN</t>
  </si>
  <si>
    <t>Mrs. Tanvi Kenia</t>
  </si>
  <si>
    <t>Mr. Sandeep Khantwal</t>
  </si>
  <si>
    <t>SEP Intern</t>
  </si>
  <si>
    <t>Mr. Karan Sajnani</t>
  </si>
  <si>
    <t>Junior Developer / RUMARS ,Service-Side / Product Design &amp; Front-End Integration</t>
  </si>
  <si>
    <t>Sanjay</t>
  </si>
  <si>
    <t>Dhruv Nouni</t>
  </si>
  <si>
    <t>Delivery Lead: Managed teams and ensured timely delivery of products.</t>
  </si>
  <si>
    <t>Treasurer</t>
  </si>
  <si>
    <t>Saksham Raina</t>
  </si>
  <si>
    <t>Ms. Anjali Durgule</t>
  </si>
  <si>
    <t>Aayush Durgule</t>
  </si>
  <si>
    <t>Rahul Tripathi</t>
  </si>
  <si>
    <t>Mr. Raghav Dhingra</t>
  </si>
  <si>
    <t>shreya khetan</t>
  </si>
  <si>
    <t>Mrs Poorva Tambe</t>
  </si>
  <si>
    <t>Ms. Purva Tambe</t>
  </si>
  <si>
    <t>Volunteer for underprivileged school students to create a social science project</t>
  </si>
  <si>
    <t>Jay Malve</t>
  </si>
  <si>
    <t>Mr. Karna Nanda</t>
  </si>
  <si>
    <t>Developed a complete E-commerce website for company with complex computations</t>
  </si>
  <si>
    <t>Sushil Maurya</t>
  </si>
  <si>
    <t>Prof. K. P. Karunakaran</t>
  </si>
  <si>
    <t>Software Automation, 3D paper printer s/w, improving existing codes in cpp, c#</t>
  </si>
  <si>
    <t>Rohan Dsouza</t>
  </si>
  <si>
    <t>Mr. Bhushan Ahire</t>
  </si>
  <si>
    <t>Ali Shaikh</t>
  </si>
  <si>
    <t>Mr. Jemish Gujarati</t>
  </si>
  <si>
    <t>Front end software development internship, focused on UI design and MERN.</t>
  </si>
  <si>
    <t>Asst Prof Umang Patel</t>
  </si>
  <si>
    <t>Cybersecurity Cisco Virtual Internship Program 2023</t>
  </si>
  <si>
    <t>Asst. Prof Umang Patel</t>
  </si>
  <si>
    <t>Cyber Security CISCO Virtual Internship Program 2023</t>
  </si>
  <si>
    <t>Saraunsh Jadhav</t>
  </si>
  <si>
    <t>Mr. Prashant Katkar</t>
  </si>
  <si>
    <t>Mr. Hussain Pettiwala</t>
  </si>
  <si>
    <t>Mr. Kumar Sai Polavarapu, Mr. Ajit Shah, Mr. Praveen Kumar Dubey</t>
  </si>
  <si>
    <t>Data Analyst - Python Application Development,COI,De-Dupe,SQL,Analysis,Scraping</t>
  </si>
  <si>
    <t>Ruta Kulkarni</t>
  </si>
  <si>
    <t>Jaishree Bagul</t>
  </si>
  <si>
    <t>Aditya Pawar</t>
  </si>
  <si>
    <t>Mr. Akhilesh Tiwari</t>
  </si>
  <si>
    <t>Built an analytical dashboard displaying real-time data using React, Redux</t>
  </si>
  <si>
    <t>Mr. Vishwanathan Venkataramanan</t>
  </si>
  <si>
    <t>Data Science and ML in Intelligent Manufacturing Intern</t>
  </si>
  <si>
    <t>Siddhant Parekh</t>
  </si>
  <si>
    <t>Mr. Pratham Soni</t>
  </si>
  <si>
    <t>Enhanced website functionality, dynamic features, and admin control panel.</t>
  </si>
  <si>
    <t>Mrs. Priya Utekar</t>
  </si>
  <si>
    <t>Mahir Mehta</t>
  </si>
  <si>
    <t>Mr. Arrya Parekh</t>
  </si>
  <si>
    <t>Soham Patil</t>
  </si>
  <si>
    <t>Shruti Nogja</t>
  </si>
  <si>
    <t>Mr. Vishal Mehta</t>
  </si>
  <si>
    <t>Web Development - Event Management System</t>
  </si>
  <si>
    <t>Mr. Govind Dalwani</t>
  </si>
  <si>
    <t>Artificial intelligience intern under the RnD cell of one of their teams</t>
  </si>
  <si>
    <t>Mr. Dhiraj Patel</t>
  </si>
  <si>
    <t>Prof. bheemaarunja Reddy Tamma</t>
  </si>
  <si>
    <t>5G NR Research Intern</t>
  </si>
  <si>
    <t>Husain Bengali</t>
  </si>
  <si>
    <t>Mr. Viral Tank</t>
  </si>
  <si>
    <t>Data preprocessing and analysis using Apache Spark and Scala.</t>
  </si>
  <si>
    <t>Mr. Rajiv Banerjee</t>
  </si>
  <si>
    <t>Study on Futures and Options Market, Loans Against Securities and Robo Advisory</t>
  </si>
  <si>
    <t>Yash Shah</t>
  </si>
  <si>
    <t>Sid Sagwekar</t>
  </si>
  <si>
    <t>Ms.  Rashmi Sawe</t>
  </si>
  <si>
    <t>Data Warehouse platform intern</t>
  </si>
  <si>
    <t>Social Media Head</t>
  </si>
  <si>
    <t>Vice Chairperson - Corporate Relations</t>
  </si>
  <si>
    <t>Sudha Gupta</t>
  </si>
  <si>
    <t>Cultural Secretary</t>
  </si>
  <si>
    <t>Technical Head - ISTE</t>
  </si>
  <si>
    <t>Kaivalya Lotankar</t>
  </si>
  <si>
    <t>Event Team - ISTE</t>
  </si>
  <si>
    <t>Prof Swati Mahajan, Prof Makarand Kulkarni, Prof Bharti Khedkar</t>
  </si>
  <si>
    <t>Web Development - BPSK Virtual Lab</t>
  </si>
  <si>
    <t>Mrs Pradnya Gotmare</t>
  </si>
  <si>
    <t>Committee head. Conducted events, competition and hosted National hackathon</t>
  </si>
  <si>
    <t>Prof. Smita Sankhe , Prof. Avani Sakhapara</t>
  </si>
  <si>
    <t>Committee Head (Creative)</t>
  </si>
  <si>
    <t>Marketing Member:Gathered footfall, publicized events, hosted National hackathon</t>
  </si>
  <si>
    <t>Shruti Mungale</t>
  </si>
  <si>
    <t>Emfinity (Official Math Council of KJSCE) created dataset of problems for events</t>
  </si>
  <si>
    <t>Joint General Secretary</t>
  </si>
  <si>
    <t>Projector Autofocus</t>
  </si>
  <si>
    <t>Rohit Tawde</t>
  </si>
  <si>
    <t>Technical Head. Conducted events, competition and hosted National hackathon.</t>
  </si>
  <si>
    <t>Software Developer: Standard Question Answering and Deciding System</t>
  </si>
  <si>
    <t>Ms. Pradnya Gothmare</t>
  </si>
  <si>
    <t>Research in NLP for question-answering</t>
  </si>
  <si>
    <t>Harshit Wadhavkar</t>
  </si>
  <si>
    <t>Prof. Jyoti Rao</t>
  </si>
  <si>
    <t>Machine learning for Behavioral Science</t>
  </si>
  <si>
    <t>Vinod Ramesh Ghanchi</t>
  </si>
  <si>
    <t>Clinical Data Mining part 2</t>
  </si>
  <si>
    <t>Data Collection for Competitive Analysis</t>
  </si>
  <si>
    <t>Prof Zaheed Shaikh</t>
  </si>
  <si>
    <t>Exploring Security Information and Event Management Tools:A Comparative Analysis</t>
  </si>
  <si>
    <t>Asst Prof Zaheed Shaikh</t>
  </si>
  <si>
    <t>Asst. Prof Zaheed Shaikh</t>
  </si>
  <si>
    <t>Bhavik Naik</t>
  </si>
  <si>
    <t>App for Dyslexia Detection through Image Analysis using Deep Learning Algorithms</t>
  </si>
  <si>
    <t>Shivani Rao</t>
  </si>
  <si>
    <t>Sahil Saksena</t>
  </si>
  <si>
    <t>Creative Team. Posters, NFTs, council hoodie, banners, offline PR, reels, videos</t>
  </si>
  <si>
    <t>Samarjit Ray</t>
  </si>
  <si>
    <t>Mr. Aakash Agarwal</t>
  </si>
  <si>
    <t>Mr Nitin Parab</t>
  </si>
  <si>
    <t>Tech Team Intern</t>
  </si>
  <si>
    <t>Asst Professor Vaibhav Vasani</t>
  </si>
  <si>
    <t>Clinical Data Mining Part 2</t>
  </si>
  <si>
    <t>Marketing Team</t>
  </si>
  <si>
    <t>Mr. Parvez Dosani</t>
  </si>
  <si>
    <t>Frontend Developer</t>
  </si>
  <si>
    <t>Shivam Nikam</t>
  </si>
  <si>
    <t>Bhushan Ahire</t>
  </si>
  <si>
    <t>Develop a fullstack website with a team, test and update the old website.</t>
  </si>
  <si>
    <t>Sargam Mahajan</t>
  </si>
  <si>
    <t>Ms Akshada  Bharade</t>
  </si>
  <si>
    <t>worked as a web developer, created UI's for fronted development using react</t>
  </si>
  <si>
    <t>Mr. Manoj Kumar, Mr Ritesh Dwivedi</t>
  </si>
  <si>
    <t>Information Security Intern: VAPT, Risk &amp; Compliance, Cloud Security</t>
  </si>
  <si>
    <t>Mr.Twinkle Sebastian</t>
  </si>
  <si>
    <t>Cyber Security Intern</t>
  </si>
  <si>
    <t>Siddhi Doshi</t>
  </si>
  <si>
    <t>Mr. Rishabh Pote</t>
  </si>
  <si>
    <t>Application Development</t>
  </si>
  <si>
    <t>Yash Kulkarni</t>
  </si>
  <si>
    <t>ArcGIS exploration and machine learning techniques</t>
  </si>
  <si>
    <t>Yash Gavade</t>
  </si>
  <si>
    <t>ArcGIS exploration and machine learning techniques to explore in Agriculture</t>
  </si>
  <si>
    <t>Dikshita Chalke</t>
  </si>
  <si>
    <t>Cathy Dsouza</t>
  </si>
  <si>
    <t>Administrative Intern : Supporting Program manager with daily operations.</t>
  </si>
  <si>
    <t>Vivek Vishwakarma</t>
  </si>
  <si>
    <t>Arpit Mathur</t>
  </si>
  <si>
    <t>Summer Technical Associate Consultant Intern</t>
  </si>
  <si>
    <t>Pyanshi Jain</t>
  </si>
  <si>
    <t>Mr Arpit Mathur</t>
  </si>
  <si>
    <t>Associate Consultant: Automated Azure landing zone from 8-10weeks to 4hours</t>
  </si>
  <si>
    <t>Mr. Satvik Thakkar</t>
  </si>
  <si>
    <t>Mr.Ahmed</t>
  </si>
  <si>
    <t>Worked as an intern in a private equity firm</t>
  </si>
  <si>
    <t>Roshan Jadhav</t>
  </si>
  <si>
    <t>Mr. Kaushik Iyer</t>
  </si>
  <si>
    <t>Sahil Dangwal</t>
  </si>
  <si>
    <t>Mr. Sid Sagwekar</t>
  </si>
  <si>
    <t>Palash Panchal</t>
  </si>
  <si>
    <t>Mr. T Nikhil</t>
  </si>
  <si>
    <t>Developed Machine Learning Applications</t>
  </si>
  <si>
    <t>Sharoon Sunkari</t>
  </si>
  <si>
    <t>Miss Baisakhi Dutta</t>
  </si>
  <si>
    <t>Cyber Security Audits , Malware Analysis , IC Malware Research, risk assesment</t>
  </si>
  <si>
    <t>Abhishek Gupta</t>
  </si>
  <si>
    <t>Web Developer Part-Time Intern</t>
  </si>
  <si>
    <t>Mayank singh Dhapola</t>
  </si>
  <si>
    <t>Yash Gawde</t>
  </si>
  <si>
    <t>Mr Adarsh Jain</t>
  </si>
  <si>
    <t>KJSCE Illuminati  - Literary Council</t>
  </si>
  <si>
    <t>Developed a robust full-stack website, enhancing the firm's functionality</t>
  </si>
  <si>
    <t>Mr. Ashish Anant Dalvi</t>
  </si>
  <si>
    <t>Dr. Sudha Gupta, Dr. Ayesha Hakim</t>
  </si>
  <si>
    <t>Design and Development of drip monitoring of IV system</t>
  </si>
  <si>
    <t>Jenson Abby Joseph</t>
  </si>
  <si>
    <t>Prof. Jyothi Rao</t>
  </si>
  <si>
    <t>Machine Learning for Behavioral Science (Reinforcement Learning)</t>
  </si>
  <si>
    <t>Web developer intern</t>
  </si>
  <si>
    <t>Asst Prof Vaibhav Vasani</t>
  </si>
  <si>
    <t>Clinical Data Mining Part - 2</t>
  </si>
  <si>
    <t>Harshit Sapra</t>
  </si>
  <si>
    <t>Mr. Raj Chhadva</t>
  </si>
  <si>
    <t>Marketing Internship</t>
  </si>
  <si>
    <t>Mr. Raj Thakkar</t>
  </si>
  <si>
    <t>Business Development Specialist</t>
  </si>
  <si>
    <t>Front End Software Developer Intern</t>
  </si>
  <si>
    <t>Dr. Prasanna J. Shete</t>
  </si>
  <si>
    <t>Research Internship for building cataract detection app</t>
  </si>
  <si>
    <t>Krish Panchal</t>
  </si>
  <si>
    <t>Mr. Janak Shukla ( CTO of ARCON )</t>
  </si>
  <si>
    <t>I worked as a Software Developer</t>
  </si>
  <si>
    <t>Ms. Satabdi Das</t>
  </si>
  <si>
    <t>Jenson Joseph</t>
  </si>
  <si>
    <t>Mr. Janam Bhavsar (Team Lead), HR - Dafrin Isaac</t>
  </si>
  <si>
    <t>Software Developer Intern (worked as an Angular web dev)</t>
  </si>
  <si>
    <t>Ms. Yashvi Vora</t>
  </si>
  <si>
    <t>Software Developement Intern</t>
  </si>
  <si>
    <t>Mr. Swaroop Panda &amp; Mr. Shashank Amin</t>
  </si>
  <si>
    <t>IT Analyst Summer Intern</t>
  </si>
  <si>
    <t>Web development Intern</t>
  </si>
  <si>
    <t>Kaustubh Karkhanis</t>
  </si>
  <si>
    <t>Mr. Nagesh Kairamkonda</t>
  </si>
  <si>
    <t>Nitai Kodkani</t>
  </si>
  <si>
    <t>Mr. Ankur Desai - Senior Enterprise Architect</t>
  </si>
  <si>
    <t>Java Software Developer under "SPARK – AcePL Program”</t>
  </si>
  <si>
    <t>Hand Gesture Recognition</t>
  </si>
  <si>
    <t xml:space="preserve">Rakshaa Vatsala Srinivasan </t>
  </si>
  <si>
    <t>Dr. Manoj Janardan Pawar</t>
  </si>
  <si>
    <t>Orion racing India</t>
  </si>
  <si>
    <t>Aryan Halkude</t>
  </si>
  <si>
    <t>Prof. Surya Durbha</t>
  </si>
  <si>
    <t>ML and IoT in Agriculture: Built Flutter app, data collection &amp; analysis</t>
  </si>
  <si>
    <t>Mr. Zaheed Shaikh</t>
  </si>
  <si>
    <t>Evaluation and Comparative Analysis of Ethical Hacking Methods and Allied Tools</t>
  </si>
  <si>
    <t>Navya Shrivastava</t>
  </si>
  <si>
    <t>Mr. Ghufranullah Khan</t>
  </si>
  <si>
    <t>Karan Jariwala</t>
  </si>
  <si>
    <t>Management Intern at Aptivaa Cyber Risk Services</t>
  </si>
  <si>
    <t>Mr. Nikhil Patil</t>
  </si>
  <si>
    <t>Bilal Inamdar</t>
  </si>
  <si>
    <t>Mr. Nabil Fares</t>
  </si>
  <si>
    <t xml:space="preserve">System analyst and Database architect </t>
  </si>
  <si>
    <t>Apeksha Hegde</t>
  </si>
  <si>
    <t>Mr. Akash Masirkar</t>
  </si>
  <si>
    <t>Python Developer- utilized Pandas and NumPy and Beautiful Soup for web scraping</t>
  </si>
  <si>
    <t>Used Python &amp; NLP libs (NLTK, spaCy, CoreNLP) for text analysis in research.</t>
  </si>
  <si>
    <t>Miss Smita Sankhe, Miss Nirmala Shinde</t>
  </si>
  <si>
    <t>Comparative Study on Classification Techniques for Image Dataset</t>
  </si>
  <si>
    <t>Mr Nikhil Patil</t>
  </si>
  <si>
    <t>Apurva Rasal</t>
  </si>
  <si>
    <t>Mr Shailendra Raikwad</t>
  </si>
  <si>
    <t>Information Security Intern</t>
  </si>
  <si>
    <t>2022 - 23</t>
  </si>
  <si>
    <t>Raunak Kumar Gupta</t>
  </si>
  <si>
    <t>Mr. Chitranshi pawar</t>
  </si>
  <si>
    <t>Fundraising and Marketing for Animal Welfare Initiatives at Pawzz</t>
  </si>
  <si>
    <t>2023 - 24</t>
  </si>
  <si>
    <t>Garv Vyas</t>
  </si>
  <si>
    <t xml:space="preserve">Web Development </t>
  </si>
  <si>
    <t>CPP Programming</t>
  </si>
  <si>
    <t>Aryan Indra</t>
  </si>
  <si>
    <t>Mr. Ajay Khopade</t>
  </si>
  <si>
    <t>Demand Forecasting and Market Research at Kokuyo Camlin</t>
  </si>
  <si>
    <t>Surabhi Khutal</t>
  </si>
  <si>
    <t>Title – Market Research. Worked as the Research Team Member in Grapevine.</t>
  </si>
  <si>
    <t>Govindraj Borade</t>
  </si>
  <si>
    <t>Kritika Verma</t>
  </si>
  <si>
    <t>Electric vehicle -techno commercial analysis</t>
  </si>
  <si>
    <t>Yuvaan Shah</t>
  </si>
  <si>
    <t xml:space="preserve">Nikhil Srivasta &amp; Rashi Kapadia </t>
  </si>
  <si>
    <t xml:space="preserve">Director of Operations &amp; Growth Strategist </t>
  </si>
  <si>
    <t>Aashutosh panda</t>
  </si>
  <si>
    <t xml:space="preserve">Mr. Yogesh sir </t>
  </si>
  <si>
    <t xml:space="preserve">RIGHT TO SAFETY PROGRAMME </t>
  </si>
  <si>
    <t>Mr. Yogesh sir</t>
  </si>
  <si>
    <t>Samutkarsh Abhyasika.</t>
  </si>
  <si>
    <t>Amandeep Singh Rathod</t>
  </si>
  <si>
    <t>Mr. Rajvardhan Patil</t>
  </si>
  <si>
    <t>Developed Saarthi App and a portfolio website using React.</t>
  </si>
  <si>
    <t>Tanmay Goraksha</t>
  </si>
  <si>
    <t>Mr.Tushar Vagal</t>
  </si>
  <si>
    <t>Sharepoint, Microsoft Power Platform And RPA Developer</t>
  </si>
  <si>
    <t>Vibha Jadhav</t>
  </si>
  <si>
    <t>Market research intern, Culture strategist, UX Researcher</t>
  </si>
  <si>
    <t>Minav Karia</t>
  </si>
  <si>
    <t>Mr Dhruv Daftary</t>
  </si>
  <si>
    <t xml:space="preserve">Convert the PHP website to NEXTJS , add blog page page and host with hostinger </t>
  </si>
  <si>
    <t>Soham Bbutada</t>
  </si>
  <si>
    <t>Mr. Vishal Phandat</t>
  </si>
  <si>
    <t>I Helped Vishal Sir and his company In building basic websites and CSS designs</t>
  </si>
  <si>
    <t xml:space="preserve">Vibhu Gupta </t>
  </si>
  <si>
    <t xml:space="preserve">Mr. Patthipatti Kullayappa </t>
  </si>
  <si>
    <t xml:space="preserve">AI/ML Project - Reducing infant attrition through machine learning techniques </t>
  </si>
  <si>
    <t>Sanika Pendurkar</t>
  </si>
  <si>
    <t>Rohit Challa, Mohit</t>
  </si>
  <si>
    <t>Artificial Intelligence - Movie Recommendation System</t>
  </si>
  <si>
    <t>Heemit Shah</t>
  </si>
  <si>
    <t>Artificial Intelligence - Chatbot using NLP</t>
  </si>
  <si>
    <t>Purab Madhan</t>
  </si>
  <si>
    <t xml:space="preserve">RTR.Avyay Anurag Tandon , RTR. Yash Mitra </t>
  </si>
  <si>
    <t>As a General Body Member, I organized sports events to boost engagement.</t>
  </si>
  <si>
    <t>Dr Ayesha Hakim</t>
  </si>
  <si>
    <t>Building a Geotagged Website</t>
  </si>
  <si>
    <t>Siddhant Shukla</t>
  </si>
  <si>
    <t>Dr.Ninad Mehendale</t>
  </si>
  <si>
    <t>Content Creator</t>
  </si>
  <si>
    <t>Saish Korgaonkar</t>
  </si>
  <si>
    <t xml:space="preserve">Software Team </t>
  </si>
  <si>
    <t>Prof.  Rohini Nair</t>
  </si>
  <si>
    <t>VEDANT NARAYAN</t>
  </si>
  <si>
    <t>PROF. VAIBHAV VASANI, PROF. KAUSTUBH KULKARNI</t>
  </si>
  <si>
    <t>SwDC TEAM DATASET (STAGE 1)</t>
  </si>
  <si>
    <t>Shravani Parte</t>
  </si>
  <si>
    <t>Technology related content creation</t>
  </si>
  <si>
    <t>Mihir Phalke</t>
  </si>
  <si>
    <t>Prof. Sagar Korde and Prof. Inderjit Singh Dhanjal</t>
  </si>
  <si>
    <t>First Year Representative at BloomBox, E-Cell, KJSCE</t>
  </si>
  <si>
    <t>Rohan Suri</t>
  </si>
  <si>
    <t>Prof. Sagar Korde,Prof. Inderjit Singh Dhanjal</t>
  </si>
  <si>
    <t>First Year Representative at BloomBox KJSCE</t>
  </si>
  <si>
    <t>Shreyash Thakur</t>
  </si>
  <si>
    <t>FY Representative at BloomBox E-Cell KJSCE</t>
  </si>
  <si>
    <t>Vivin Dube</t>
  </si>
  <si>
    <t xml:space="preserve">Vibha Jadhav </t>
  </si>
  <si>
    <t>Mr. Sagar Korde</t>
  </si>
  <si>
    <t>FY representative</t>
  </si>
  <si>
    <t xml:space="preserve">Tejaswini Shet </t>
  </si>
  <si>
    <t>Dr. Ayesha Hakim</t>
  </si>
  <si>
    <t>Image mining for crime prevention</t>
  </si>
  <si>
    <t>Dishita Runwal</t>
  </si>
  <si>
    <t>Prof. Sagar Korde, Prof.Inderjit Singh Dhanjal</t>
  </si>
  <si>
    <t>FY Representative at BloomBox, E-Cell, KJSCE</t>
  </si>
  <si>
    <t>Aayush Hardas</t>
  </si>
  <si>
    <t>Mega Project - TMRT Groundwater Mapping</t>
  </si>
  <si>
    <t>Rikhav Satra</t>
  </si>
  <si>
    <t>Logistics Wing Member</t>
  </si>
  <si>
    <t>Rudra Shetye</t>
  </si>
  <si>
    <t>Poem dataset preparation for GenAI</t>
  </si>
  <si>
    <t>Pragya Gupta</t>
  </si>
  <si>
    <t>Task Manager using Python</t>
  </si>
  <si>
    <t>Anannya khedekar</t>
  </si>
  <si>
    <t>Mr.Dilip Srivastav</t>
  </si>
  <si>
    <t xml:space="preserve">Mobile app development intern:Firebase auth for social media app using flutter </t>
  </si>
  <si>
    <t>Mr Mohit Tripathi</t>
  </si>
  <si>
    <t>Handwritten digit recognition system by using MNIST dataset with Neural Network.</t>
  </si>
  <si>
    <t>Mr. Deven Chopra</t>
  </si>
  <si>
    <t>Build a decision tree classifier to predict using the UCI ML Repository.</t>
  </si>
  <si>
    <t>web developer</t>
  </si>
  <si>
    <t>Nabil Fares</t>
  </si>
  <si>
    <t>Megha</t>
  </si>
  <si>
    <t>Fundraising Intern</t>
  </si>
  <si>
    <t>Social work</t>
  </si>
  <si>
    <t xml:space="preserve">Cathy Dsouza </t>
  </si>
  <si>
    <t>Katyayani Krishnan</t>
  </si>
  <si>
    <t>Ms Jayatri Dasgupta, Ms Dhivyaa R</t>
  </si>
  <si>
    <t>Devayani Krishnan</t>
  </si>
  <si>
    <t>Sunmathi Vajravel</t>
  </si>
  <si>
    <t>Quality Reviewer</t>
  </si>
  <si>
    <t>Mrs. Vanshika Agarwal</t>
  </si>
  <si>
    <t>Data Analyst Apprentice</t>
  </si>
  <si>
    <t>Swastik Rakshit</t>
  </si>
  <si>
    <t>Product Engineer - Web Application Development</t>
  </si>
  <si>
    <t xml:space="preserve">Jha Nileshkumar Santosh </t>
  </si>
  <si>
    <t xml:space="preserve">Mr. Yogesh Pandey </t>
  </si>
  <si>
    <t>Data Cleaning, Preprocessing &amp; Transform for Product Quality, Assortment Report.</t>
  </si>
  <si>
    <t>Devang Bhakuni</t>
  </si>
  <si>
    <t>Mr. Arjun P.S.</t>
  </si>
  <si>
    <t>Infocom Infrastructure Training at ONGC, Mumbai</t>
  </si>
  <si>
    <t>Mr. Shreejit Verma</t>
  </si>
  <si>
    <t>Junior Software Engineer - Analytics</t>
  </si>
  <si>
    <t>Samarth Parasnis</t>
  </si>
  <si>
    <t>Mr.Aman Kesarwani</t>
  </si>
  <si>
    <t>Web Developer Intern - Worked as Frontend developer and contributed to projects</t>
  </si>
  <si>
    <t>Mr. Prasad Pandit</t>
  </si>
  <si>
    <t>Sales Intern - Worked for promoting sales of gaming laptops and refurbished ones</t>
  </si>
  <si>
    <t>Chinmay Teli</t>
  </si>
  <si>
    <t>Backend Web Developer</t>
  </si>
  <si>
    <t>Nisha Shah</t>
  </si>
  <si>
    <t>Arvin William Dias</t>
  </si>
  <si>
    <t>Researched, installed, and tested cyber tools; documented setups and results.</t>
  </si>
  <si>
    <t>Pawan Dhanani</t>
  </si>
  <si>
    <t>Mr. Naren Lokwani</t>
  </si>
  <si>
    <t>Game Developer</t>
  </si>
  <si>
    <t>Atharva Kulkarni</t>
  </si>
  <si>
    <t>Ms. Harshita Dassani</t>
  </si>
  <si>
    <t xml:space="preserve">Backend Developer Intern : Built a platform connecting companies to investors. </t>
  </si>
  <si>
    <t>Mr. Vikas Shukla</t>
  </si>
  <si>
    <t>Backend Developer Intern: Connecting EXTERNAL APIs and frontend responsiveness.</t>
  </si>
  <si>
    <t>Manan Sayar</t>
  </si>
  <si>
    <t>Mr. Murari Prasad</t>
  </si>
  <si>
    <t>Data Science Internship</t>
  </si>
  <si>
    <t xml:space="preserve">Dhruv Gundecha </t>
  </si>
  <si>
    <t>Mr Aniket Bacchas</t>
  </si>
  <si>
    <t xml:space="preserve">Cybersecurity internship </t>
  </si>
  <si>
    <t>Neil Carnac</t>
  </si>
  <si>
    <t>Vijay Yennam</t>
  </si>
  <si>
    <t>Software / Full stack developer</t>
  </si>
  <si>
    <t>Ms. Shampa Patra</t>
  </si>
  <si>
    <t>GenAI : Worked with the EY technical team to generate AI content.</t>
  </si>
  <si>
    <t xml:space="preserve">Mr. Shashikant Sayar </t>
  </si>
  <si>
    <t>Web Development and Learning Chemical Broker Business</t>
  </si>
  <si>
    <t>Sahil Sayani</t>
  </si>
  <si>
    <t>Mr Nilesh Kotalwar</t>
  </si>
  <si>
    <t>Software development intern</t>
  </si>
  <si>
    <t>Dibyani Mohanty</t>
  </si>
  <si>
    <t>Ms. Rashmi Patankar</t>
  </si>
  <si>
    <t>Scilab Case Study Project - Semester Long Summer Intern</t>
  </si>
  <si>
    <t>Raghav Vivek Srivastava</t>
  </si>
  <si>
    <t>Mr. Gautam Batra</t>
  </si>
  <si>
    <t xml:space="preserve">Development of POWER Bl Dashboard for Project Data. </t>
  </si>
  <si>
    <t>Elavarasi Kumar</t>
  </si>
  <si>
    <t>Ms.Elavarshi Kumar</t>
  </si>
  <si>
    <t>Midhya Mathew</t>
  </si>
  <si>
    <t>Internship on IoT and Smart Manufacturing</t>
  </si>
  <si>
    <t>Mr Vaibhav Vasani</t>
  </si>
  <si>
    <t xml:space="preserve">Supporting and upgrading Peer Grade system </t>
  </si>
  <si>
    <t xml:space="preserve">Smart Dust Bin </t>
  </si>
  <si>
    <t xml:space="preserve">Pawan Dhanani </t>
  </si>
  <si>
    <t xml:space="preserve">Game Development using Unity Engine </t>
  </si>
  <si>
    <t>Karan Sanghvi</t>
  </si>
  <si>
    <t>Technical Wing - BloomBox, ECell KJSCE</t>
  </si>
  <si>
    <t>Building parser for reinforcement learning based algorithm for summarization</t>
  </si>
  <si>
    <t xml:space="preserve">Adversarial Attacks on ASR models </t>
  </si>
  <si>
    <t>Backend Lead for Proctor website</t>
  </si>
  <si>
    <t xml:space="preserve">Harshit Wadhavkar </t>
  </si>
  <si>
    <t>Prof. Bharathi H. N.</t>
  </si>
  <si>
    <t>Temporal Analysis of NDVI Trends and Prediction of Green Area Coverage by LSTMs</t>
  </si>
  <si>
    <t>Suyesh Jadhav</t>
  </si>
  <si>
    <t>Created a course management website for KJSCE using MERN stack.</t>
  </si>
  <si>
    <t xml:space="preserve">Prof. Mansi Kambli </t>
  </si>
  <si>
    <t>ArcGIS and ML exploration</t>
  </si>
  <si>
    <t>Data Science Intern ,worked on two projects related to the field of data science</t>
  </si>
  <si>
    <t>Shreenand Joshi</t>
  </si>
  <si>
    <t>Dr Dilip Yardi</t>
  </si>
  <si>
    <t>Working for a NGO which aims for environment and wildlife conservation</t>
  </si>
  <si>
    <t>Mr. Amay Sankhe, Ms. Gandhali Karnik</t>
  </si>
  <si>
    <t>Full Stack SDE Intern working on a Mern Stack Study Planner Web App.</t>
  </si>
  <si>
    <t>BHAKTI LAHANE</t>
  </si>
  <si>
    <t>Administrator at The Stallion Project: Manage operations &amp; support team.</t>
  </si>
  <si>
    <t>Atharva Tambe</t>
  </si>
  <si>
    <t>Creation of a dynamic laundry app</t>
  </si>
  <si>
    <t>Mr. Sanjeev Chaudhary</t>
  </si>
  <si>
    <t>Mr Tejas Nikam, Mr Dipesh Mehta</t>
  </si>
  <si>
    <t>Marketing and Data Analysis</t>
  </si>
  <si>
    <t>Mrs. Hamsa Sri A</t>
  </si>
  <si>
    <t>Summer Intern (Data Analyst)</t>
  </si>
  <si>
    <t>Dillesh Kumar Chelluri</t>
  </si>
  <si>
    <t>Dishita Shah</t>
  </si>
  <si>
    <t>Mr. Arun Nadar</t>
  </si>
  <si>
    <t>Data Science and Analysis</t>
  </si>
  <si>
    <t>Mr. Sourav Raj</t>
  </si>
  <si>
    <t>Application Development with ML for 5G</t>
  </si>
  <si>
    <t>Application Development using ML for 5G</t>
  </si>
  <si>
    <t>Darshan Gupta</t>
  </si>
  <si>
    <t>Mr. Aniket Bacchas</t>
  </si>
  <si>
    <t>Team lead - AI cyber lab</t>
  </si>
  <si>
    <t>Pranav Bakshi</t>
  </si>
  <si>
    <t>Shivam Kashyap</t>
  </si>
  <si>
    <t>Learned Pandas &amp; NumPy, aided in pothole detection ML project, did annotations.</t>
  </si>
  <si>
    <t>Prathmesh Batham</t>
  </si>
  <si>
    <t>Mr. Abhijeet Sarkar</t>
  </si>
  <si>
    <t>Mr. Amay Sankhe</t>
  </si>
  <si>
    <t>Devloped an autonomus system to generate classroom attendace using photo of clas</t>
  </si>
  <si>
    <t>OCR based system to convert attendance sheet into digital format(including sign)</t>
  </si>
  <si>
    <t>Medhaj Chaudhari</t>
  </si>
  <si>
    <t>Mr. Sivanandakumar kantimahanti , Mr. Gopal Bhagat</t>
  </si>
  <si>
    <t xml:space="preserve">Overview of IT and brief study about data structures, networking and hardware, </t>
  </si>
  <si>
    <t>Dr.kritika Verma</t>
  </si>
  <si>
    <t xml:space="preserve">Electric Vehicle -Techno Commercial Analysis </t>
  </si>
  <si>
    <t>Mr. Rohit Khare</t>
  </si>
  <si>
    <t>RPA training and assignments performed using UiPath, SQL, and Gen AI</t>
  </si>
  <si>
    <t>Muskan Shaikh</t>
  </si>
  <si>
    <t>Mr. Uday Joshi, Mrs. Supriya Mishra</t>
  </si>
  <si>
    <t>Worked on Database and learnt networking and API</t>
  </si>
  <si>
    <t>Apurva Dharam</t>
  </si>
  <si>
    <t>Mr. Akash Mittal</t>
  </si>
  <si>
    <t>1. Fuel Optimizer Website , 2. Safety Data Automation</t>
  </si>
  <si>
    <t>Mr. Dhiraj Parwani</t>
  </si>
  <si>
    <t>Aditya Kakar</t>
  </si>
  <si>
    <t>Prathamesh Gunjal</t>
  </si>
  <si>
    <t>Automation using Power Automate</t>
  </si>
  <si>
    <t>Dhruv Sheth</t>
  </si>
  <si>
    <t>Tarak Doshi</t>
  </si>
  <si>
    <t>Research and Outreach Intern</t>
  </si>
  <si>
    <t>Varun Soni</t>
  </si>
  <si>
    <t>Mrs. Pradnya Shroff</t>
  </si>
  <si>
    <t>Aaditya Kulkarni</t>
  </si>
  <si>
    <t>Mr. Jayant Mehtar</t>
  </si>
  <si>
    <t>Frontend coding in ReactJs of their recruitment management system.</t>
  </si>
  <si>
    <t xml:space="preserve">Krisha Kharote </t>
  </si>
  <si>
    <t>Anup Mannari</t>
  </si>
  <si>
    <t>Built Product and Billing modules with Java streams, PDF invoices, and email.</t>
  </si>
  <si>
    <t>Sharwar Patil</t>
  </si>
  <si>
    <t>Mr. Vishal Nigam</t>
  </si>
  <si>
    <t>Mr. Dev Desai</t>
  </si>
  <si>
    <t>Data Analyst: SQL,AWS Athena, Excel, Tableau, Python automation, data extraction</t>
  </si>
  <si>
    <t>Rayan Pramod Kokate</t>
  </si>
  <si>
    <t>Mr Aniket Vishwakarma</t>
  </si>
  <si>
    <t>Cyber security and cyber forensics</t>
  </si>
  <si>
    <t>Taher Ariwala</t>
  </si>
  <si>
    <t>Mr. Husain Ariwala</t>
  </si>
  <si>
    <t>Full Stack Web Developer.</t>
  </si>
  <si>
    <t>Hardik Khanna</t>
  </si>
  <si>
    <t>Mr. Sanjeev Bhatia</t>
  </si>
  <si>
    <t>I was a web developer intern at ONGC and i created an online quiz portal.</t>
  </si>
  <si>
    <t>Pratham Udeshi</t>
  </si>
  <si>
    <t>Vrujesh H M</t>
  </si>
  <si>
    <t>Ninad Marathe</t>
  </si>
  <si>
    <t>Mr. Avyay Tandon , Mr. Sayyam Jain</t>
  </si>
  <si>
    <t>Graphic Designing and Social Media</t>
  </si>
  <si>
    <t>Aakriti Mehta</t>
  </si>
  <si>
    <t>Mr. Sandip Gavit</t>
  </si>
  <si>
    <t>Python related projects</t>
  </si>
  <si>
    <t>Krishna Chandak</t>
  </si>
  <si>
    <t>Prodigy InfoTech</t>
  </si>
  <si>
    <t>1-month web dev intern at Prodigy InfoTech; worked with HTML, CSS, JS.</t>
  </si>
  <si>
    <t>Agile Job Simulation with JPMorgan Chase &amp; Co</t>
  </si>
  <si>
    <t>Shri Vineet Sharma</t>
  </si>
  <si>
    <t>Design and Development of PostgreSQL Database Comparison Application in JAVA</t>
  </si>
  <si>
    <t>Nidhi Bhandari</t>
  </si>
  <si>
    <t>Mr. Mohit Maan</t>
  </si>
  <si>
    <t>One Click Deployement - Managed and modified the CI/CD pipeline.</t>
  </si>
  <si>
    <t>Avneesh Pillai</t>
  </si>
  <si>
    <t>Mr. Rakesh Khemani</t>
  </si>
  <si>
    <t>Optimized email latency with Spring Boot; researched Docker containers for logs.</t>
  </si>
  <si>
    <t>Dock Appointment System</t>
  </si>
  <si>
    <t>Zeel Jain</t>
  </si>
  <si>
    <t>Web developer for 5th edition</t>
  </si>
  <si>
    <t>Zayaan Ahmed Ghauri</t>
  </si>
  <si>
    <t>Hanoze Mistry</t>
  </si>
  <si>
    <t xml:space="preserve">Web Developer </t>
  </si>
  <si>
    <t>Mehrshad Nava</t>
  </si>
  <si>
    <t>Mr Mikhil Bhatt</t>
  </si>
  <si>
    <t>An app that automates shipment tracking, reducing manual errors and saving time.</t>
  </si>
  <si>
    <t>Saurabh Agrawal</t>
  </si>
  <si>
    <t xml:space="preserve">Mrs. Pragya Gupta </t>
  </si>
  <si>
    <t xml:space="preserve">Developed a software that can generate and scan QR code </t>
  </si>
  <si>
    <t xml:space="preserve">Himanshi Modi </t>
  </si>
  <si>
    <t xml:space="preserve">Prof. Pragya Gupta </t>
  </si>
  <si>
    <t xml:space="preserve">QR CODE SCANNER AND GENERATOR </t>
  </si>
  <si>
    <t xml:space="preserve">Sanika Lunawat </t>
  </si>
  <si>
    <t>Prof. Pragya Gupta</t>
  </si>
  <si>
    <t>Created a QR Code Scanner and Generator application.</t>
  </si>
  <si>
    <t xml:space="preserve">QR Code Scanner and Generator </t>
  </si>
  <si>
    <t>Prof. Pragya Gupta, Prof. Arati Phadke</t>
  </si>
  <si>
    <t>Inventory Management for College Laboratories</t>
  </si>
  <si>
    <t>Soumil Mukhopadhyay</t>
  </si>
  <si>
    <t>Ms. Pragya Gupta</t>
  </si>
  <si>
    <t>Developed a simple quiz website using frontend technologies(HTML,CSS,Javascript)</t>
  </si>
  <si>
    <t>Developed an Infinite Runner game 'BharatBlitz' for SIG game development</t>
  </si>
  <si>
    <t>Harsh Nagrani</t>
  </si>
  <si>
    <t>Mr Sushrut Sakharkar</t>
  </si>
  <si>
    <t>Frontend React Intern</t>
  </si>
  <si>
    <t>Prof.Zaheed Sheikh</t>
  </si>
  <si>
    <t>UI UX DESIGN</t>
  </si>
  <si>
    <t>Zaheed Shaikh</t>
  </si>
  <si>
    <t>UI/UX DESIGN</t>
  </si>
  <si>
    <t>Yakshit Poojary</t>
  </si>
  <si>
    <t>Building a Website for Geotagged Products</t>
  </si>
  <si>
    <t>Social Media and Literary Secretary at BloomBox E-Cell KJSCE</t>
  </si>
  <si>
    <t>Ananya Pal</t>
  </si>
  <si>
    <t>Mr Vaibhav Vasani/ Mr Kaustubh Kulkarni</t>
  </si>
  <si>
    <t>Dataset preparation for GenAI</t>
  </si>
  <si>
    <t>Rushiel Sarnaik</t>
  </si>
  <si>
    <t>Marketing Wing Member</t>
  </si>
  <si>
    <t>Proctor Website Frontend</t>
  </si>
  <si>
    <t>Proctor Website Backend</t>
  </si>
  <si>
    <t>Swadha Khatod</t>
  </si>
  <si>
    <t xml:space="preserve">Prof. Ayesha Hakim </t>
  </si>
  <si>
    <t>Crime Prevention using ML</t>
  </si>
  <si>
    <t>NIKHIL PATIL</t>
  </si>
  <si>
    <t>Mrs. Bhakti Nilesh Palkar</t>
  </si>
  <si>
    <t>Timetable Management Software</t>
  </si>
  <si>
    <t>Abhishek Sarkar</t>
  </si>
  <si>
    <t>Ms. Mansi Kambli</t>
  </si>
  <si>
    <t>Prediction of vegetation using Machine Learning models and ArcGIS.</t>
  </si>
  <si>
    <t>Manas Hardikar</t>
  </si>
  <si>
    <t>Autonomous Drone - Software team lead (Drone Crafters)</t>
  </si>
  <si>
    <t>Tejal Ambhore</t>
  </si>
  <si>
    <t>Pixhawk firmware, HereLink, Mission Planner, Object Detection, Python, YOLO.</t>
  </si>
  <si>
    <t>Harshitha Shetty</t>
  </si>
  <si>
    <t>Website Development for K.J. Somaiya’s Online Course Platform</t>
  </si>
  <si>
    <t>Jt. Technical Head</t>
  </si>
  <si>
    <t>Huzaifa Ansari</t>
  </si>
  <si>
    <t xml:space="preserve">Website Development for K.J. Somaiya’s Online Course Platform </t>
  </si>
  <si>
    <t>Jay Zobalia</t>
  </si>
  <si>
    <t>Mr. Anurag Chitta</t>
  </si>
  <si>
    <t>Manori Sangani</t>
  </si>
  <si>
    <t>Summer Internship as Developer</t>
  </si>
  <si>
    <t>2023 Software Engineer Program - Summer Internship</t>
  </si>
  <si>
    <t xml:space="preserve">Mihika Dakappagari </t>
  </si>
  <si>
    <t>Mrs. Amandeep Kaur</t>
  </si>
  <si>
    <t>Data Science Intern  - Provided voluntary and fundraising service</t>
  </si>
  <si>
    <t>Dr. Sean Van Slycke</t>
  </si>
  <si>
    <t>Software Development</t>
  </si>
  <si>
    <t>Mr. Vishal Jain</t>
  </si>
  <si>
    <t>ReactJS Developer Intern</t>
  </si>
  <si>
    <t>Project on Computer Vision based Stock-out Alert</t>
  </si>
  <si>
    <t>Chirag Sharma</t>
  </si>
  <si>
    <t>Mr. Rishikesh Gunjal</t>
  </si>
  <si>
    <t>Mr. Arpan shah</t>
  </si>
  <si>
    <t>Research and development intern</t>
  </si>
  <si>
    <t>Monish Meher</t>
  </si>
  <si>
    <t>Quality Assurance Intern</t>
  </si>
  <si>
    <t>Mahima Bali</t>
  </si>
  <si>
    <t>software intern</t>
  </si>
  <si>
    <t>Bhavya D Verma</t>
  </si>
  <si>
    <t>Mr. Pawan Raut</t>
  </si>
  <si>
    <t>Forage Team and KPMG Team</t>
  </si>
  <si>
    <t>Reema Parakkal</t>
  </si>
  <si>
    <t>Mr. Samay Gada</t>
  </si>
  <si>
    <t>Crowdfunding Intern: Interact with donors, pitched the cause; collected funds</t>
  </si>
  <si>
    <t>Zarwaan Shroff</t>
  </si>
  <si>
    <t>Ms. Saumya Srivastava</t>
  </si>
  <si>
    <t>Junior Data Analyst Intern</t>
  </si>
  <si>
    <t>Raj Motta</t>
  </si>
  <si>
    <t>Muneez Rahman</t>
  </si>
  <si>
    <t>Content Writer / Question Creator</t>
  </si>
  <si>
    <t>Asmi Takle</t>
  </si>
  <si>
    <t>MotionCut</t>
  </si>
  <si>
    <t>Project-based Python Programming</t>
  </si>
  <si>
    <t>Varrshinie Aravindan</t>
  </si>
  <si>
    <t>Data Visualisation: Empowering Business with Effective Insights</t>
  </si>
  <si>
    <t>YASHA DHANANJAY WAKHLE</t>
  </si>
  <si>
    <t>Interface with a stock price data feed</t>
  </si>
  <si>
    <t>Aditi Sahu</t>
  </si>
  <si>
    <t>Mrs. Babita Tiwari</t>
  </si>
  <si>
    <t>Graphic and web design intern</t>
  </si>
  <si>
    <t>SHIVAM SAIGAL</t>
  </si>
  <si>
    <t>Mr. Nikhil Singh</t>
  </si>
  <si>
    <t>Full Stack Web Developer: Develop web apps, test, integrate frontend &amp; backend.</t>
  </si>
  <si>
    <t xml:space="preserve">Goldman Sachs Software Engineering </t>
  </si>
  <si>
    <t>YASHA WAKHLE</t>
  </si>
  <si>
    <t>Coding: Development &amp; Advanced Engineering Job Simulation</t>
  </si>
  <si>
    <t>Mr. Narendra Lalwani</t>
  </si>
  <si>
    <t>Data Analyst (BI) Intern - Data Analytics and Visualization for Telecom products</t>
  </si>
  <si>
    <t>Mr. Avyay Tandon, Mr. Sayyam Jain</t>
  </si>
  <si>
    <t>Backend Development</t>
  </si>
  <si>
    <t>Deep Ardin</t>
  </si>
  <si>
    <t>I acted as a program manager and Web Developer to develop a website.</t>
  </si>
  <si>
    <t>Mr. Arnav Gholap</t>
  </si>
  <si>
    <t>Web Developer - Developed complete website for the client using Wordpress</t>
  </si>
  <si>
    <t>Technical Writer and Program Manager</t>
  </si>
  <si>
    <t>Mr. Tom Brunskill</t>
  </si>
  <si>
    <t>Vivek Ray</t>
  </si>
  <si>
    <t>Mr. Aashish Kharwade</t>
  </si>
  <si>
    <t>Mr. Rahul Mishra</t>
  </si>
  <si>
    <t>Mr. Jackson Jesionowski (Jack Jay)</t>
  </si>
  <si>
    <t>Internship title: Web development internship, Project: Uranus Meme Token Website</t>
  </si>
  <si>
    <t xml:space="preserve"> Mr. Kenil Jain</t>
  </si>
  <si>
    <t xml:space="preserve">customer relationship management </t>
  </si>
  <si>
    <t>Ms. Raakhee Rao</t>
  </si>
  <si>
    <t>Made student collages using Canva and developed database for student data.</t>
  </si>
  <si>
    <t>Harsh Prabhu</t>
  </si>
  <si>
    <t>Sai Naik</t>
  </si>
  <si>
    <t>Web Scraping - Scraping the client's websites using python and Data Mining.</t>
  </si>
  <si>
    <t>Anusha Goswami</t>
  </si>
  <si>
    <t>Mr. Rajesh Lokhande, Ms. Purva Tambe, Mr. Chittaranjan Kumbhar</t>
  </si>
  <si>
    <t>Shivesh Bhat</t>
  </si>
  <si>
    <t>Aditya Kharote</t>
  </si>
  <si>
    <t>Mr Mahesh Bhosle</t>
  </si>
  <si>
    <t>Web Development Intern: Developed website for client using Wordpress</t>
  </si>
  <si>
    <t>Yash Merchant</t>
  </si>
  <si>
    <t>Mr. Shaun Gomes</t>
  </si>
  <si>
    <t>Ms Riya Gupta</t>
  </si>
  <si>
    <t>Security Log and Event Analysis</t>
  </si>
  <si>
    <t>Neha Jadhav</t>
  </si>
  <si>
    <t>Software Development Engineering internship</t>
  </si>
  <si>
    <t>Vignesh Iyer</t>
  </si>
  <si>
    <t>Mrs. Veetali Pagdhare</t>
  </si>
  <si>
    <t>Testing and troubleshooting electronic components and ICs on PCBs</t>
  </si>
  <si>
    <t>Mr. Saurabh Singh</t>
  </si>
  <si>
    <t>Shrey Khurana</t>
  </si>
  <si>
    <t>Ms. Mruga Joshi</t>
  </si>
  <si>
    <t>Software Engineering Intern: Java, Angular and AI</t>
  </si>
  <si>
    <t>UI/UX and Web Development</t>
  </si>
  <si>
    <t>Shri Sachin Tiwari</t>
  </si>
  <si>
    <t>Practical Training/Internship on the topic "Process Monitor Module"  in NPCIL</t>
  </si>
  <si>
    <t>Mr. Tanishq Chavan</t>
  </si>
  <si>
    <t>Machine Learning Engineer</t>
  </si>
  <si>
    <t>Karan Malhotra</t>
  </si>
  <si>
    <t>Python Developer</t>
  </si>
  <si>
    <t>Namita Singh</t>
  </si>
  <si>
    <t xml:space="preserve">PPO based Reinforcement Learning for Maximizing Throughput </t>
  </si>
  <si>
    <t>Mrudula Sushil Sawant</t>
  </si>
  <si>
    <t xml:space="preserve">Cyber Law and Cyber Forensics </t>
  </si>
  <si>
    <t>Mr.Atit Dubay</t>
  </si>
  <si>
    <t xml:space="preserve">Programmed various sensors using arduino c </t>
  </si>
  <si>
    <t xml:space="preserve">Aaryan Golatkar </t>
  </si>
  <si>
    <t>Team Lead - Red Teaming</t>
  </si>
  <si>
    <t>Ananya Pillai</t>
  </si>
  <si>
    <t>Mr. Hardik Dave</t>
  </si>
  <si>
    <t>ML Intern Co-developed a chatbot using NLP that lowered customer service</t>
  </si>
  <si>
    <t>Mr. Manish Pande</t>
  </si>
  <si>
    <t>Gen-AI Platform</t>
  </si>
  <si>
    <t>Anirudha Ta</t>
  </si>
  <si>
    <t>Mr Romax Rajeev, Mr Vaishakh</t>
  </si>
  <si>
    <t>Rebuild creto frontend using react and antd</t>
  </si>
  <si>
    <t>Uditi Sinha</t>
  </si>
  <si>
    <t>Shri Shishir K. Singh</t>
  </si>
  <si>
    <t>Vision based navigation systems for Mobile Robot using AI and Deep Learning</t>
  </si>
  <si>
    <t>Mr. Sudhir Tiwari</t>
  </si>
  <si>
    <t>Development of LLM based applications</t>
  </si>
  <si>
    <t>Mrudula Sawant</t>
  </si>
  <si>
    <t>Aniket Bachhas</t>
  </si>
  <si>
    <t>Cyber Law and Forensics Team</t>
  </si>
  <si>
    <t>Tejas Pundlik</t>
  </si>
  <si>
    <t>Mr. Rajan Gaul, Mr. Rohit Bhosale</t>
  </si>
  <si>
    <t>Platform Agent Installer Improvement</t>
  </si>
  <si>
    <t>Harshal Shinde</t>
  </si>
  <si>
    <t>Data Lake Development and Reporting</t>
  </si>
  <si>
    <t>Dhairya Thakkar</t>
  </si>
  <si>
    <t>Mr. Nishant Ranjan</t>
  </si>
  <si>
    <t>Mr. Aniket Bacchas, Mr. Shubham Pareek</t>
  </si>
  <si>
    <t>Cyber Security Analyst at Deepcytes in Red Team, Deep Web, Forensics and UI</t>
  </si>
  <si>
    <t>Mr. Neeraj Jain</t>
  </si>
  <si>
    <t>AI and Data Analytics: Generative AI with RAG for Knowledge Management Use Case</t>
  </si>
  <si>
    <t>Mohit Shinde</t>
  </si>
  <si>
    <t>Social service internship</t>
  </si>
  <si>
    <t xml:space="preserve">Navya Shrivastava </t>
  </si>
  <si>
    <t>Mr. Shishir K. Singh</t>
  </si>
  <si>
    <t xml:space="preserve">Vision based navigation systems for Mobile Robot using AI and Deep Learning </t>
  </si>
  <si>
    <t>Smt. Anjana Goel</t>
  </si>
  <si>
    <t>Program Strategy for controllers</t>
  </si>
  <si>
    <t>Mr. Abhishek Tiwari</t>
  </si>
  <si>
    <t>Abhijeet Chakravorty</t>
  </si>
  <si>
    <t>Intern•Technology &amp; Transformation - ET&amp;P: Finance Transformation</t>
  </si>
  <si>
    <t>Mr. Abhishek Gharpure</t>
  </si>
  <si>
    <t>Summer Analyst Intern</t>
  </si>
  <si>
    <t>Sania Jatin Prabhu</t>
  </si>
  <si>
    <t>Ms. Anisha Sharma, Mr. Rajendra Sethi</t>
  </si>
  <si>
    <t>AI in Finance: Fraud Detection Model</t>
  </si>
  <si>
    <t>Mr. Deepak Pawar</t>
  </si>
  <si>
    <t>AI-ML Intern</t>
  </si>
  <si>
    <t>ANURAG SHAHAL</t>
  </si>
  <si>
    <t>Mrs. Swati Dwivedi</t>
  </si>
  <si>
    <t>Digital Transformation Intern</t>
  </si>
  <si>
    <t>Jiya Bhagat</t>
  </si>
  <si>
    <t>Mr. Arun Kumar Rathinnam</t>
  </si>
  <si>
    <t>Technology Summer Intern</t>
  </si>
  <si>
    <t>Anish Karkera</t>
  </si>
  <si>
    <t>Mr Pradip Patil and Mrs Sheetal Patil</t>
  </si>
  <si>
    <t>Laboratory Information Management System</t>
  </si>
  <si>
    <t>Aditya Kulkarni</t>
  </si>
  <si>
    <t>Mr. Pradip Patil and Mrs. Sheetal Patil</t>
  </si>
  <si>
    <t>Mr. Joshil Kewalramani</t>
  </si>
  <si>
    <t>Mr. Paras Doshi</t>
  </si>
  <si>
    <t>SDE Intern - Built a dashboard for options and trading strategy backtesting.</t>
  </si>
  <si>
    <t xml:space="preserve">Shruti Agrawal </t>
  </si>
  <si>
    <t>Mrs Anitha</t>
  </si>
  <si>
    <t>Web Development Trainee</t>
  </si>
  <si>
    <t>Dr. Ameya Naik</t>
  </si>
  <si>
    <t>Image Inpainting Using Machine Learning Techniques</t>
  </si>
  <si>
    <t>Prediction of vegetation using Machine Learning models and ARCGIS</t>
  </si>
  <si>
    <t>Rutva Vora</t>
  </si>
  <si>
    <t>Prediction of vegetation using machine learning models and Arcgis</t>
  </si>
  <si>
    <t>Aryan Sheth</t>
  </si>
  <si>
    <t>Mobile Game Development - Bharat Blitz</t>
  </si>
  <si>
    <t>Sahil Nagarkar</t>
  </si>
  <si>
    <t>Game Development. My job was to create 3d models,put them ingame,see the working</t>
  </si>
  <si>
    <t xml:space="preserve">Developing Geotagged Website </t>
  </si>
  <si>
    <t>Ayush Khandare</t>
  </si>
  <si>
    <t>Dr. Vartika Chaudhary</t>
  </si>
  <si>
    <t>Senior Member at Business Development</t>
  </si>
  <si>
    <t>Isha Khandalekar</t>
  </si>
  <si>
    <t>Marketing and Alumni Relations Head</t>
  </si>
  <si>
    <t>Prof Sagar Korde, Prof Inderjit Singh Dhanjal</t>
  </si>
  <si>
    <t>Campus Comapny and Innovation Head</t>
  </si>
  <si>
    <t>Prabhat Patni</t>
  </si>
  <si>
    <t>Prof. Sagar korde, prof. Inderjeet Singh Dhanjal</t>
  </si>
  <si>
    <t xml:space="preserve">Events and PR wing </t>
  </si>
  <si>
    <t>Vice Chairperson - Financial Secretary</t>
  </si>
  <si>
    <t>Daksh Girdhar</t>
  </si>
  <si>
    <t>Corporate Relations Wing - BloomBox</t>
  </si>
  <si>
    <t>Dhruv Goyal</t>
  </si>
  <si>
    <t>Prof. Bharathi H. Narayan</t>
  </si>
  <si>
    <t>NDVI Analysis and Prediction Using LSTM Models</t>
  </si>
  <si>
    <t>Smit Malde</t>
  </si>
  <si>
    <t>Jt General Secretary</t>
  </si>
  <si>
    <t>Prof. Bharathi HN, Prof. Nandana Prabhu</t>
  </si>
  <si>
    <t>Temporal Analysis of NDVI Trends and Prediction of Greenery Coverage Using LSTMs</t>
  </si>
  <si>
    <t>Vedanti Shukla</t>
  </si>
  <si>
    <t>Crime prevention using ml</t>
  </si>
  <si>
    <t>Rhea Nair</t>
  </si>
  <si>
    <t>Prof.Sagar Korde , Prof.Inderjit Singh Dhanjal</t>
  </si>
  <si>
    <t>Events and PR Wing</t>
  </si>
  <si>
    <t>Sanika Lunawat</t>
  </si>
  <si>
    <t>Autonomous Drone Development</t>
  </si>
  <si>
    <t>Full Stack Development Intern: Development of college's online course platform</t>
  </si>
  <si>
    <t>Prof. Ravindra Salvi, Prof. Leena Sahu</t>
  </si>
  <si>
    <t>Full Stack Development Intern: Development of website for an NGO</t>
  </si>
  <si>
    <t xml:space="preserve">Anwesh Bharadwaj </t>
  </si>
  <si>
    <t xml:space="preserve">Dr. Sudha Gupta </t>
  </si>
  <si>
    <t xml:space="preserve">Marketing Head at KJSCE Students Council </t>
  </si>
  <si>
    <t>Prof.Sagar Korde, Prof. Inderjit Singh Dhanjal</t>
  </si>
  <si>
    <t>Marketing team</t>
  </si>
  <si>
    <t>Analysis of Threats and Vulnerablities in Software Defined Networks</t>
  </si>
  <si>
    <t>VIBHU GUPTA</t>
  </si>
  <si>
    <t>Patthipatti Kullayappa</t>
  </si>
  <si>
    <t>ML Intern</t>
  </si>
  <si>
    <t>2024 - 25</t>
  </si>
  <si>
    <t>Anmol Rai</t>
  </si>
  <si>
    <t>Mr. Sarthak Wage</t>
  </si>
  <si>
    <t>Junior 3D designer</t>
  </si>
  <si>
    <t>Agnirva.com</t>
  </si>
  <si>
    <t>The Agnirva Space Internship Program</t>
  </si>
  <si>
    <t>Software Engineering Job Simulation</t>
  </si>
  <si>
    <t>Data Science Job Simulation</t>
  </si>
  <si>
    <t>Data Analytics Job Simulation</t>
  </si>
  <si>
    <t>Management Consulting Simulation</t>
  </si>
  <si>
    <t>Digital Assurance Job Simulation</t>
  </si>
  <si>
    <t>CoderOne</t>
  </si>
  <si>
    <t>UI/UX Design Internship</t>
  </si>
  <si>
    <t>Kedar Shidhaye</t>
  </si>
  <si>
    <t>Made Telegram bot using Spring boot.</t>
  </si>
  <si>
    <t>Amit Upadhyay</t>
  </si>
  <si>
    <t>RAG based model to generate and answer FAQ for websites</t>
  </si>
  <si>
    <t>Mr. Kapil Jha</t>
  </si>
  <si>
    <t xml:space="preserve">Aryan Reshamwala </t>
  </si>
  <si>
    <t>Mr Gitesh Chikate</t>
  </si>
  <si>
    <t>IXD Intern / Worked on developing webpages and emailers using Figma</t>
  </si>
  <si>
    <t>Praneet Sharma</t>
  </si>
  <si>
    <t>Mr. Pradeep Kumar (VP- SAP and Analytics)</t>
  </si>
  <si>
    <t xml:space="preserve">Documenting AS IS issues/challenges and Master data Health related points </t>
  </si>
  <si>
    <t>Aryan Ojha</t>
  </si>
  <si>
    <t>Mr. Khushru M. Mistry</t>
  </si>
  <si>
    <t>Worked on the "Employee App" project.</t>
  </si>
  <si>
    <t>Sanchit Narayan</t>
  </si>
  <si>
    <t>Mr. Tarun Kumar</t>
  </si>
  <si>
    <t>AI Tools &amp; ML Model Refining</t>
  </si>
  <si>
    <t>Shweta Karandikar</t>
  </si>
  <si>
    <t>Saiket Systems</t>
  </si>
  <si>
    <t>C/C++ Development Intern</t>
  </si>
  <si>
    <t>Aniket Iyer</t>
  </si>
  <si>
    <t>Mr Anirudha Bramhe , Mr Aman Gandhi</t>
  </si>
  <si>
    <t>Comprehensive Cybersecurity Training</t>
  </si>
  <si>
    <t>Shail Shaji</t>
  </si>
  <si>
    <t>Mr. Mitesh Mota</t>
  </si>
  <si>
    <t>Developing and maintaining responsive websites using HTML, CSS, JS, and PHP.</t>
  </si>
  <si>
    <t>Ankita Survase</t>
  </si>
  <si>
    <t>Avani Shah</t>
  </si>
  <si>
    <t>Internship as Investment Analyst(PRO)</t>
  </si>
  <si>
    <t>Mr. Tushar Vagal</t>
  </si>
  <si>
    <t>Faraaz Khatib</t>
  </si>
  <si>
    <t>Mr. Mahesh Maurya/Mr Haroon Hotelwala/Mr Ankan Mondal</t>
  </si>
  <si>
    <t>SQL and Power BI</t>
  </si>
  <si>
    <t>Chittansh Pancholi</t>
  </si>
  <si>
    <t>Agnirva, INSPACe</t>
  </si>
  <si>
    <t>Shreya Tiwari</t>
  </si>
  <si>
    <t>Mr. Aditya Shirsekar (General Manager)</t>
  </si>
  <si>
    <t>Junior Graphics Designer</t>
  </si>
  <si>
    <t>Vipul Garg</t>
  </si>
  <si>
    <t>Mr. Dhurv Prajapati, Mr. Sahil Shelavale, Mr. Garv Thanvi</t>
  </si>
  <si>
    <t>Full stack web development.</t>
  </si>
  <si>
    <t>Mr. Kamal Shah</t>
  </si>
  <si>
    <t>Intern Python Developer</t>
  </si>
  <si>
    <t>Soham Bothara</t>
  </si>
  <si>
    <t>nil</t>
  </si>
  <si>
    <t>Space Research and Development Internship at The Agnirva Space Program</t>
  </si>
  <si>
    <t>HR Manager</t>
  </si>
  <si>
    <t>Data Science &amp; Analytics Internship</t>
  </si>
  <si>
    <t>Krish Telang</t>
  </si>
  <si>
    <t>Ms. Shilpa Sawrikar</t>
  </si>
  <si>
    <t xml:space="preserve">Software Support Analyst – Investment Data &amp; Client Assistance </t>
  </si>
  <si>
    <t>Sarthak Dhanwate</t>
  </si>
  <si>
    <t xml:space="preserve">Web Development:Project1:Personal Portfolio, project2:Weather app </t>
  </si>
  <si>
    <t>Anuj Parwal</t>
  </si>
  <si>
    <t>Mr. Sachin Saboo</t>
  </si>
  <si>
    <t>Murugan Muthuswamy</t>
  </si>
  <si>
    <t xml:space="preserve">BeQisoft - EMS Application </t>
  </si>
  <si>
    <t>Ms.Madhura Bhatkar</t>
  </si>
  <si>
    <t>NLP  Based Customer Visits Text Analytics, NER and Summarization</t>
  </si>
  <si>
    <t>Swarup Rupesh Pingale</t>
  </si>
  <si>
    <t>Mr. Abderrahim Benslimane</t>
  </si>
  <si>
    <t xml:space="preserve">Federated Learning deployed on mobile networks project </t>
  </si>
  <si>
    <t>Smurti Deshpande</t>
  </si>
  <si>
    <t>Sentiment Analysis on Movie Reviews and Text Summarization</t>
  </si>
  <si>
    <t>Arya Torne</t>
  </si>
  <si>
    <t>Sushant Jadhav</t>
  </si>
  <si>
    <t>Smit Patil</t>
  </si>
  <si>
    <t>Ms.Sarish Adeel , Hr-CoderOne</t>
  </si>
  <si>
    <t>ML project on Movie Review Sentiment Analysis.</t>
  </si>
  <si>
    <t>Mr. Sarthak Waje , Ms. Divya Khanolkar</t>
  </si>
  <si>
    <t>Design Interactive Website/Portifolio of Company [Jr. Web Devloper]</t>
  </si>
  <si>
    <t>Vansh Sutaria</t>
  </si>
  <si>
    <t>Mr Pratyush Ghosh</t>
  </si>
  <si>
    <t>Full Stack App Development</t>
  </si>
  <si>
    <t>sujal kumar</t>
  </si>
  <si>
    <t>Mr .Qaseem Kazmi</t>
  </si>
  <si>
    <t>UI implementation/bug fixing/database management/user testing/code review</t>
  </si>
  <si>
    <t>Mrs. Pratiksha Sarang,Mr. Ankur,Ms.Manasi</t>
  </si>
  <si>
    <t>DATA ENGINEER INTERN -POWER BI ,MS SQL SERVER AND DATA WAREHOUSING.</t>
  </si>
  <si>
    <t>Tejaswini Shet</t>
  </si>
  <si>
    <t>Dr.Alok Yadav</t>
  </si>
  <si>
    <t>Data Science and Machine Learning</t>
  </si>
  <si>
    <t>Samyukta Nair</t>
  </si>
  <si>
    <t>Mr. Pavan Kumar</t>
  </si>
  <si>
    <t>Worked as a Full Stack developer and built a fully functional Job Portal .</t>
  </si>
  <si>
    <t>Kunj Gohil</t>
  </si>
  <si>
    <t>Mr. Kaushik Iyengar</t>
  </si>
  <si>
    <t>Growth Executive</t>
  </si>
  <si>
    <t xml:space="preserve">Arya Madhani </t>
  </si>
  <si>
    <t>Ms. Dalee Tharayil</t>
  </si>
  <si>
    <t xml:space="preserve">Web Development Intern </t>
  </si>
  <si>
    <t>Mr. Harsh Pandya</t>
  </si>
  <si>
    <t>Full-Stack Developer &amp; App Developer Intern</t>
  </si>
  <si>
    <t xml:space="preserve"> HR CoderOne,Enaba</t>
  </si>
  <si>
    <t>Did Sentiment Analysis on Movie Reviews using ML models and NLP techniques</t>
  </si>
  <si>
    <t>Nirmit Gavate</t>
  </si>
  <si>
    <t>data science/analytics internship</t>
  </si>
  <si>
    <t xml:space="preserve">Qusai Sakerwala </t>
  </si>
  <si>
    <t xml:space="preserve">HR - Prodigy InfoTech </t>
  </si>
  <si>
    <t xml:space="preserve">Work as a web developer in which i was given task to be completed </t>
  </si>
  <si>
    <t>Bhoomi Sanghvi</t>
  </si>
  <si>
    <t>Mr. Aniket Bachhas</t>
  </si>
  <si>
    <t>Digital Forensics Analyst Member</t>
  </si>
  <si>
    <t>Ayush Nayak</t>
  </si>
  <si>
    <t>Mr. Aditya Shirsekar,  Mr. Raj Tripathi</t>
  </si>
  <si>
    <t>Built their portfolio and MERN stack site with JWT auth, REST APIs, MongoDB.</t>
  </si>
  <si>
    <t xml:space="preserve">	Agnirva.com Space Community</t>
  </si>
  <si>
    <t>Astronomy, cosmology, planetary science, space policy, and research.</t>
  </si>
  <si>
    <t>Prof. Ganesh Ramakrishnan</t>
  </si>
  <si>
    <t>Machine Learning Internship</t>
  </si>
  <si>
    <t>Aryan Puri</t>
  </si>
  <si>
    <t>Mr Projwal David</t>
  </si>
  <si>
    <t>Data Science and Analytics intern.</t>
  </si>
  <si>
    <t>Soham Gore</t>
  </si>
  <si>
    <t>Amit Kotnala</t>
  </si>
  <si>
    <t>Mr.Umesh Pal</t>
  </si>
  <si>
    <t>Data analytics in costing optimizes costs, reduces waste &amp; improves decisions.</t>
  </si>
  <si>
    <t>Farzan Irani</t>
  </si>
  <si>
    <t>Mr. Yazdi Tantra</t>
  </si>
  <si>
    <t>Developed a responsive WordPress website for Parzor Foundation's initiatives.</t>
  </si>
  <si>
    <t>Prodigy Infotech</t>
  </si>
  <si>
    <t>1  Month CyberSecurity intern at Prodigy InfoTech</t>
  </si>
  <si>
    <t>Next24tech Technology and Services</t>
  </si>
  <si>
    <t xml:space="preserve"> 2 Months ReactJS Develpment intern at Next24tech Technology and Services</t>
  </si>
  <si>
    <t xml:space="preserve"> EliteTech.</t>
  </si>
  <si>
    <t>3 Months Cybersecurity intern at EliteTech.</t>
  </si>
  <si>
    <t>Improved websites, cut load time by 30%, and boosted engagement by 25%.</t>
  </si>
  <si>
    <t>Anish Talari</t>
  </si>
  <si>
    <t>Mr Sid Sagawekar</t>
  </si>
  <si>
    <t>Pratham Sandeep Shenoy</t>
  </si>
  <si>
    <t>Mr.Arjun Singh Banra</t>
  </si>
  <si>
    <t>Safety Violation Detection System using YOLOv8</t>
  </si>
  <si>
    <t>Mr.Janarthanan R</t>
  </si>
  <si>
    <t>Finance Forecasting Dashboard using Power BI</t>
  </si>
  <si>
    <t>Sakshi Raut</t>
  </si>
  <si>
    <t>Sarthak Wage</t>
  </si>
  <si>
    <t>UI UX Designer to design the Meshcraft website</t>
  </si>
  <si>
    <t>Deven Chopra</t>
  </si>
  <si>
    <t xml:space="preserve"> Machine Learning Intern</t>
  </si>
  <si>
    <t>Shubh Jalui</t>
  </si>
  <si>
    <t>Ajay Kumar</t>
  </si>
  <si>
    <t>Strategic HR Analytics Dashboard</t>
  </si>
  <si>
    <t>Hriday Gandhi</t>
  </si>
  <si>
    <t>Mr. Nilesh Gandhi</t>
  </si>
  <si>
    <t>Collaborated on designing &amp; deploying Metadesign website using React.</t>
  </si>
  <si>
    <t>Soham Dayanand Gore</t>
  </si>
  <si>
    <t>Mr Vignesh Mathiyalagan</t>
  </si>
  <si>
    <t xml:space="preserve"> EDUNET FOUNDATION IBM SKILLSBUILD CYBER SECURITY</t>
  </si>
  <si>
    <t>Mr. Aryan Trisal</t>
  </si>
  <si>
    <t>Mr. Naman Dutt</t>
  </si>
  <si>
    <t xml:space="preserve">Campus Ambassador in Internshala Student Partner (ISP) program  </t>
  </si>
  <si>
    <t>Khushi Poojary</t>
  </si>
  <si>
    <t>Mr. Prerak Gala</t>
  </si>
  <si>
    <t>Social Media Intern</t>
  </si>
  <si>
    <t>Sarthak Pokale</t>
  </si>
  <si>
    <t>Mr. Ankeet Pujara -DGM – Sr. Architect.</t>
  </si>
  <si>
    <t>Rag Speech Recognition Model</t>
  </si>
  <si>
    <t>Arya Dhamale</t>
  </si>
  <si>
    <t>Mr. Sandesh Shinde</t>
  </si>
  <si>
    <t xml:space="preserve">Worked on Employee management system and file management system </t>
  </si>
  <si>
    <t>Himanshi Modi</t>
  </si>
  <si>
    <t>Aniket Bacchas</t>
  </si>
  <si>
    <t>Cyber Developer</t>
  </si>
  <si>
    <t>Yash Gandhi</t>
  </si>
  <si>
    <t>Nisant Mohta</t>
  </si>
  <si>
    <t>FINLATICS EQUITY MARKETS ANALYST</t>
  </si>
  <si>
    <t>Rishika Banerjee</t>
  </si>
  <si>
    <t>Juilee Bhansali Co – Founder and CEO, Smudg</t>
  </si>
  <si>
    <t xml:space="preserve">focused on testing the functionality and user interface (UI) </t>
  </si>
  <si>
    <t>Mr.Sid Sagwekar</t>
  </si>
  <si>
    <t>Tanaya Pawar</t>
  </si>
  <si>
    <t>Mr. Shubh Mehta, Mr. Akshat Shah</t>
  </si>
  <si>
    <t xml:space="preserve">UX, website &amp; digital presence design for Change is Us </t>
  </si>
  <si>
    <t>Sushant Nair</t>
  </si>
  <si>
    <t>Prof. Pradnya S Gotmare</t>
  </si>
  <si>
    <t>Working on Language Models Phase 2</t>
  </si>
  <si>
    <t xml:space="preserve">Raunak Kumar Gupta </t>
  </si>
  <si>
    <t>Mr. Vaibhav Prakash Vasani</t>
  </si>
  <si>
    <t xml:space="preserve">Development of AR filter's </t>
  </si>
  <si>
    <t>Priya Gouda</t>
  </si>
  <si>
    <t>Prof. Kartik Patel</t>
  </si>
  <si>
    <t>App Development using MATLAB software</t>
  </si>
  <si>
    <t>Palak Chandak</t>
  </si>
  <si>
    <t>Application Development using MATLAB</t>
  </si>
  <si>
    <t>Learnt and practiced application Development</t>
  </si>
  <si>
    <t>Mr. KARTIK PATEL</t>
  </si>
  <si>
    <t>MATLAB Application Development Intern</t>
  </si>
  <si>
    <t>Rahee Bhoomkar</t>
  </si>
  <si>
    <t>Mr. Kartik Patel</t>
  </si>
  <si>
    <t>Omkar Dinde</t>
  </si>
  <si>
    <t xml:space="preserve">Application Development using MATLAB </t>
  </si>
  <si>
    <t>Dr. Jitendra Satam, Dr. Ashwini Dalvi</t>
  </si>
  <si>
    <t xml:space="preserve">Web development / BreatheSafeNow  </t>
  </si>
  <si>
    <t>Dr. Vandana Satam</t>
  </si>
  <si>
    <t>UI UX Designer</t>
  </si>
  <si>
    <t>Samridhi Sharan</t>
  </si>
  <si>
    <t>Prof. jitendra Satam</t>
  </si>
  <si>
    <t xml:space="preserve">Breath Safe Now - A web based platform for air quality monetering </t>
  </si>
  <si>
    <t>Prof. Jitendra Satam</t>
  </si>
  <si>
    <t>Breath safe now - air quality monitoring system</t>
  </si>
  <si>
    <t>Paid</t>
  </si>
  <si>
    <t>External</t>
  </si>
  <si>
    <t>student name</t>
  </si>
  <si>
    <t>Days</t>
  </si>
  <si>
    <t xml:space="preserve">INTERNSHIP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</si>
</sst>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 &quot;mmm&quot; &quot;yyyy"/>
    <numFmt numFmtId="165" formatCode="mm/dd/yyyy"/>
    <numFmt numFmtId="166" formatCode="&quot;₹&quot;\ #,##0.00"/>
  </numFmts>
  <fonts count="15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rgb="FF000000"/>
      <name val="Arial"/>
    </font>
    <font>
      <sz val="10"/>
      <color rgb="FF000000"/>
      <name val="Roboto"/>
    </font>
    <font>
      <sz val="10"/>
      <color theme="1"/>
      <name val="Arial"/>
    </font>
    <font>
      <sz val="10"/>
      <color rgb="FF000000"/>
      <name val="Aptos Narrow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u/>
      <sz val="10"/>
      <color rgb="FF0000FF"/>
      <name val="Roboto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6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horizontal="right" wrapText="1"/>
    </xf>
    <xf numFmtId="0" fontId="4" fillId="0" borderId="0" xfId="0" applyFont="1"/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64" fontId="7" fillId="0" borderId="1" xfId="0" applyNumberFormat="1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/>
    <xf numFmtId="14" fontId="1" fillId="0" borderId="1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/>
    <xf numFmtId="14" fontId="10" fillId="0" borderId="0" xfId="0" applyNumberFormat="1" applyFont="1" applyAlignment="1">
      <alignment horizontal="center"/>
    </xf>
    <xf numFmtId="0" fontId="10" fillId="6" borderId="4" xfId="0" applyFont="1" applyFill="1" applyBorder="1" applyAlignment="1">
      <alignment vertical="center"/>
    </xf>
    <xf numFmtId="14" fontId="10" fillId="6" borderId="4" xfId="0" applyNumberFormat="1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14" fontId="10" fillId="7" borderId="5" xfId="0" applyNumberFormat="1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4" fontId="10" fillId="6" borderId="4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14" fontId="13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0" xfId="0" applyFont="1"/>
    <xf numFmtId="14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center"/>
    </xf>
    <xf numFmtId="166" fontId="13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66" fontId="10" fillId="6" borderId="4" xfId="0" applyNumberFormat="1" applyFont="1" applyFill="1" applyBorder="1" applyAlignment="1">
      <alignment horizontal="center" vertical="center"/>
    </xf>
    <xf numFmtId="166" fontId="10" fillId="7" borderId="5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gnirva.com/" TargetMode="External"/><Relationship Id="rId2" Type="http://schemas.openxmlformats.org/officeDocument/2006/relationships/hyperlink" Target="https://www.linkedin.com/in/tahami-mundewadi-6379951b5" TargetMode="External"/><Relationship Id="rId1" Type="http://schemas.openxmlformats.org/officeDocument/2006/relationships/hyperlink" Target="http://abhisheksachdeva.ca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051B-6645-4100-BBA7-A0405D80D96E}">
  <dimension ref="A1:Z2005"/>
  <sheetViews>
    <sheetView tabSelected="1" zoomScale="72" zoomScaleNormal="100" workbookViewId="0">
      <selection activeCell="K15" sqref="K15"/>
    </sheetView>
  </sheetViews>
  <sheetFormatPr defaultColWidth="12.6640625" defaultRowHeight="14.4" x14ac:dyDescent="0.3"/>
  <cols>
    <col min="1" max="1" width="26.44140625" customWidth="1"/>
    <col min="2" max="2" width="15.44140625" style="32" customWidth="1"/>
    <col min="3" max="3" width="12.6640625" style="32"/>
    <col min="4" max="4" width="28.44140625" customWidth="1"/>
    <col min="5" max="5" width="30" customWidth="1"/>
    <col min="6" max="6" width="14" style="73" customWidth="1"/>
    <col min="7" max="7" width="14.21875" style="73" customWidth="1"/>
    <col min="8" max="8" width="9.77734375" style="32" customWidth="1"/>
    <col min="9" max="9" width="11.88671875" style="111" customWidth="1"/>
    <col min="10" max="14" width="12.6640625" style="32"/>
    <col min="17" max="17" width="12.6640625" customWidth="1"/>
  </cols>
  <sheetData>
    <row r="1" spans="1:26" s="95" customFormat="1" ht="15.75" customHeight="1" x14ac:dyDescent="0.3">
      <c r="A1" s="90" t="s">
        <v>3896</v>
      </c>
      <c r="B1" s="91" t="s">
        <v>0</v>
      </c>
      <c r="C1" s="91" t="s">
        <v>1</v>
      </c>
      <c r="D1" s="90" t="s">
        <v>2</v>
      </c>
      <c r="E1" s="90" t="s">
        <v>3</v>
      </c>
      <c r="F1" s="92" t="s">
        <v>4</v>
      </c>
      <c r="G1" s="92" t="s">
        <v>5</v>
      </c>
      <c r="H1" s="91" t="s">
        <v>6</v>
      </c>
      <c r="I1" s="100" t="s">
        <v>252</v>
      </c>
      <c r="J1" s="93" t="s">
        <v>7</v>
      </c>
      <c r="K1" s="93" t="s">
        <v>8</v>
      </c>
      <c r="L1" s="93" t="s">
        <v>9</v>
      </c>
      <c r="M1" s="93" t="s">
        <v>3894</v>
      </c>
      <c r="N1" s="93" t="s">
        <v>3897</v>
      </c>
      <c r="O1" s="94" t="s">
        <v>3898</v>
      </c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5.75" customHeight="1" x14ac:dyDescent="0.3">
      <c r="A2" s="2" t="s">
        <v>10</v>
      </c>
      <c r="B2" s="3" t="s">
        <v>11</v>
      </c>
      <c r="C2" s="3" t="s">
        <v>12</v>
      </c>
      <c r="D2" s="1" t="s">
        <v>13</v>
      </c>
      <c r="E2" s="1" t="s">
        <v>14</v>
      </c>
      <c r="F2" s="63">
        <v>43626</v>
      </c>
      <c r="G2" s="63">
        <v>43661</v>
      </c>
      <c r="H2" s="3" t="str">
        <f>IF((AND(F2&gt;=DATE(2018,6,1),F2&lt;=DATE(2018,12,31))),"ODD", "EVEN")</f>
        <v>EVEN</v>
      </c>
      <c r="I2" s="101">
        <v>0</v>
      </c>
      <c r="J2" s="32" t="str">
        <f>UPPER(TEXT(F2,"mmm")) &amp; " - " &amp; UPPER(TEXT(G2,"mmm"))</f>
        <v>JUN - JUL</v>
      </c>
      <c r="K2" s="32" t="s">
        <v>15</v>
      </c>
      <c r="L2" s="32" t="s">
        <v>16</v>
      </c>
      <c r="M2" s="32" t="str">
        <f>IF(I2 &gt; 0, "Yes", "No")</f>
        <v>No</v>
      </c>
      <c r="N2" s="32">
        <f>G2 - F2</f>
        <v>35</v>
      </c>
      <c r="O2">
        <v>1</v>
      </c>
    </row>
    <row r="3" spans="1:26" ht="15.75" customHeight="1" x14ac:dyDescent="0.3">
      <c r="A3" s="2" t="s">
        <v>17</v>
      </c>
      <c r="B3" s="3" t="s">
        <v>11</v>
      </c>
      <c r="C3" s="3" t="s">
        <v>12</v>
      </c>
      <c r="D3" s="1" t="s">
        <v>18</v>
      </c>
      <c r="E3" s="1" t="s">
        <v>19</v>
      </c>
      <c r="F3" s="63">
        <v>43617</v>
      </c>
      <c r="G3" s="63">
        <v>43661</v>
      </c>
      <c r="H3" s="3" t="str">
        <f t="shared" ref="H3:H66" si="0">IF((AND(F3&gt;=DATE(2018,6,1),F3&lt;=DATE(2018,12,31))),"ODD", "EVEN")</f>
        <v>EVEN</v>
      </c>
      <c r="I3" s="101">
        <v>0</v>
      </c>
      <c r="J3" s="32" t="str">
        <f>UPPER(TEXT(F3,"mmm")) &amp; " - " &amp; UPPER(TEXT(G3,"mmm"))</f>
        <v>JUN - JUL</v>
      </c>
      <c r="K3" s="32" t="s">
        <v>15</v>
      </c>
      <c r="L3" s="32" t="s">
        <v>16</v>
      </c>
      <c r="M3" s="32" t="str">
        <f t="shared" ref="M3:M66" si="1">IF(I3 &gt; 0, "Yes", "No")</f>
        <v>No</v>
      </c>
      <c r="N3" s="32">
        <f>G3 - F3</f>
        <v>44</v>
      </c>
      <c r="O3">
        <v>1</v>
      </c>
    </row>
    <row r="4" spans="1:26" ht="15.75" customHeight="1" x14ac:dyDescent="0.3">
      <c r="A4" s="2" t="s">
        <v>20</v>
      </c>
      <c r="B4" s="3" t="s">
        <v>11</v>
      </c>
      <c r="C4" s="3" t="s">
        <v>12</v>
      </c>
      <c r="D4" s="1" t="s">
        <v>13</v>
      </c>
      <c r="E4" s="1" t="s">
        <v>14</v>
      </c>
      <c r="F4" s="63">
        <v>43626</v>
      </c>
      <c r="G4" s="63">
        <v>43661</v>
      </c>
      <c r="H4" s="3" t="str">
        <f t="shared" si="0"/>
        <v>EVEN</v>
      </c>
      <c r="I4" s="101">
        <v>0</v>
      </c>
      <c r="J4" s="32" t="str">
        <f>UPPER(TEXT(F4,"mmm")) &amp; " - " &amp; UPPER(TEXT(G4,"mmm"))</f>
        <v>JUN - JUL</v>
      </c>
      <c r="K4" s="32" t="s">
        <v>15</v>
      </c>
      <c r="L4" s="32" t="s">
        <v>16</v>
      </c>
      <c r="M4" s="32" t="str">
        <f t="shared" si="1"/>
        <v>No</v>
      </c>
      <c r="N4" s="32">
        <f>G4 - F4</f>
        <v>35</v>
      </c>
      <c r="O4">
        <v>1</v>
      </c>
    </row>
    <row r="5" spans="1:26" ht="15.75" customHeight="1" x14ac:dyDescent="0.3">
      <c r="A5" s="2" t="s">
        <v>21</v>
      </c>
      <c r="B5" s="3" t="s">
        <v>11</v>
      </c>
      <c r="C5" s="3" t="s">
        <v>12</v>
      </c>
      <c r="D5" s="1" t="s">
        <v>22</v>
      </c>
      <c r="E5" s="1" t="s">
        <v>23</v>
      </c>
      <c r="F5" s="63">
        <v>43630</v>
      </c>
      <c r="G5" s="63">
        <v>43656</v>
      </c>
      <c r="H5" s="3" t="str">
        <f t="shared" si="0"/>
        <v>EVEN</v>
      </c>
      <c r="I5" s="101">
        <v>0</v>
      </c>
      <c r="J5" s="32" t="str">
        <f>UPPER(TEXT(F5,"mmm")) &amp; " - " &amp; UPPER(TEXT(G5,"mmm"))</f>
        <v>JUN - JUL</v>
      </c>
      <c r="K5" s="32" t="s">
        <v>15</v>
      </c>
      <c r="L5" s="32" t="s">
        <v>16</v>
      </c>
      <c r="M5" s="32" t="str">
        <f t="shared" si="1"/>
        <v>No</v>
      </c>
      <c r="N5" s="32">
        <f>G5 - F5</f>
        <v>26</v>
      </c>
      <c r="O5">
        <v>1</v>
      </c>
    </row>
    <row r="6" spans="1:26" ht="15.75" customHeight="1" x14ac:dyDescent="0.3">
      <c r="A6" s="2" t="s">
        <v>24</v>
      </c>
      <c r="B6" s="3" t="s">
        <v>11</v>
      </c>
      <c r="C6" s="3" t="s">
        <v>12</v>
      </c>
      <c r="D6" s="1" t="s">
        <v>25</v>
      </c>
      <c r="E6" s="1" t="s">
        <v>26</v>
      </c>
      <c r="F6" s="63">
        <v>43617</v>
      </c>
      <c r="G6" s="63">
        <v>43708</v>
      </c>
      <c r="H6" s="3" t="str">
        <f t="shared" si="0"/>
        <v>EVEN</v>
      </c>
      <c r="I6" s="101">
        <v>0</v>
      </c>
      <c r="J6" s="32" t="str">
        <f>UPPER(TEXT(F6,"mmm")) &amp; " - " &amp; UPPER(TEXT(G6,"mmm"))</f>
        <v>JUN - AUG</v>
      </c>
      <c r="K6" s="32" t="s">
        <v>15</v>
      </c>
      <c r="L6" s="32" t="s">
        <v>16</v>
      </c>
      <c r="M6" s="32" t="str">
        <f t="shared" si="1"/>
        <v>No</v>
      </c>
      <c r="N6" s="32">
        <f>G6 - F6</f>
        <v>91</v>
      </c>
      <c r="O6">
        <v>1</v>
      </c>
    </row>
    <row r="7" spans="1:26" ht="15.75" customHeight="1" x14ac:dyDescent="0.3">
      <c r="A7" s="2" t="s">
        <v>27</v>
      </c>
      <c r="B7" s="3" t="s">
        <v>11</v>
      </c>
      <c r="C7" s="3" t="s">
        <v>12</v>
      </c>
      <c r="D7" s="1" t="s">
        <v>22</v>
      </c>
      <c r="E7" s="1" t="s">
        <v>23</v>
      </c>
      <c r="F7" s="63">
        <v>43630</v>
      </c>
      <c r="G7" s="63">
        <v>43656</v>
      </c>
      <c r="H7" s="3" t="str">
        <f t="shared" si="0"/>
        <v>EVEN</v>
      </c>
      <c r="I7" s="101">
        <v>0</v>
      </c>
      <c r="J7" s="32" t="str">
        <f>UPPER(TEXT(F7,"mmm")) &amp; " - " &amp; UPPER(TEXT(G7,"mmm"))</f>
        <v>JUN - JUL</v>
      </c>
      <c r="K7" s="32" t="s">
        <v>15</v>
      </c>
      <c r="L7" s="32" t="s">
        <v>16</v>
      </c>
      <c r="M7" s="32" t="str">
        <f t="shared" si="1"/>
        <v>No</v>
      </c>
      <c r="N7" s="32">
        <f>G7 - F7</f>
        <v>26</v>
      </c>
      <c r="O7">
        <v>1</v>
      </c>
    </row>
    <row r="8" spans="1:26" ht="15.75" customHeight="1" x14ac:dyDescent="0.3">
      <c r="A8" s="2" t="s">
        <v>28</v>
      </c>
      <c r="B8" s="3" t="s">
        <v>11</v>
      </c>
      <c r="C8" s="3" t="s">
        <v>12</v>
      </c>
      <c r="D8" s="1" t="s">
        <v>13</v>
      </c>
      <c r="E8" s="1" t="s">
        <v>14</v>
      </c>
      <c r="F8" s="63">
        <v>43626</v>
      </c>
      <c r="G8" s="63">
        <v>43661</v>
      </c>
      <c r="H8" s="3" t="str">
        <f t="shared" si="0"/>
        <v>EVEN</v>
      </c>
      <c r="I8" s="101">
        <v>0</v>
      </c>
      <c r="J8" s="32" t="str">
        <f>UPPER(TEXT(F8,"mmm")) &amp; " - " &amp; UPPER(TEXT(G8,"mmm"))</f>
        <v>JUN - JUL</v>
      </c>
      <c r="K8" s="32" t="s">
        <v>15</v>
      </c>
      <c r="L8" s="32" t="s">
        <v>16</v>
      </c>
      <c r="M8" s="32" t="str">
        <f t="shared" si="1"/>
        <v>No</v>
      </c>
      <c r="N8" s="32">
        <f>G8 - F8</f>
        <v>35</v>
      </c>
      <c r="O8">
        <v>1</v>
      </c>
    </row>
    <row r="9" spans="1:26" ht="15.75" customHeight="1" x14ac:dyDescent="0.3">
      <c r="A9" s="2" t="s">
        <v>29</v>
      </c>
      <c r="B9" s="3" t="s">
        <v>11</v>
      </c>
      <c r="C9" s="3" t="s">
        <v>12</v>
      </c>
      <c r="D9" s="1" t="s">
        <v>30</v>
      </c>
      <c r="E9" s="1" t="s">
        <v>14</v>
      </c>
      <c r="F9" s="63">
        <v>43626</v>
      </c>
      <c r="G9" s="63">
        <v>43661</v>
      </c>
      <c r="H9" s="3" t="str">
        <f t="shared" si="0"/>
        <v>EVEN</v>
      </c>
      <c r="I9" s="101">
        <v>0</v>
      </c>
      <c r="J9" s="32" t="str">
        <f>UPPER(TEXT(F9,"mmm")) &amp; " - " &amp; UPPER(TEXT(G9,"mmm"))</f>
        <v>JUN - JUL</v>
      </c>
      <c r="K9" s="32" t="s">
        <v>15</v>
      </c>
      <c r="L9" s="32" t="s">
        <v>16</v>
      </c>
      <c r="M9" s="32" t="str">
        <f t="shared" si="1"/>
        <v>No</v>
      </c>
      <c r="N9" s="32">
        <f>G9 - F9</f>
        <v>35</v>
      </c>
      <c r="O9">
        <v>1</v>
      </c>
    </row>
    <row r="10" spans="1:26" ht="15.75" customHeight="1" x14ac:dyDescent="0.3">
      <c r="A10" s="2" t="s">
        <v>31</v>
      </c>
      <c r="B10" s="3" t="s">
        <v>11</v>
      </c>
      <c r="C10" s="3" t="s">
        <v>12</v>
      </c>
      <c r="D10" s="1" t="s">
        <v>13</v>
      </c>
      <c r="E10" s="1" t="s">
        <v>14</v>
      </c>
      <c r="F10" s="63">
        <v>43626</v>
      </c>
      <c r="G10" s="63">
        <v>43661</v>
      </c>
      <c r="H10" s="3" t="str">
        <f t="shared" si="0"/>
        <v>EVEN</v>
      </c>
      <c r="I10" s="101">
        <v>0</v>
      </c>
      <c r="J10" s="32" t="str">
        <f>UPPER(TEXT(F10,"mmm")) &amp; " - " &amp; UPPER(TEXT(G10,"mmm"))</f>
        <v>JUN - JUL</v>
      </c>
      <c r="K10" s="32" t="s">
        <v>15</v>
      </c>
      <c r="L10" s="32" t="s">
        <v>16</v>
      </c>
      <c r="M10" s="32" t="str">
        <f t="shared" si="1"/>
        <v>No</v>
      </c>
      <c r="N10" s="32">
        <f>G10 - F10</f>
        <v>35</v>
      </c>
      <c r="O10">
        <v>1</v>
      </c>
    </row>
    <row r="11" spans="1:26" ht="15.75" customHeight="1" x14ac:dyDescent="0.3">
      <c r="A11" s="2" t="s">
        <v>32</v>
      </c>
      <c r="B11" s="3" t="s">
        <v>11</v>
      </c>
      <c r="C11" s="3" t="s">
        <v>12</v>
      </c>
      <c r="D11" s="1" t="s">
        <v>33</v>
      </c>
      <c r="E11" s="1" t="s">
        <v>34</v>
      </c>
      <c r="F11" s="63">
        <v>43630</v>
      </c>
      <c r="G11" s="63">
        <v>43656</v>
      </c>
      <c r="H11" s="3" t="str">
        <f t="shared" si="0"/>
        <v>EVEN</v>
      </c>
      <c r="I11" s="101">
        <v>0</v>
      </c>
      <c r="J11" s="32" t="str">
        <f>UPPER(TEXT(F11,"mmm")) &amp; " - " &amp; UPPER(TEXT(G11,"mmm"))</f>
        <v>JUN - JUL</v>
      </c>
      <c r="K11" s="32" t="s">
        <v>15</v>
      </c>
      <c r="L11" s="32" t="s">
        <v>16</v>
      </c>
      <c r="M11" s="32" t="str">
        <f t="shared" si="1"/>
        <v>No</v>
      </c>
      <c r="N11" s="32">
        <f>G11 - F11</f>
        <v>26</v>
      </c>
      <c r="O11">
        <v>1</v>
      </c>
    </row>
    <row r="12" spans="1:26" ht="15.75" customHeight="1" x14ac:dyDescent="0.3">
      <c r="A12" s="2" t="s">
        <v>35</v>
      </c>
      <c r="B12" s="3" t="s">
        <v>11</v>
      </c>
      <c r="C12" s="3" t="s">
        <v>12</v>
      </c>
      <c r="D12" s="1" t="s">
        <v>13</v>
      </c>
      <c r="E12" s="1" t="s">
        <v>14</v>
      </c>
      <c r="F12" s="63">
        <v>43626</v>
      </c>
      <c r="G12" s="63">
        <v>43661</v>
      </c>
      <c r="H12" s="3" t="str">
        <f t="shared" si="0"/>
        <v>EVEN</v>
      </c>
      <c r="I12" s="101">
        <v>0</v>
      </c>
      <c r="J12" s="32" t="str">
        <f>UPPER(TEXT(F12,"mmm")) &amp; " - " &amp; UPPER(TEXT(G12,"mmm"))</f>
        <v>JUN - JUL</v>
      </c>
      <c r="K12" s="32" t="s">
        <v>15</v>
      </c>
      <c r="L12" s="32" t="s">
        <v>16</v>
      </c>
      <c r="M12" s="32" t="str">
        <f t="shared" si="1"/>
        <v>No</v>
      </c>
      <c r="N12" s="32">
        <f>G12 - F12</f>
        <v>35</v>
      </c>
      <c r="O12">
        <v>1</v>
      </c>
    </row>
    <row r="13" spans="1:26" ht="15.75" customHeight="1" x14ac:dyDescent="0.3">
      <c r="A13" s="4" t="s">
        <v>35</v>
      </c>
      <c r="B13" s="6" t="s">
        <v>11</v>
      </c>
      <c r="C13" s="6" t="s">
        <v>12</v>
      </c>
      <c r="D13" s="5" t="s">
        <v>36</v>
      </c>
      <c r="E13" s="5" t="s">
        <v>37</v>
      </c>
      <c r="F13" s="64">
        <v>43621</v>
      </c>
      <c r="G13" s="64">
        <v>43707</v>
      </c>
      <c r="H13" s="3" t="str">
        <f t="shared" si="0"/>
        <v>EVEN</v>
      </c>
      <c r="I13" s="101">
        <v>0</v>
      </c>
      <c r="J13" s="32" t="str">
        <f>UPPER(TEXT(F13,"mmm")) &amp; " - " &amp; UPPER(TEXT(G13,"mmm"))</f>
        <v>JUN - AUG</v>
      </c>
      <c r="K13" s="32" t="s">
        <v>15</v>
      </c>
      <c r="L13" s="32" t="s">
        <v>16</v>
      </c>
      <c r="M13" s="32" t="str">
        <f t="shared" si="1"/>
        <v>No</v>
      </c>
      <c r="N13" s="32">
        <f>G13 - F13</f>
        <v>86</v>
      </c>
      <c r="O13">
        <v>1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2" t="s">
        <v>38</v>
      </c>
      <c r="B14" s="3" t="s">
        <v>11</v>
      </c>
      <c r="C14" s="3" t="s">
        <v>12</v>
      </c>
      <c r="D14" s="1" t="s">
        <v>13</v>
      </c>
      <c r="E14" s="1" t="s">
        <v>14</v>
      </c>
      <c r="F14" s="63">
        <v>43626</v>
      </c>
      <c r="G14" s="63">
        <v>43661</v>
      </c>
      <c r="H14" s="3" t="str">
        <f t="shared" si="0"/>
        <v>EVEN</v>
      </c>
      <c r="I14" s="101">
        <v>0</v>
      </c>
      <c r="J14" s="32" t="str">
        <f>UPPER(TEXT(F14,"mmm")) &amp; " - " &amp; UPPER(TEXT(G14,"mmm"))</f>
        <v>JUN - JUL</v>
      </c>
      <c r="K14" s="32" t="s">
        <v>15</v>
      </c>
      <c r="L14" s="32" t="s">
        <v>16</v>
      </c>
      <c r="M14" s="32" t="str">
        <f t="shared" si="1"/>
        <v>No</v>
      </c>
      <c r="N14" s="32">
        <f>G14 - F14</f>
        <v>35</v>
      </c>
      <c r="O14">
        <v>1</v>
      </c>
    </row>
    <row r="15" spans="1:26" ht="15.75" customHeight="1" x14ac:dyDescent="0.3">
      <c r="A15" s="2" t="s">
        <v>39</v>
      </c>
      <c r="B15" s="3" t="s">
        <v>11</v>
      </c>
      <c r="C15" s="3" t="s">
        <v>12</v>
      </c>
      <c r="D15" s="1" t="s">
        <v>18</v>
      </c>
      <c r="E15" s="1" t="s">
        <v>19</v>
      </c>
      <c r="F15" s="63">
        <v>43617</v>
      </c>
      <c r="G15" s="63">
        <v>43661</v>
      </c>
      <c r="H15" s="3" t="str">
        <f t="shared" si="0"/>
        <v>EVEN</v>
      </c>
      <c r="I15" s="101">
        <v>0</v>
      </c>
      <c r="J15" s="32" t="str">
        <f>UPPER(TEXT(F15,"mmm")) &amp; " - " &amp; UPPER(TEXT(G15,"mmm"))</f>
        <v>JUN - JUL</v>
      </c>
      <c r="K15" s="32" t="s">
        <v>15</v>
      </c>
      <c r="L15" s="32" t="s">
        <v>16</v>
      </c>
      <c r="M15" s="32" t="str">
        <f t="shared" si="1"/>
        <v>No</v>
      </c>
      <c r="N15" s="32">
        <f>G15 - F15</f>
        <v>44</v>
      </c>
      <c r="O15">
        <v>1</v>
      </c>
    </row>
    <row r="16" spans="1:26" ht="15.75" customHeight="1" x14ac:dyDescent="0.3">
      <c r="A16" s="2" t="s">
        <v>40</v>
      </c>
      <c r="B16" s="3" t="s">
        <v>11</v>
      </c>
      <c r="C16" s="3" t="s">
        <v>12</v>
      </c>
      <c r="D16" s="1" t="s">
        <v>18</v>
      </c>
      <c r="E16" s="1" t="s">
        <v>19</v>
      </c>
      <c r="F16" s="63">
        <v>43617</v>
      </c>
      <c r="G16" s="63">
        <v>43661</v>
      </c>
      <c r="H16" s="3" t="str">
        <f t="shared" si="0"/>
        <v>EVEN</v>
      </c>
      <c r="I16" s="101">
        <v>0</v>
      </c>
      <c r="J16" s="32" t="str">
        <f>UPPER(TEXT(F16,"mmm")) &amp; " - " &amp; UPPER(TEXT(G16,"mmm"))</f>
        <v>JUN - JUL</v>
      </c>
      <c r="K16" s="32" t="s">
        <v>15</v>
      </c>
      <c r="L16" s="32" t="s">
        <v>16</v>
      </c>
      <c r="M16" s="32" t="str">
        <f t="shared" si="1"/>
        <v>No</v>
      </c>
      <c r="N16" s="32">
        <f>G16 - F16</f>
        <v>44</v>
      </c>
      <c r="O16">
        <v>1</v>
      </c>
    </row>
    <row r="17" spans="1:15" ht="15.75" customHeight="1" x14ac:dyDescent="0.3">
      <c r="A17" s="2" t="s">
        <v>41</v>
      </c>
      <c r="B17" s="3" t="s">
        <v>11</v>
      </c>
      <c r="C17" s="3" t="s">
        <v>12</v>
      </c>
      <c r="D17" s="1" t="s">
        <v>13</v>
      </c>
      <c r="E17" s="1" t="s">
        <v>14</v>
      </c>
      <c r="F17" s="63">
        <v>43617</v>
      </c>
      <c r="G17" s="63">
        <v>43656</v>
      </c>
      <c r="H17" s="3" t="str">
        <f t="shared" si="0"/>
        <v>EVEN</v>
      </c>
      <c r="I17" s="101">
        <v>0</v>
      </c>
      <c r="J17" s="32" t="str">
        <f>UPPER(TEXT(F17,"mmm")) &amp; " - " &amp; UPPER(TEXT(G17,"mmm"))</f>
        <v>JUN - JUL</v>
      </c>
      <c r="K17" s="32" t="s">
        <v>15</v>
      </c>
      <c r="L17" s="32" t="s">
        <v>16</v>
      </c>
      <c r="M17" s="32" t="str">
        <f t="shared" si="1"/>
        <v>No</v>
      </c>
      <c r="N17" s="32">
        <f>G17 - F17</f>
        <v>39</v>
      </c>
      <c r="O17">
        <v>1</v>
      </c>
    </row>
    <row r="18" spans="1:15" ht="15.75" customHeight="1" x14ac:dyDescent="0.3">
      <c r="A18" s="2" t="s">
        <v>42</v>
      </c>
      <c r="B18" s="3" t="s">
        <v>11</v>
      </c>
      <c r="C18" s="3" t="s">
        <v>12</v>
      </c>
      <c r="D18" s="1" t="s">
        <v>43</v>
      </c>
      <c r="E18" s="1" t="s">
        <v>44</v>
      </c>
      <c r="F18" s="63">
        <v>43650</v>
      </c>
      <c r="G18" s="63">
        <v>43664</v>
      </c>
      <c r="H18" s="3" t="str">
        <f t="shared" si="0"/>
        <v>EVEN</v>
      </c>
      <c r="I18" s="101">
        <v>0</v>
      </c>
      <c r="J18" s="32" t="str">
        <f>UPPER(TEXT(F18,"mmm")) &amp; " - " &amp; UPPER(TEXT(G18,"mmm"))</f>
        <v>JUL - JUL</v>
      </c>
      <c r="K18" s="32" t="s">
        <v>15</v>
      </c>
      <c r="L18" s="32" t="s">
        <v>16</v>
      </c>
      <c r="M18" s="32" t="str">
        <f t="shared" si="1"/>
        <v>No</v>
      </c>
      <c r="N18" s="32">
        <f>G18 - F18</f>
        <v>14</v>
      </c>
      <c r="O18">
        <v>1</v>
      </c>
    </row>
    <row r="19" spans="1:15" ht="15.75" customHeight="1" x14ac:dyDescent="0.3">
      <c r="A19" s="2" t="s">
        <v>45</v>
      </c>
      <c r="B19" s="3" t="s">
        <v>11</v>
      </c>
      <c r="C19" s="3" t="s">
        <v>12</v>
      </c>
      <c r="D19" s="1" t="s">
        <v>46</v>
      </c>
      <c r="E19" s="1" t="s">
        <v>47</v>
      </c>
      <c r="F19" s="63">
        <v>43641</v>
      </c>
      <c r="G19" s="63">
        <v>43661</v>
      </c>
      <c r="H19" s="3" t="str">
        <f t="shared" si="0"/>
        <v>EVEN</v>
      </c>
      <c r="I19" s="101">
        <v>0</v>
      </c>
      <c r="J19" s="32" t="str">
        <f>UPPER(TEXT(F19,"mmm")) &amp; " - " &amp; UPPER(TEXT(G19,"mmm"))</f>
        <v>JUN - JUL</v>
      </c>
      <c r="K19" s="32" t="s">
        <v>15</v>
      </c>
      <c r="L19" s="32" t="s">
        <v>16</v>
      </c>
      <c r="M19" s="32" t="str">
        <f t="shared" si="1"/>
        <v>No</v>
      </c>
      <c r="N19" s="32">
        <f>G19 - F19</f>
        <v>20</v>
      </c>
      <c r="O19">
        <v>1</v>
      </c>
    </row>
    <row r="20" spans="1:15" ht="15.75" customHeight="1" x14ac:dyDescent="0.3">
      <c r="A20" s="2" t="s">
        <v>48</v>
      </c>
      <c r="B20" s="3" t="s">
        <v>11</v>
      </c>
      <c r="C20" s="3" t="s">
        <v>12</v>
      </c>
      <c r="D20" s="1" t="s">
        <v>13</v>
      </c>
      <c r="E20" s="1" t="s">
        <v>14</v>
      </c>
      <c r="F20" s="63">
        <v>43617</v>
      </c>
      <c r="G20" s="63">
        <v>43656</v>
      </c>
      <c r="H20" s="3" t="str">
        <f t="shared" si="0"/>
        <v>EVEN</v>
      </c>
      <c r="I20" s="101">
        <v>0</v>
      </c>
      <c r="J20" s="32" t="str">
        <f>UPPER(TEXT(F20,"mmm")) &amp; " - " &amp; UPPER(TEXT(G20,"mmm"))</f>
        <v>JUN - JUL</v>
      </c>
      <c r="K20" s="32" t="s">
        <v>15</v>
      </c>
      <c r="L20" s="32" t="s">
        <v>16</v>
      </c>
      <c r="M20" s="32" t="str">
        <f t="shared" si="1"/>
        <v>No</v>
      </c>
      <c r="N20" s="32">
        <f>G20 - F20</f>
        <v>39</v>
      </c>
      <c r="O20">
        <v>1</v>
      </c>
    </row>
    <row r="21" spans="1:15" ht="15.75" customHeight="1" x14ac:dyDescent="0.3">
      <c r="A21" s="2" t="s">
        <v>49</v>
      </c>
      <c r="B21" s="3" t="s">
        <v>11</v>
      </c>
      <c r="C21" s="3" t="s">
        <v>12</v>
      </c>
      <c r="D21" s="1" t="s">
        <v>13</v>
      </c>
      <c r="E21" s="1" t="s">
        <v>14</v>
      </c>
      <c r="F21" s="63">
        <v>43626</v>
      </c>
      <c r="G21" s="63">
        <v>43661</v>
      </c>
      <c r="H21" s="3" t="str">
        <f t="shared" si="0"/>
        <v>EVEN</v>
      </c>
      <c r="I21" s="101">
        <v>0</v>
      </c>
      <c r="J21" s="32" t="str">
        <f>UPPER(TEXT(F21,"mmm")) &amp; " - " &amp; UPPER(TEXT(G21,"mmm"))</f>
        <v>JUN - JUL</v>
      </c>
      <c r="K21" s="32" t="s">
        <v>15</v>
      </c>
      <c r="L21" s="32" t="s">
        <v>16</v>
      </c>
      <c r="M21" s="32" t="str">
        <f t="shared" si="1"/>
        <v>No</v>
      </c>
      <c r="N21" s="32">
        <f>G21 - F21</f>
        <v>35</v>
      </c>
      <c r="O21">
        <v>1</v>
      </c>
    </row>
    <row r="22" spans="1:15" ht="15.75" customHeight="1" x14ac:dyDescent="0.3">
      <c r="A22" s="2" t="s">
        <v>50</v>
      </c>
      <c r="B22" s="3" t="s">
        <v>11</v>
      </c>
      <c r="C22" s="3" t="s">
        <v>12</v>
      </c>
      <c r="D22" s="1" t="s">
        <v>13</v>
      </c>
      <c r="E22" s="1" t="s">
        <v>14</v>
      </c>
      <c r="F22" s="63">
        <v>43626</v>
      </c>
      <c r="G22" s="63">
        <v>43661</v>
      </c>
      <c r="H22" s="3" t="str">
        <f t="shared" si="0"/>
        <v>EVEN</v>
      </c>
      <c r="I22" s="101">
        <v>0</v>
      </c>
      <c r="J22" s="32" t="str">
        <f>UPPER(TEXT(F22,"mmm")) &amp; " - " &amp; UPPER(TEXT(G22,"mmm"))</f>
        <v>JUN - JUL</v>
      </c>
      <c r="K22" s="32" t="s">
        <v>15</v>
      </c>
      <c r="L22" s="32" t="s">
        <v>16</v>
      </c>
      <c r="M22" s="32" t="str">
        <f t="shared" si="1"/>
        <v>No</v>
      </c>
      <c r="N22" s="32">
        <f>G22 - F22</f>
        <v>35</v>
      </c>
      <c r="O22">
        <v>1</v>
      </c>
    </row>
    <row r="23" spans="1:15" ht="15.75" customHeight="1" x14ac:dyDescent="0.3">
      <c r="A23" s="2" t="s">
        <v>51</v>
      </c>
      <c r="B23" s="3" t="s">
        <v>11</v>
      </c>
      <c r="C23" s="3" t="s">
        <v>12</v>
      </c>
      <c r="D23" s="1" t="s">
        <v>46</v>
      </c>
      <c r="E23" s="1" t="s">
        <v>47</v>
      </c>
      <c r="F23" s="63">
        <v>43641</v>
      </c>
      <c r="G23" s="63">
        <v>43656</v>
      </c>
      <c r="H23" s="3" t="str">
        <f t="shared" si="0"/>
        <v>EVEN</v>
      </c>
      <c r="I23" s="101">
        <v>0</v>
      </c>
      <c r="J23" s="32" t="str">
        <f>UPPER(TEXT(F23,"mmm")) &amp; " - " &amp; UPPER(TEXT(G23,"mmm"))</f>
        <v>JUN - JUL</v>
      </c>
      <c r="K23" s="32" t="s">
        <v>15</v>
      </c>
      <c r="L23" s="32" t="s">
        <v>16</v>
      </c>
      <c r="M23" s="32" t="str">
        <f t="shared" si="1"/>
        <v>No</v>
      </c>
      <c r="N23" s="32">
        <f>G23 - F23</f>
        <v>15</v>
      </c>
      <c r="O23">
        <v>1</v>
      </c>
    </row>
    <row r="24" spans="1:15" ht="15.75" customHeight="1" x14ac:dyDescent="0.3">
      <c r="A24" s="2" t="s">
        <v>52</v>
      </c>
      <c r="B24" s="3" t="s">
        <v>11</v>
      </c>
      <c r="C24" s="3" t="s">
        <v>12</v>
      </c>
      <c r="D24" s="1" t="s">
        <v>13</v>
      </c>
      <c r="E24" s="1" t="s">
        <v>14</v>
      </c>
      <c r="F24" s="63">
        <v>43626</v>
      </c>
      <c r="G24" s="63">
        <v>43661</v>
      </c>
      <c r="H24" s="3" t="str">
        <f t="shared" si="0"/>
        <v>EVEN</v>
      </c>
      <c r="I24" s="101">
        <v>0</v>
      </c>
      <c r="J24" s="32" t="str">
        <f>UPPER(TEXT(F24,"mmm")) &amp; " - " &amp; UPPER(TEXT(G24,"mmm"))</f>
        <v>JUN - JUL</v>
      </c>
      <c r="K24" s="32" t="s">
        <v>15</v>
      </c>
      <c r="L24" s="32" t="s">
        <v>16</v>
      </c>
      <c r="M24" s="32" t="str">
        <f t="shared" si="1"/>
        <v>No</v>
      </c>
      <c r="N24" s="32">
        <f>G24 - F24</f>
        <v>35</v>
      </c>
      <c r="O24">
        <v>1</v>
      </c>
    </row>
    <row r="25" spans="1:15" ht="27" x14ac:dyDescent="0.3">
      <c r="A25" s="2" t="s">
        <v>53</v>
      </c>
      <c r="B25" s="3" t="s">
        <v>11</v>
      </c>
      <c r="C25" s="3" t="s">
        <v>12</v>
      </c>
      <c r="D25" s="1" t="s">
        <v>22</v>
      </c>
      <c r="E25" s="1" t="s">
        <v>23</v>
      </c>
      <c r="F25" s="63">
        <v>43630</v>
      </c>
      <c r="G25" s="63">
        <v>43656</v>
      </c>
      <c r="H25" s="3" t="str">
        <f t="shared" si="0"/>
        <v>EVEN</v>
      </c>
      <c r="I25" s="101">
        <v>0</v>
      </c>
      <c r="J25" s="32" t="str">
        <f>UPPER(TEXT(F25,"mmm")) &amp; " - " &amp; UPPER(TEXT(G25,"mmm"))</f>
        <v>JUN - JUL</v>
      </c>
      <c r="K25" s="32" t="s">
        <v>15</v>
      </c>
      <c r="L25" s="32" t="s">
        <v>16</v>
      </c>
      <c r="M25" s="32" t="str">
        <f t="shared" si="1"/>
        <v>No</v>
      </c>
      <c r="N25" s="32">
        <f>G25 - F25</f>
        <v>26</v>
      </c>
      <c r="O25">
        <v>1</v>
      </c>
    </row>
    <row r="26" spans="1:15" ht="27" x14ac:dyDescent="0.3">
      <c r="A26" s="2" t="s">
        <v>54</v>
      </c>
      <c r="B26" s="3" t="s">
        <v>11</v>
      </c>
      <c r="C26" s="3" t="s">
        <v>12</v>
      </c>
      <c r="D26" s="1" t="s">
        <v>55</v>
      </c>
      <c r="E26" s="1" t="s">
        <v>56</v>
      </c>
      <c r="F26" s="63">
        <v>43635</v>
      </c>
      <c r="G26" s="63">
        <v>43654</v>
      </c>
      <c r="H26" s="3" t="str">
        <f t="shared" si="0"/>
        <v>EVEN</v>
      </c>
      <c r="I26" s="101">
        <v>0</v>
      </c>
      <c r="J26" s="32" t="str">
        <f>UPPER(TEXT(F26,"mmm")) &amp; " - " &amp; UPPER(TEXT(G26,"mmm"))</f>
        <v>JUN - JUL</v>
      </c>
      <c r="K26" s="32" t="s">
        <v>15</v>
      </c>
      <c r="L26" s="32" t="s">
        <v>16</v>
      </c>
      <c r="M26" s="32" t="str">
        <f t="shared" si="1"/>
        <v>No</v>
      </c>
      <c r="N26" s="32">
        <f>G26 - F26</f>
        <v>19</v>
      </c>
      <c r="O26">
        <v>1</v>
      </c>
    </row>
    <row r="27" spans="1:15" ht="27" x14ac:dyDescent="0.3">
      <c r="A27" s="2" t="s">
        <v>57</v>
      </c>
      <c r="B27" s="3" t="s">
        <v>11</v>
      </c>
      <c r="C27" s="3" t="s">
        <v>12</v>
      </c>
      <c r="D27" s="1" t="s">
        <v>13</v>
      </c>
      <c r="E27" s="1" t="s">
        <v>14</v>
      </c>
      <c r="F27" s="63">
        <v>43626</v>
      </c>
      <c r="G27" s="63">
        <v>43661</v>
      </c>
      <c r="H27" s="3" t="str">
        <f t="shared" si="0"/>
        <v>EVEN</v>
      </c>
      <c r="I27" s="101">
        <v>0</v>
      </c>
      <c r="J27" s="32" t="str">
        <f>UPPER(TEXT(F27,"mmm")) &amp; " - " &amp; UPPER(TEXT(G27,"mmm"))</f>
        <v>JUN - JUL</v>
      </c>
      <c r="K27" s="32" t="s">
        <v>15</v>
      </c>
      <c r="L27" s="32" t="s">
        <v>16</v>
      </c>
      <c r="M27" s="32" t="str">
        <f t="shared" si="1"/>
        <v>No</v>
      </c>
      <c r="N27" s="32">
        <f>G27 - F27</f>
        <v>35</v>
      </c>
      <c r="O27">
        <v>1</v>
      </c>
    </row>
    <row r="28" spans="1:15" ht="27" x14ac:dyDescent="0.3">
      <c r="A28" s="2" t="s">
        <v>58</v>
      </c>
      <c r="B28" s="3" t="s">
        <v>11</v>
      </c>
      <c r="C28" s="3" t="s">
        <v>12</v>
      </c>
      <c r="D28" s="1" t="s">
        <v>13</v>
      </c>
      <c r="E28" s="1" t="s">
        <v>14</v>
      </c>
      <c r="F28" s="63">
        <v>43626</v>
      </c>
      <c r="G28" s="63">
        <v>43661</v>
      </c>
      <c r="H28" s="3" t="str">
        <f t="shared" si="0"/>
        <v>EVEN</v>
      </c>
      <c r="I28" s="101">
        <v>0</v>
      </c>
      <c r="J28" s="32" t="str">
        <f>UPPER(TEXT(F28,"mmm")) &amp; " - " &amp; UPPER(TEXT(G28,"mmm"))</f>
        <v>JUN - JUL</v>
      </c>
      <c r="K28" s="32" t="s">
        <v>15</v>
      </c>
      <c r="L28" s="32" t="s">
        <v>16</v>
      </c>
      <c r="M28" s="32" t="str">
        <f t="shared" si="1"/>
        <v>No</v>
      </c>
      <c r="N28" s="32">
        <f>G28 - F28</f>
        <v>35</v>
      </c>
      <c r="O28">
        <v>1</v>
      </c>
    </row>
    <row r="29" spans="1:15" ht="27" x14ac:dyDescent="0.3">
      <c r="A29" s="2" t="s">
        <v>59</v>
      </c>
      <c r="B29" s="3" t="s">
        <v>11</v>
      </c>
      <c r="C29" s="3" t="s">
        <v>12</v>
      </c>
      <c r="D29" s="1" t="s">
        <v>18</v>
      </c>
      <c r="E29" s="1" t="s">
        <v>19</v>
      </c>
      <c r="F29" s="63">
        <v>43617</v>
      </c>
      <c r="G29" s="63">
        <v>43661</v>
      </c>
      <c r="H29" s="3" t="str">
        <f t="shared" si="0"/>
        <v>EVEN</v>
      </c>
      <c r="I29" s="101">
        <v>0</v>
      </c>
      <c r="J29" s="32" t="str">
        <f>UPPER(TEXT(F29,"mmm")) &amp; " - " &amp; UPPER(TEXT(G29,"mmm"))</f>
        <v>JUN - JUL</v>
      </c>
      <c r="K29" s="32" t="s">
        <v>15</v>
      </c>
      <c r="L29" s="32" t="s">
        <v>16</v>
      </c>
      <c r="M29" s="32" t="str">
        <f t="shared" si="1"/>
        <v>No</v>
      </c>
      <c r="N29" s="32">
        <f>G29 - F29</f>
        <v>44</v>
      </c>
      <c r="O29">
        <v>1</v>
      </c>
    </row>
    <row r="30" spans="1:15" ht="27" x14ac:dyDescent="0.3">
      <c r="A30" s="8" t="s">
        <v>60</v>
      </c>
      <c r="B30" s="10" t="s">
        <v>11</v>
      </c>
      <c r="C30" s="10" t="s">
        <v>12</v>
      </c>
      <c r="D30" s="9" t="s">
        <v>13</v>
      </c>
      <c r="E30" s="9" t="s">
        <v>14</v>
      </c>
      <c r="F30" s="65">
        <v>43626</v>
      </c>
      <c r="G30" s="65">
        <v>43661</v>
      </c>
      <c r="H30" s="3" t="str">
        <f t="shared" si="0"/>
        <v>EVEN</v>
      </c>
      <c r="I30" s="101">
        <v>0</v>
      </c>
      <c r="J30" s="32" t="str">
        <f>UPPER(TEXT(F30,"mmm")) &amp; " - " &amp; UPPER(TEXT(G30,"mmm"))</f>
        <v>JUN - JUL</v>
      </c>
      <c r="K30" s="32" t="s">
        <v>15</v>
      </c>
      <c r="L30" s="32" t="s">
        <v>16</v>
      </c>
      <c r="M30" s="32" t="str">
        <f t="shared" si="1"/>
        <v>No</v>
      </c>
      <c r="N30" s="32">
        <f>G30 - F30</f>
        <v>35</v>
      </c>
      <c r="O30">
        <v>1</v>
      </c>
    </row>
    <row r="31" spans="1:15" ht="27" x14ac:dyDescent="0.3">
      <c r="A31" s="8" t="s">
        <v>61</v>
      </c>
      <c r="B31" s="10" t="s">
        <v>11</v>
      </c>
      <c r="C31" s="10" t="s">
        <v>12</v>
      </c>
      <c r="D31" s="9" t="s">
        <v>13</v>
      </c>
      <c r="E31" s="9" t="s">
        <v>14</v>
      </c>
      <c r="F31" s="65">
        <v>43626</v>
      </c>
      <c r="G31" s="65">
        <v>43661</v>
      </c>
      <c r="H31" s="3" t="str">
        <f t="shared" si="0"/>
        <v>EVEN</v>
      </c>
      <c r="I31" s="101">
        <v>0</v>
      </c>
      <c r="J31" s="32" t="str">
        <f>UPPER(TEXT(F31,"mmm")) &amp; " - " &amp; UPPER(TEXT(G31,"mmm"))</f>
        <v>JUN - JUL</v>
      </c>
      <c r="K31" s="32" t="s">
        <v>15</v>
      </c>
      <c r="L31" s="32" t="s">
        <v>16</v>
      </c>
      <c r="M31" s="32" t="str">
        <f t="shared" si="1"/>
        <v>No</v>
      </c>
      <c r="N31" s="32">
        <f>G31 - F31</f>
        <v>35</v>
      </c>
      <c r="O31">
        <v>1</v>
      </c>
    </row>
    <row r="32" spans="1:15" ht="27" x14ac:dyDescent="0.3">
      <c r="A32" s="8" t="s">
        <v>62</v>
      </c>
      <c r="B32" s="10" t="s">
        <v>11</v>
      </c>
      <c r="C32" s="10" t="s">
        <v>12</v>
      </c>
      <c r="D32" s="9" t="s">
        <v>13</v>
      </c>
      <c r="E32" s="9" t="s">
        <v>14</v>
      </c>
      <c r="F32" s="65">
        <v>43626</v>
      </c>
      <c r="G32" s="65">
        <v>43661</v>
      </c>
      <c r="H32" s="3" t="str">
        <f t="shared" si="0"/>
        <v>EVEN</v>
      </c>
      <c r="I32" s="101">
        <v>0</v>
      </c>
      <c r="J32" s="32" t="str">
        <f>UPPER(TEXT(F32,"mmm")) &amp; " - " &amp; UPPER(TEXT(G32,"mmm"))</f>
        <v>JUN - JUL</v>
      </c>
      <c r="K32" s="32" t="s">
        <v>15</v>
      </c>
      <c r="L32" s="32" t="s">
        <v>16</v>
      </c>
      <c r="M32" s="32" t="str">
        <f t="shared" si="1"/>
        <v>No</v>
      </c>
      <c r="N32" s="32">
        <f>G32 - F32</f>
        <v>35</v>
      </c>
      <c r="O32">
        <v>1</v>
      </c>
    </row>
    <row r="33" spans="1:26" ht="27" x14ac:dyDescent="0.3">
      <c r="A33" s="2" t="s">
        <v>63</v>
      </c>
      <c r="B33" s="3" t="s">
        <v>11</v>
      </c>
      <c r="C33" s="3" t="s">
        <v>12</v>
      </c>
      <c r="D33" s="1" t="s">
        <v>13</v>
      </c>
      <c r="E33" s="1" t="s">
        <v>14</v>
      </c>
      <c r="F33" s="63">
        <v>43626</v>
      </c>
      <c r="G33" s="63">
        <v>43661</v>
      </c>
      <c r="H33" s="3" t="str">
        <f t="shared" si="0"/>
        <v>EVEN</v>
      </c>
      <c r="I33" s="101">
        <v>0</v>
      </c>
      <c r="J33" s="32" t="str">
        <f>UPPER(TEXT(F33,"mmm")) &amp; " - " &amp; UPPER(TEXT(G33,"mmm"))</f>
        <v>JUN - JUL</v>
      </c>
      <c r="K33" s="32" t="s">
        <v>15</v>
      </c>
      <c r="L33" s="32" t="s">
        <v>16</v>
      </c>
      <c r="M33" s="32" t="str">
        <f t="shared" si="1"/>
        <v>No</v>
      </c>
      <c r="N33" s="32">
        <f>G33 - F33</f>
        <v>35</v>
      </c>
      <c r="O33">
        <v>1</v>
      </c>
    </row>
    <row r="34" spans="1:26" ht="27" x14ac:dyDescent="0.3">
      <c r="A34" s="2" t="s">
        <v>64</v>
      </c>
      <c r="B34" s="3" t="s">
        <v>11</v>
      </c>
      <c r="C34" s="3" t="s">
        <v>12</v>
      </c>
      <c r="D34" s="1" t="s">
        <v>22</v>
      </c>
      <c r="E34" s="1" t="s">
        <v>23</v>
      </c>
      <c r="F34" s="63">
        <v>43630</v>
      </c>
      <c r="G34" s="63">
        <v>43656</v>
      </c>
      <c r="H34" s="3" t="str">
        <f t="shared" si="0"/>
        <v>EVEN</v>
      </c>
      <c r="I34" s="101">
        <v>0</v>
      </c>
      <c r="J34" s="32" t="str">
        <f>UPPER(TEXT(F34,"mmm")) &amp; " - " &amp; UPPER(TEXT(G34,"mmm"))</f>
        <v>JUN - JUL</v>
      </c>
      <c r="K34" s="32" t="s">
        <v>15</v>
      </c>
      <c r="L34" s="32" t="s">
        <v>16</v>
      </c>
      <c r="M34" s="32" t="str">
        <f t="shared" si="1"/>
        <v>No</v>
      </c>
      <c r="N34" s="32">
        <f>G34 - F34</f>
        <v>26</v>
      </c>
      <c r="O34">
        <v>1</v>
      </c>
    </row>
    <row r="35" spans="1:26" x14ac:dyDescent="0.3">
      <c r="A35" s="4" t="s">
        <v>65</v>
      </c>
      <c r="B35" s="6" t="s">
        <v>66</v>
      </c>
      <c r="C35" s="6" t="s">
        <v>12</v>
      </c>
      <c r="D35" s="5" t="s">
        <v>67</v>
      </c>
      <c r="E35" s="5" t="s">
        <v>68</v>
      </c>
      <c r="F35" s="64">
        <v>43448</v>
      </c>
      <c r="G35" s="64">
        <v>43478</v>
      </c>
      <c r="H35" s="3" t="str">
        <f t="shared" si="0"/>
        <v>ODD</v>
      </c>
      <c r="I35" s="101">
        <v>0</v>
      </c>
      <c r="J35" s="32" t="str">
        <f>UPPER(TEXT(F35,"mmm")) &amp; " - " &amp; UPPER(TEXT(G35,"mmm"))</f>
        <v>DEC - JAN</v>
      </c>
      <c r="K35" s="32" t="s">
        <v>15</v>
      </c>
      <c r="L35" s="32" t="s">
        <v>16</v>
      </c>
      <c r="M35" s="32" t="str">
        <f t="shared" si="1"/>
        <v>No</v>
      </c>
      <c r="N35" s="32">
        <f>G35 - F35</f>
        <v>30</v>
      </c>
      <c r="O35">
        <v>1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">
      <c r="A36" s="8" t="s">
        <v>69</v>
      </c>
      <c r="B36" s="10" t="s">
        <v>70</v>
      </c>
      <c r="C36" s="10" t="s">
        <v>12</v>
      </c>
      <c r="D36" s="9" t="s">
        <v>71</v>
      </c>
      <c r="E36" s="9" t="s">
        <v>68</v>
      </c>
      <c r="F36" s="65">
        <v>43449</v>
      </c>
      <c r="G36" s="65">
        <v>43467</v>
      </c>
      <c r="H36" s="3" t="str">
        <f t="shared" si="0"/>
        <v>ODD</v>
      </c>
      <c r="I36" s="101">
        <v>0</v>
      </c>
      <c r="J36" s="32" t="str">
        <f>UPPER(TEXT(F36,"mmm")) &amp; " - " &amp; UPPER(TEXT(G36,"mmm"))</f>
        <v>DEC - JAN</v>
      </c>
      <c r="K36" s="32" t="s">
        <v>15</v>
      </c>
      <c r="L36" s="32" t="s">
        <v>16</v>
      </c>
      <c r="M36" s="32" t="str">
        <f t="shared" si="1"/>
        <v>No</v>
      </c>
      <c r="N36" s="32">
        <f>G36 - F36</f>
        <v>18</v>
      </c>
      <c r="O36">
        <v>1</v>
      </c>
    </row>
    <row r="37" spans="1:26" x14ac:dyDescent="0.3">
      <c r="A37" s="7" t="s">
        <v>72</v>
      </c>
      <c r="B37" s="33" t="s">
        <v>66</v>
      </c>
      <c r="C37" s="33" t="s">
        <v>12</v>
      </c>
      <c r="D37" s="11" t="s">
        <v>73</v>
      </c>
      <c r="E37" s="11" t="s">
        <v>74</v>
      </c>
      <c r="F37" s="66">
        <v>43497</v>
      </c>
      <c r="G37" s="66">
        <v>43677</v>
      </c>
      <c r="H37" s="3" t="str">
        <f t="shared" si="0"/>
        <v>EVEN</v>
      </c>
      <c r="I37" s="101">
        <v>0</v>
      </c>
      <c r="J37" s="32" t="str">
        <f>UPPER(TEXT(F37,"mmm")) &amp; " - " &amp; UPPER(TEXT(G37,"mmm"))</f>
        <v>FEB - JUL</v>
      </c>
      <c r="K37" s="32" t="s">
        <v>15</v>
      </c>
      <c r="L37" s="32" t="s">
        <v>16</v>
      </c>
      <c r="M37" s="32" t="str">
        <f t="shared" si="1"/>
        <v>No</v>
      </c>
      <c r="N37" s="32">
        <f>G37 - F37</f>
        <v>180</v>
      </c>
      <c r="O37">
        <v>1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">
      <c r="A38" s="7" t="s">
        <v>75</v>
      </c>
      <c r="B38" s="33" t="s">
        <v>66</v>
      </c>
      <c r="C38" s="33" t="s">
        <v>12</v>
      </c>
      <c r="D38" s="11" t="s">
        <v>73</v>
      </c>
      <c r="E38" s="11" t="s">
        <v>74</v>
      </c>
      <c r="F38" s="66">
        <v>43497</v>
      </c>
      <c r="G38" s="66">
        <v>43677</v>
      </c>
      <c r="H38" s="3" t="str">
        <f t="shared" si="0"/>
        <v>EVEN</v>
      </c>
      <c r="I38" s="101">
        <v>0</v>
      </c>
      <c r="J38" s="32" t="str">
        <f>UPPER(TEXT(F38,"mmm")) &amp; " - " &amp; UPPER(TEXT(G38,"mmm"))</f>
        <v>FEB - JUL</v>
      </c>
      <c r="K38" s="32" t="s">
        <v>15</v>
      </c>
      <c r="L38" s="32" t="s">
        <v>16</v>
      </c>
      <c r="M38" s="32" t="str">
        <f t="shared" si="1"/>
        <v>No</v>
      </c>
      <c r="N38" s="32">
        <f>G38 - F38</f>
        <v>180</v>
      </c>
      <c r="O38">
        <v>1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">
      <c r="A39" s="7" t="s">
        <v>76</v>
      </c>
      <c r="B39" s="33" t="s">
        <v>66</v>
      </c>
      <c r="C39" s="33" t="s">
        <v>12</v>
      </c>
      <c r="D39" s="11" t="s">
        <v>73</v>
      </c>
      <c r="E39" s="11" t="s">
        <v>74</v>
      </c>
      <c r="F39" s="66">
        <v>43497</v>
      </c>
      <c r="G39" s="66">
        <v>43677</v>
      </c>
      <c r="H39" s="3" t="str">
        <f t="shared" si="0"/>
        <v>EVEN</v>
      </c>
      <c r="I39" s="101">
        <v>0</v>
      </c>
      <c r="J39" s="32" t="str">
        <f>UPPER(TEXT(F39,"mmm")) &amp; " - " &amp; UPPER(TEXT(G39,"mmm"))</f>
        <v>FEB - JUL</v>
      </c>
      <c r="K39" s="32" t="s">
        <v>15</v>
      </c>
      <c r="L39" s="32" t="s">
        <v>16</v>
      </c>
      <c r="M39" s="32" t="str">
        <f t="shared" si="1"/>
        <v>No</v>
      </c>
      <c r="N39" s="32">
        <f>G39 - F39</f>
        <v>180</v>
      </c>
      <c r="O39">
        <v>1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3">
      <c r="A40" s="7" t="s">
        <v>77</v>
      </c>
      <c r="B40" s="33" t="s">
        <v>78</v>
      </c>
      <c r="C40" s="33" t="s">
        <v>12</v>
      </c>
      <c r="D40" s="11" t="s">
        <v>71</v>
      </c>
      <c r="E40" s="11" t="s">
        <v>79</v>
      </c>
      <c r="F40" s="66">
        <v>43435</v>
      </c>
      <c r="G40" s="66">
        <v>43496</v>
      </c>
      <c r="H40" s="3" t="str">
        <f t="shared" si="0"/>
        <v>ODD</v>
      </c>
      <c r="I40" s="101">
        <v>0</v>
      </c>
      <c r="J40" s="32" t="str">
        <f>UPPER(TEXT(F40,"mmm")) &amp; " - " &amp; UPPER(TEXT(G40,"mmm"))</f>
        <v>DEC - JAN</v>
      </c>
      <c r="K40" s="32" t="s">
        <v>15</v>
      </c>
      <c r="L40" s="32" t="s">
        <v>16</v>
      </c>
      <c r="M40" s="32" t="str">
        <f t="shared" si="1"/>
        <v>No</v>
      </c>
      <c r="N40" s="32">
        <f>G40 - F40</f>
        <v>61</v>
      </c>
      <c r="O40">
        <v>1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">
      <c r="A41" s="7" t="s">
        <v>80</v>
      </c>
      <c r="B41" s="33" t="s">
        <v>78</v>
      </c>
      <c r="C41" s="33" t="s">
        <v>12</v>
      </c>
      <c r="D41" s="11" t="s">
        <v>71</v>
      </c>
      <c r="E41" s="11" t="s">
        <v>79</v>
      </c>
      <c r="F41" s="66">
        <v>43435</v>
      </c>
      <c r="G41" s="66">
        <v>43496</v>
      </c>
      <c r="H41" s="3" t="str">
        <f t="shared" si="0"/>
        <v>ODD</v>
      </c>
      <c r="I41" s="101">
        <v>0</v>
      </c>
      <c r="J41" s="32" t="str">
        <f>UPPER(TEXT(F41,"mmm")) &amp; " - " &amp; UPPER(TEXT(G41,"mmm"))</f>
        <v>DEC - JAN</v>
      </c>
      <c r="K41" s="32" t="s">
        <v>15</v>
      </c>
      <c r="L41" s="32" t="s">
        <v>16</v>
      </c>
      <c r="M41" s="32" t="str">
        <f t="shared" si="1"/>
        <v>No</v>
      </c>
      <c r="N41" s="32">
        <f>G41 - F41</f>
        <v>61</v>
      </c>
      <c r="O41">
        <v>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3">
      <c r="A42" s="7" t="s">
        <v>81</v>
      </c>
      <c r="B42" s="33" t="s">
        <v>78</v>
      </c>
      <c r="C42" s="33" t="s">
        <v>12</v>
      </c>
      <c r="D42" s="11" t="s">
        <v>71</v>
      </c>
      <c r="E42" s="11" t="s">
        <v>79</v>
      </c>
      <c r="F42" s="66">
        <v>43435</v>
      </c>
      <c r="G42" s="66">
        <v>43496</v>
      </c>
      <c r="H42" s="3" t="str">
        <f t="shared" si="0"/>
        <v>ODD</v>
      </c>
      <c r="I42" s="101">
        <v>0</v>
      </c>
      <c r="J42" s="32" t="str">
        <f>UPPER(TEXT(F42,"mmm")) &amp; " - " &amp; UPPER(TEXT(G42,"mmm"))</f>
        <v>DEC - JAN</v>
      </c>
      <c r="K42" s="32" t="s">
        <v>15</v>
      </c>
      <c r="L42" s="32" t="s">
        <v>16</v>
      </c>
      <c r="M42" s="32" t="str">
        <f t="shared" si="1"/>
        <v>No</v>
      </c>
      <c r="N42" s="32">
        <f>G42 - F42</f>
        <v>61</v>
      </c>
      <c r="O42">
        <v>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7" x14ac:dyDescent="0.3">
      <c r="A43" s="7" t="s">
        <v>82</v>
      </c>
      <c r="B43" s="33" t="s">
        <v>78</v>
      </c>
      <c r="C43" s="33" t="s">
        <v>12</v>
      </c>
      <c r="D43" s="11" t="s">
        <v>71</v>
      </c>
      <c r="E43" s="11" t="s">
        <v>83</v>
      </c>
      <c r="F43" s="66">
        <v>43435</v>
      </c>
      <c r="G43" s="66">
        <v>43493</v>
      </c>
      <c r="H43" s="3" t="str">
        <f t="shared" si="0"/>
        <v>ODD</v>
      </c>
      <c r="I43" s="101">
        <v>0</v>
      </c>
      <c r="J43" s="32" t="str">
        <f>UPPER(TEXT(F43,"mmm")) &amp; " - " &amp; UPPER(TEXT(G43,"mmm"))</f>
        <v>DEC - JAN</v>
      </c>
      <c r="K43" s="32" t="s">
        <v>15</v>
      </c>
      <c r="L43" s="32" t="s">
        <v>16</v>
      </c>
      <c r="M43" s="32" t="str">
        <f t="shared" si="1"/>
        <v>No</v>
      </c>
      <c r="N43" s="32">
        <f>G43 - F43</f>
        <v>58</v>
      </c>
      <c r="O43">
        <v>1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7" x14ac:dyDescent="0.3">
      <c r="A44" s="7" t="s">
        <v>84</v>
      </c>
      <c r="B44" s="33" t="s">
        <v>78</v>
      </c>
      <c r="C44" s="33" t="s">
        <v>12</v>
      </c>
      <c r="D44" s="11" t="s">
        <v>71</v>
      </c>
      <c r="E44" s="11" t="s">
        <v>83</v>
      </c>
      <c r="F44" s="66">
        <v>43435</v>
      </c>
      <c r="G44" s="66">
        <v>43493</v>
      </c>
      <c r="H44" s="3" t="str">
        <f t="shared" si="0"/>
        <v>ODD</v>
      </c>
      <c r="I44" s="101">
        <v>0</v>
      </c>
      <c r="J44" s="32" t="str">
        <f>UPPER(TEXT(F44,"mmm")) &amp; " - " &amp; UPPER(TEXT(G44,"mmm"))</f>
        <v>DEC - JAN</v>
      </c>
      <c r="K44" s="32" t="s">
        <v>15</v>
      </c>
      <c r="L44" s="32" t="s">
        <v>16</v>
      </c>
      <c r="M44" s="32" t="str">
        <f t="shared" si="1"/>
        <v>No</v>
      </c>
      <c r="N44" s="32">
        <f>G44 - F44</f>
        <v>58</v>
      </c>
      <c r="O44">
        <v>1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7" x14ac:dyDescent="0.3">
      <c r="A45" s="7" t="s">
        <v>85</v>
      </c>
      <c r="B45" s="33" t="s">
        <v>66</v>
      </c>
      <c r="C45" s="33" t="s">
        <v>12</v>
      </c>
      <c r="D45" s="11" t="s">
        <v>86</v>
      </c>
      <c r="E45" s="11" t="s">
        <v>87</v>
      </c>
      <c r="F45" s="66">
        <v>43466</v>
      </c>
      <c r="G45" s="66">
        <v>43585</v>
      </c>
      <c r="H45" s="3" t="str">
        <f t="shared" si="0"/>
        <v>EVEN</v>
      </c>
      <c r="I45" s="101">
        <v>0</v>
      </c>
      <c r="J45" s="32" t="str">
        <f>UPPER(TEXT(F45,"mmm")) &amp; " - " &amp; UPPER(TEXT(G45,"mmm"))</f>
        <v>JAN - APR</v>
      </c>
      <c r="K45" s="32" t="s">
        <v>15</v>
      </c>
      <c r="L45" s="32" t="s">
        <v>16</v>
      </c>
      <c r="M45" s="32" t="str">
        <f t="shared" si="1"/>
        <v>No</v>
      </c>
      <c r="N45" s="32">
        <f>G45 - F45</f>
        <v>119</v>
      </c>
      <c r="O45">
        <v>1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7" x14ac:dyDescent="0.3">
      <c r="A46" s="7" t="s">
        <v>88</v>
      </c>
      <c r="B46" s="33" t="s">
        <v>66</v>
      </c>
      <c r="C46" s="33" t="s">
        <v>12</v>
      </c>
      <c r="D46" s="11" t="s">
        <v>86</v>
      </c>
      <c r="E46" s="11" t="s">
        <v>87</v>
      </c>
      <c r="F46" s="66">
        <v>43466</v>
      </c>
      <c r="G46" s="66">
        <v>43585</v>
      </c>
      <c r="H46" s="3" t="str">
        <f t="shared" si="0"/>
        <v>EVEN</v>
      </c>
      <c r="I46" s="101">
        <v>0</v>
      </c>
      <c r="J46" s="32" t="str">
        <f>UPPER(TEXT(F46,"mmm")) &amp; " - " &amp; UPPER(TEXT(G46,"mmm"))</f>
        <v>JAN - APR</v>
      </c>
      <c r="K46" s="32" t="s">
        <v>15</v>
      </c>
      <c r="L46" s="32" t="s">
        <v>16</v>
      </c>
      <c r="M46" s="32" t="str">
        <f t="shared" si="1"/>
        <v>No</v>
      </c>
      <c r="N46" s="32">
        <f>G46 - F46</f>
        <v>119</v>
      </c>
      <c r="O46">
        <v>1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7" x14ac:dyDescent="0.3">
      <c r="A47" s="7" t="s">
        <v>89</v>
      </c>
      <c r="B47" s="33" t="s">
        <v>66</v>
      </c>
      <c r="C47" s="33" t="s">
        <v>12</v>
      </c>
      <c r="D47" s="11" t="s">
        <v>90</v>
      </c>
      <c r="E47" s="11" t="s">
        <v>91</v>
      </c>
      <c r="F47" s="66">
        <v>43482</v>
      </c>
      <c r="G47" s="66">
        <v>43572</v>
      </c>
      <c r="H47" s="3" t="str">
        <f t="shared" si="0"/>
        <v>EVEN</v>
      </c>
      <c r="I47" s="101">
        <v>0</v>
      </c>
      <c r="J47" s="32" t="str">
        <f>UPPER(TEXT(F47,"mmm")) &amp; " - " &amp; UPPER(TEXT(G47,"mmm"))</f>
        <v>JAN - APR</v>
      </c>
      <c r="K47" s="32" t="s">
        <v>15</v>
      </c>
      <c r="L47" s="32" t="s">
        <v>16</v>
      </c>
      <c r="M47" s="32" t="str">
        <f t="shared" si="1"/>
        <v>No</v>
      </c>
      <c r="N47" s="32">
        <f>G47 - F47</f>
        <v>90</v>
      </c>
      <c r="O47">
        <v>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7" x14ac:dyDescent="0.3">
      <c r="A48" s="7" t="s">
        <v>92</v>
      </c>
      <c r="B48" s="33" t="s">
        <v>66</v>
      </c>
      <c r="C48" s="33" t="s">
        <v>12</v>
      </c>
      <c r="D48" s="11" t="s">
        <v>90</v>
      </c>
      <c r="E48" s="11" t="s">
        <v>91</v>
      </c>
      <c r="F48" s="66">
        <v>43482</v>
      </c>
      <c r="G48" s="66">
        <v>43572</v>
      </c>
      <c r="H48" s="3" t="str">
        <f t="shared" si="0"/>
        <v>EVEN</v>
      </c>
      <c r="I48" s="101">
        <v>0</v>
      </c>
      <c r="J48" s="32" t="str">
        <f>UPPER(TEXT(F48,"mmm")) &amp; " - " &amp; UPPER(TEXT(G48,"mmm"))</f>
        <v>JAN - APR</v>
      </c>
      <c r="K48" s="32" t="s">
        <v>15</v>
      </c>
      <c r="L48" s="32" t="s">
        <v>16</v>
      </c>
      <c r="M48" s="32" t="str">
        <f t="shared" si="1"/>
        <v>No</v>
      </c>
      <c r="N48" s="32">
        <f>G48 - F48</f>
        <v>90</v>
      </c>
      <c r="O48">
        <v>1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7" x14ac:dyDescent="0.3">
      <c r="A49" s="7" t="s">
        <v>93</v>
      </c>
      <c r="B49" s="33" t="s">
        <v>66</v>
      </c>
      <c r="C49" s="33" t="s">
        <v>12</v>
      </c>
      <c r="D49" s="11" t="s">
        <v>90</v>
      </c>
      <c r="E49" s="11" t="s">
        <v>91</v>
      </c>
      <c r="F49" s="66">
        <v>43482</v>
      </c>
      <c r="G49" s="66">
        <v>43572</v>
      </c>
      <c r="H49" s="3" t="str">
        <f t="shared" si="0"/>
        <v>EVEN</v>
      </c>
      <c r="I49" s="101">
        <v>0</v>
      </c>
      <c r="J49" s="32" t="str">
        <f>UPPER(TEXT(F49,"mmm")) &amp; " - " &amp; UPPER(TEXT(G49,"mmm"))</f>
        <v>JAN - APR</v>
      </c>
      <c r="K49" s="32" t="s">
        <v>15</v>
      </c>
      <c r="L49" s="32" t="s">
        <v>16</v>
      </c>
      <c r="M49" s="32" t="str">
        <f t="shared" si="1"/>
        <v>No</v>
      </c>
      <c r="N49" s="32">
        <f>G49 - F49</f>
        <v>90</v>
      </c>
      <c r="O49">
        <v>1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3">
      <c r="A50" s="7" t="s">
        <v>94</v>
      </c>
      <c r="B50" s="33" t="s">
        <v>66</v>
      </c>
      <c r="C50" s="33" t="s">
        <v>12</v>
      </c>
      <c r="D50" s="11" t="s">
        <v>95</v>
      </c>
      <c r="E50" s="11" t="s">
        <v>96</v>
      </c>
      <c r="F50" s="66">
        <v>43291</v>
      </c>
      <c r="G50" s="66">
        <v>43646</v>
      </c>
      <c r="H50" s="3" t="str">
        <f t="shared" si="0"/>
        <v>ODD</v>
      </c>
      <c r="I50" s="101">
        <v>0</v>
      </c>
      <c r="J50" s="32" t="str">
        <f>UPPER(TEXT(F50,"mmm")) &amp; " - " &amp; UPPER(TEXT(G50,"mmm"))</f>
        <v>JUL - JUN</v>
      </c>
      <c r="K50" s="32" t="s">
        <v>15</v>
      </c>
      <c r="L50" s="32" t="s">
        <v>16</v>
      </c>
      <c r="M50" s="32" t="str">
        <f t="shared" si="1"/>
        <v>No</v>
      </c>
      <c r="N50" s="32">
        <f>G50 - F50</f>
        <v>355</v>
      </c>
      <c r="O50">
        <v>1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3">
      <c r="A51" s="7" t="s">
        <v>97</v>
      </c>
      <c r="B51" s="33" t="s">
        <v>66</v>
      </c>
      <c r="C51" s="33" t="s">
        <v>12</v>
      </c>
      <c r="D51" s="11" t="s">
        <v>95</v>
      </c>
      <c r="E51" s="11" t="s">
        <v>96</v>
      </c>
      <c r="F51" s="66">
        <v>43435</v>
      </c>
      <c r="G51" s="66">
        <v>43646</v>
      </c>
      <c r="H51" s="3" t="str">
        <f t="shared" si="0"/>
        <v>ODD</v>
      </c>
      <c r="I51" s="101">
        <v>0</v>
      </c>
      <c r="J51" s="32" t="str">
        <f>UPPER(TEXT(F51,"mmm")) &amp; " - " &amp; UPPER(TEXT(G51,"mmm"))</f>
        <v>DEC - JUN</v>
      </c>
      <c r="K51" s="32" t="s">
        <v>15</v>
      </c>
      <c r="L51" s="32" t="s">
        <v>16</v>
      </c>
      <c r="M51" s="32" t="str">
        <f t="shared" si="1"/>
        <v>No</v>
      </c>
      <c r="N51" s="32">
        <f>G51 - F51</f>
        <v>211</v>
      </c>
      <c r="O51">
        <v>1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7" x14ac:dyDescent="0.3">
      <c r="A52" s="7" t="s">
        <v>98</v>
      </c>
      <c r="B52" s="33" t="s">
        <v>66</v>
      </c>
      <c r="C52" s="33" t="s">
        <v>12</v>
      </c>
      <c r="D52" s="11" t="s">
        <v>99</v>
      </c>
      <c r="E52" s="11" t="s">
        <v>100</v>
      </c>
      <c r="F52" s="66">
        <v>43466</v>
      </c>
      <c r="G52" s="66">
        <v>43556</v>
      </c>
      <c r="H52" s="3" t="str">
        <f t="shared" si="0"/>
        <v>EVEN</v>
      </c>
      <c r="I52" s="101">
        <v>0</v>
      </c>
      <c r="J52" s="32" t="str">
        <f>UPPER(TEXT(F52,"mmm")) &amp; " - " &amp; UPPER(TEXT(G52,"mmm"))</f>
        <v>JAN - APR</v>
      </c>
      <c r="K52" s="32" t="s">
        <v>15</v>
      </c>
      <c r="L52" s="32" t="s">
        <v>16</v>
      </c>
      <c r="M52" s="32" t="str">
        <f t="shared" si="1"/>
        <v>No</v>
      </c>
      <c r="N52" s="32">
        <f>G52 - F52</f>
        <v>90</v>
      </c>
      <c r="O52">
        <v>1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7" x14ac:dyDescent="0.3">
      <c r="A53" s="7" t="s">
        <v>101</v>
      </c>
      <c r="B53" s="33" t="s">
        <v>66</v>
      </c>
      <c r="C53" s="33" t="s">
        <v>12</v>
      </c>
      <c r="D53" s="11" t="s">
        <v>99</v>
      </c>
      <c r="E53" s="11" t="s">
        <v>100</v>
      </c>
      <c r="F53" s="66">
        <v>43466</v>
      </c>
      <c r="G53" s="66">
        <v>43556</v>
      </c>
      <c r="H53" s="3" t="str">
        <f t="shared" si="0"/>
        <v>EVEN</v>
      </c>
      <c r="I53" s="101">
        <v>0</v>
      </c>
      <c r="J53" s="32" t="str">
        <f>UPPER(TEXT(F53,"mmm")) &amp; " - " &amp; UPPER(TEXT(G53,"mmm"))</f>
        <v>JAN - APR</v>
      </c>
      <c r="K53" s="32" t="s">
        <v>15</v>
      </c>
      <c r="L53" s="32" t="s">
        <v>16</v>
      </c>
      <c r="M53" s="32" t="str">
        <f t="shared" si="1"/>
        <v>No</v>
      </c>
      <c r="N53" s="32">
        <f>G53 - F53</f>
        <v>90</v>
      </c>
      <c r="O53">
        <v>1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40.200000000000003" x14ac:dyDescent="0.3">
      <c r="A54" s="7" t="s">
        <v>102</v>
      </c>
      <c r="B54" s="33" t="s">
        <v>66</v>
      </c>
      <c r="C54" s="33" t="s">
        <v>12</v>
      </c>
      <c r="D54" s="11" t="s">
        <v>103</v>
      </c>
      <c r="E54" s="11" t="s">
        <v>104</v>
      </c>
      <c r="F54" s="66">
        <v>43444</v>
      </c>
      <c r="G54" s="66">
        <v>43661</v>
      </c>
      <c r="H54" s="3" t="str">
        <f t="shared" si="0"/>
        <v>ODD</v>
      </c>
      <c r="I54" s="101">
        <v>0</v>
      </c>
      <c r="J54" s="32" t="str">
        <f>UPPER(TEXT(F54,"mmm")) &amp; " - " &amp; UPPER(TEXT(G54,"mmm"))</f>
        <v>DEC - JUL</v>
      </c>
      <c r="K54" s="32" t="s">
        <v>15</v>
      </c>
      <c r="L54" s="32" t="s">
        <v>16</v>
      </c>
      <c r="M54" s="32" t="str">
        <f t="shared" si="1"/>
        <v>No</v>
      </c>
      <c r="N54" s="32">
        <f>G54 - F54</f>
        <v>217</v>
      </c>
      <c r="O54">
        <v>1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40.200000000000003" x14ac:dyDescent="0.3">
      <c r="A55" s="7" t="s">
        <v>105</v>
      </c>
      <c r="B55" s="33" t="s">
        <v>66</v>
      </c>
      <c r="C55" s="33" t="s">
        <v>12</v>
      </c>
      <c r="D55" s="11" t="s">
        <v>103</v>
      </c>
      <c r="E55" s="11" t="s">
        <v>104</v>
      </c>
      <c r="F55" s="66">
        <v>43444</v>
      </c>
      <c r="G55" s="66">
        <v>43661</v>
      </c>
      <c r="H55" s="3" t="str">
        <f t="shared" si="0"/>
        <v>ODD</v>
      </c>
      <c r="I55" s="101">
        <v>0</v>
      </c>
      <c r="J55" s="32" t="str">
        <f>UPPER(TEXT(F55,"mmm")) &amp; " - " &amp; UPPER(TEXT(G55,"mmm"))</f>
        <v>DEC - JUL</v>
      </c>
      <c r="K55" s="32" t="s">
        <v>15</v>
      </c>
      <c r="L55" s="32" t="s">
        <v>16</v>
      </c>
      <c r="M55" s="32" t="str">
        <f t="shared" si="1"/>
        <v>No</v>
      </c>
      <c r="N55" s="32">
        <f>G55 - F55</f>
        <v>217</v>
      </c>
      <c r="O55">
        <v>1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7" x14ac:dyDescent="0.3">
      <c r="A56" s="7" t="s">
        <v>72</v>
      </c>
      <c r="B56" s="33" t="s">
        <v>66</v>
      </c>
      <c r="C56" s="33" t="s">
        <v>12</v>
      </c>
      <c r="D56" s="11" t="s">
        <v>106</v>
      </c>
      <c r="E56" s="12" t="s">
        <v>107</v>
      </c>
      <c r="F56" s="66">
        <v>43466</v>
      </c>
      <c r="G56" s="66">
        <v>43497</v>
      </c>
      <c r="H56" s="3" t="str">
        <f t="shared" si="0"/>
        <v>EVEN</v>
      </c>
      <c r="I56" s="101">
        <v>0</v>
      </c>
      <c r="J56" s="32" t="str">
        <f>UPPER(TEXT(F56,"mmm")) &amp; " - " &amp; UPPER(TEXT(G56,"mmm"))</f>
        <v>JAN - FEB</v>
      </c>
      <c r="K56" s="32" t="s">
        <v>15</v>
      </c>
      <c r="L56" s="32" t="s">
        <v>16</v>
      </c>
      <c r="M56" s="32" t="str">
        <f t="shared" si="1"/>
        <v>No</v>
      </c>
      <c r="N56" s="32">
        <f>G56 - F56</f>
        <v>31</v>
      </c>
      <c r="O56">
        <v>1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7" x14ac:dyDescent="0.3">
      <c r="A57" s="7" t="s">
        <v>75</v>
      </c>
      <c r="B57" s="33" t="s">
        <v>66</v>
      </c>
      <c r="C57" s="33" t="s">
        <v>12</v>
      </c>
      <c r="D57" s="11" t="s">
        <v>106</v>
      </c>
      <c r="E57" s="12" t="s">
        <v>107</v>
      </c>
      <c r="F57" s="66">
        <v>43466</v>
      </c>
      <c r="G57" s="66">
        <v>43497</v>
      </c>
      <c r="H57" s="3" t="str">
        <f t="shared" si="0"/>
        <v>EVEN</v>
      </c>
      <c r="I57" s="101">
        <v>0</v>
      </c>
      <c r="J57" s="32" t="str">
        <f>UPPER(TEXT(F57,"mmm")) &amp; " - " &amp; UPPER(TEXT(G57,"mmm"))</f>
        <v>JAN - FEB</v>
      </c>
      <c r="K57" s="32" t="s">
        <v>15</v>
      </c>
      <c r="L57" s="32" t="s">
        <v>16</v>
      </c>
      <c r="M57" s="32" t="str">
        <f t="shared" si="1"/>
        <v>No</v>
      </c>
      <c r="N57" s="32">
        <f>G57 - F57</f>
        <v>31</v>
      </c>
      <c r="O57">
        <v>1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7" x14ac:dyDescent="0.3">
      <c r="A58" s="7" t="s">
        <v>76</v>
      </c>
      <c r="B58" s="33" t="s">
        <v>66</v>
      </c>
      <c r="C58" s="33" t="s">
        <v>12</v>
      </c>
      <c r="D58" s="11" t="s">
        <v>106</v>
      </c>
      <c r="E58" s="12" t="s">
        <v>107</v>
      </c>
      <c r="F58" s="66">
        <v>43466</v>
      </c>
      <c r="G58" s="66">
        <v>43497</v>
      </c>
      <c r="H58" s="3" t="str">
        <f t="shared" si="0"/>
        <v>EVEN</v>
      </c>
      <c r="I58" s="101">
        <v>0</v>
      </c>
      <c r="J58" s="32" t="str">
        <f>UPPER(TEXT(F58,"mmm")) &amp; " - " &amp; UPPER(TEXT(G58,"mmm"))</f>
        <v>JAN - FEB</v>
      </c>
      <c r="K58" s="32" t="s">
        <v>15</v>
      </c>
      <c r="L58" s="32" t="s">
        <v>16</v>
      </c>
      <c r="M58" s="32" t="str">
        <f t="shared" si="1"/>
        <v>No</v>
      </c>
      <c r="N58" s="32">
        <f>G58 - F58</f>
        <v>31</v>
      </c>
      <c r="O58">
        <v>1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3">
      <c r="A59" s="13" t="s">
        <v>108</v>
      </c>
      <c r="B59" s="19" t="s">
        <v>66</v>
      </c>
      <c r="C59" s="19" t="s">
        <v>12</v>
      </c>
      <c r="D59" s="14" t="s">
        <v>95</v>
      </c>
      <c r="E59" s="14" t="s">
        <v>96</v>
      </c>
      <c r="F59" s="67">
        <v>43435</v>
      </c>
      <c r="G59" s="67">
        <v>43646</v>
      </c>
      <c r="H59" s="3" t="str">
        <f t="shared" si="0"/>
        <v>ODD</v>
      </c>
      <c r="I59" s="101">
        <v>0</v>
      </c>
      <c r="J59" s="32" t="str">
        <f>UPPER(TEXT(F59,"mmm")) &amp; " - " &amp; UPPER(TEXT(G59,"mmm"))</f>
        <v>DEC - JUN</v>
      </c>
      <c r="K59" s="32" t="s">
        <v>15</v>
      </c>
      <c r="L59" s="32" t="s">
        <v>16</v>
      </c>
      <c r="M59" s="32" t="str">
        <f t="shared" si="1"/>
        <v>No</v>
      </c>
      <c r="N59" s="32">
        <f>G59 - F59</f>
        <v>211</v>
      </c>
      <c r="O59">
        <v>1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3">
      <c r="A60" s="13" t="s">
        <v>109</v>
      </c>
      <c r="B60" s="19" t="s">
        <v>66</v>
      </c>
      <c r="C60" s="19" t="s">
        <v>12</v>
      </c>
      <c r="D60" s="14" t="s">
        <v>95</v>
      </c>
      <c r="E60" s="14" t="s">
        <v>96</v>
      </c>
      <c r="F60" s="67">
        <v>43291</v>
      </c>
      <c r="G60" s="67">
        <v>43646</v>
      </c>
      <c r="H60" s="3" t="str">
        <f t="shared" si="0"/>
        <v>ODD</v>
      </c>
      <c r="I60" s="101">
        <v>0</v>
      </c>
      <c r="J60" s="32" t="str">
        <f>UPPER(TEXT(F60,"mmm")) &amp; " - " &amp; UPPER(TEXT(G60,"mmm"))</f>
        <v>JUL - JUN</v>
      </c>
      <c r="K60" s="32" t="s">
        <v>15</v>
      </c>
      <c r="L60" s="32" t="s">
        <v>16</v>
      </c>
      <c r="M60" s="32" t="str">
        <f t="shared" si="1"/>
        <v>No</v>
      </c>
      <c r="N60" s="32">
        <f>G60 - F60</f>
        <v>355</v>
      </c>
      <c r="O60">
        <v>1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7" x14ac:dyDescent="0.3">
      <c r="A61" s="17" t="s">
        <v>110</v>
      </c>
      <c r="B61" s="34" t="s">
        <v>66</v>
      </c>
      <c r="C61" s="34" t="s">
        <v>12</v>
      </c>
      <c r="D61" s="18" t="s">
        <v>111</v>
      </c>
      <c r="E61" s="18" t="s">
        <v>112</v>
      </c>
      <c r="F61" s="68">
        <v>43497</v>
      </c>
      <c r="G61" s="68">
        <v>43586</v>
      </c>
      <c r="H61" s="3" t="str">
        <f t="shared" si="0"/>
        <v>EVEN</v>
      </c>
      <c r="I61" s="101">
        <v>0</v>
      </c>
      <c r="J61" s="32" t="str">
        <f>UPPER(TEXT(F61,"mmm")) &amp; " - " &amp; UPPER(TEXT(G61,"mmm"))</f>
        <v>FEB - MAY</v>
      </c>
      <c r="K61" s="32" t="s">
        <v>15</v>
      </c>
      <c r="L61" s="32" t="s">
        <v>16</v>
      </c>
      <c r="M61" s="32" t="str">
        <f t="shared" si="1"/>
        <v>No</v>
      </c>
      <c r="N61" s="32">
        <f>G61 - F61</f>
        <v>89</v>
      </c>
      <c r="O61">
        <v>1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7" x14ac:dyDescent="0.3">
      <c r="A62" s="17" t="s">
        <v>113</v>
      </c>
      <c r="B62" s="34" t="s">
        <v>66</v>
      </c>
      <c r="C62" s="34" t="s">
        <v>12</v>
      </c>
      <c r="D62" s="18" t="s">
        <v>111</v>
      </c>
      <c r="E62" s="18" t="s">
        <v>112</v>
      </c>
      <c r="F62" s="68">
        <v>43497</v>
      </c>
      <c r="G62" s="68">
        <v>43586</v>
      </c>
      <c r="H62" s="3" t="str">
        <f t="shared" si="0"/>
        <v>EVEN</v>
      </c>
      <c r="I62" s="101">
        <v>0</v>
      </c>
      <c r="J62" s="32" t="str">
        <f>UPPER(TEXT(F62,"mmm")) &amp; " - " &amp; UPPER(TEXT(G62,"mmm"))</f>
        <v>FEB - MAY</v>
      </c>
      <c r="K62" s="32" t="s">
        <v>15</v>
      </c>
      <c r="L62" s="32" t="s">
        <v>16</v>
      </c>
      <c r="M62" s="32" t="str">
        <f t="shared" si="1"/>
        <v>No</v>
      </c>
      <c r="N62" s="32">
        <f>G62 - F62</f>
        <v>89</v>
      </c>
      <c r="O62">
        <v>1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7" x14ac:dyDescent="0.3">
      <c r="A63" s="17" t="s">
        <v>114</v>
      </c>
      <c r="B63" s="34" t="s">
        <v>66</v>
      </c>
      <c r="C63" s="34" t="s">
        <v>12</v>
      </c>
      <c r="D63" s="18" t="s">
        <v>111</v>
      </c>
      <c r="E63" s="18" t="s">
        <v>112</v>
      </c>
      <c r="F63" s="68">
        <v>43497</v>
      </c>
      <c r="G63" s="68">
        <v>43586</v>
      </c>
      <c r="H63" s="3" t="str">
        <f t="shared" si="0"/>
        <v>EVEN</v>
      </c>
      <c r="I63" s="101">
        <v>0</v>
      </c>
      <c r="J63" s="32" t="str">
        <f>UPPER(TEXT(F63,"mmm")) &amp; " - " &amp; UPPER(TEXT(G63,"mmm"))</f>
        <v>FEB - MAY</v>
      </c>
      <c r="K63" s="32" t="s">
        <v>15</v>
      </c>
      <c r="L63" s="32" t="s">
        <v>16</v>
      </c>
      <c r="M63" s="32" t="str">
        <f t="shared" si="1"/>
        <v>No</v>
      </c>
      <c r="N63" s="32">
        <f>G63 - F63</f>
        <v>89</v>
      </c>
      <c r="O63">
        <v>1</v>
      </c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53.4" x14ac:dyDescent="0.3">
      <c r="A64" s="13" t="s">
        <v>115</v>
      </c>
      <c r="B64" s="19" t="s">
        <v>66</v>
      </c>
      <c r="C64" s="19" t="s">
        <v>12</v>
      </c>
      <c r="D64" s="14" t="s">
        <v>116</v>
      </c>
      <c r="E64" s="14" t="s">
        <v>117</v>
      </c>
      <c r="F64" s="67">
        <v>43466</v>
      </c>
      <c r="G64" s="67">
        <v>43646</v>
      </c>
      <c r="H64" s="3" t="str">
        <f t="shared" si="0"/>
        <v>EVEN</v>
      </c>
      <c r="I64" s="101">
        <v>0</v>
      </c>
      <c r="J64" s="32" t="str">
        <f>UPPER(TEXT(F64,"mmm")) &amp; " - " &amp; UPPER(TEXT(G64,"mmm"))</f>
        <v>JAN - JUN</v>
      </c>
      <c r="K64" s="32" t="s">
        <v>15</v>
      </c>
      <c r="L64" s="32" t="s">
        <v>16</v>
      </c>
      <c r="M64" s="32" t="str">
        <f t="shared" si="1"/>
        <v>No</v>
      </c>
      <c r="N64" s="32">
        <f>G64 - F64</f>
        <v>180</v>
      </c>
      <c r="O64">
        <v>1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7" x14ac:dyDescent="0.3">
      <c r="A65" s="13" t="s">
        <v>58</v>
      </c>
      <c r="B65" s="19" t="s">
        <v>78</v>
      </c>
      <c r="C65" s="19" t="s">
        <v>12</v>
      </c>
      <c r="D65" s="14" t="s">
        <v>118</v>
      </c>
      <c r="E65" s="14" t="s">
        <v>119</v>
      </c>
      <c r="F65" s="67">
        <v>43617</v>
      </c>
      <c r="G65" s="67">
        <v>43800</v>
      </c>
      <c r="H65" s="3" t="str">
        <f t="shared" si="0"/>
        <v>EVEN</v>
      </c>
      <c r="I65" s="101">
        <v>0</v>
      </c>
      <c r="J65" s="32" t="str">
        <f>UPPER(TEXT(F65,"mmm")) &amp; " - " &amp; UPPER(TEXT(G65,"mmm"))</f>
        <v>JUN - DEC</v>
      </c>
      <c r="K65" s="32" t="s">
        <v>15</v>
      </c>
      <c r="L65" s="32" t="s">
        <v>16</v>
      </c>
      <c r="M65" s="32" t="str">
        <f t="shared" si="1"/>
        <v>No</v>
      </c>
      <c r="N65" s="32">
        <f>G65 - F65</f>
        <v>183</v>
      </c>
      <c r="O65">
        <v>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3">
      <c r="A66" s="8" t="s">
        <v>120</v>
      </c>
      <c r="B66" s="10" t="s">
        <v>78</v>
      </c>
      <c r="C66" s="10" t="s">
        <v>12</v>
      </c>
      <c r="D66" s="9" t="s">
        <v>121</v>
      </c>
      <c r="E66" s="9" t="s">
        <v>122</v>
      </c>
      <c r="F66" s="65">
        <v>43617</v>
      </c>
      <c r="G66" s="65">
        <v>43708</v>
      </c>
      <c r="H66" s="3" t="str">
        <f t="shared" si="0"/>
        <v>EVEN</v>
      </c>
      <c r="I66" s="101">
        <v>0</v>
      </c>
      <c r="J66" s="32" t="str">
        <f>UPPER(TEXT(F66,"mmm")) &amp; " - " &amp; UPPER(TEXT(G66,"mmm"))</f>
        <v>JUN - AUG</v>
      </c>
      <c r="K66" s="32" t="s">
        <v>15</v>
      </c>
      <c r="L66" s="32" t="s">
        <v>16</v>
      </c>
      <c r="M66" s="32" t="str">
        <f t="shared" si="1"/>
        <v>No</v>
      </c>
      <c r="N66" s="32">
        <f>G66 - F66</f>
        <v>91</v>
      </c>
      <c r="O66">
        <v>1</v>
      </c>
    </row>
    <row r="67" spans="1:26" ht="27" x14ac:dyDescent="0.3">
      <c r="A67" s="7" t="s">
        <v>123</v>
      </c>
      <c r="B67" s="33" t="s">
        <v>78</v>
      </c>
      <c r="C67" s="33" t="s">
        <v>12</v>
      </c>
      <c r="D67" s="11" t="s">
        <v>46</v>
      </c>
      <c r="E67" s="11" t="s">
        <v>47</v>
      </c>
      <c r="F67" s="66">
        <v>43641</v>
      </c>
      <c r="G67" s="66">
        <v>43661</v>
      </c>
      <c r="H67" s="3" t="str">
        <f t="shared" ref="H67:H117" si="2">IF((AND(F67&gt;=DATE(2018,6,1),F67&lt;=DATE(2018,12,31))),"ODD", "EVEN")</f>
        <v>EVEN</v>
      </c>
      <c r="I67" s="101">
        <v>0</v>
      </c>
      <c r="J67" s="32" t="str">
        <f>UPPER(TEXT(F67,"mmm")) &amp; " - " &amp; UPPER(TEXT(G67,"mmm"))</f>
        <v>JUN - JUL</v>
      </c>
      <c r="K67" s="32" t="s">
        <v>15</v>
      </c>
      <c r="L67" s="32" t="s">
        <v>16</v>
      </c>
      <c r="M67" s="32" t="str">
        <f t="shared" ref="M67:M130" si="3">IF(I67 &gt; 0, "Yes", "No")</f>
        <v>No</v>
      </c>
      <c r="N67" s="32">
        <f>G67 - F67</f>
        <v>20</v>
      </c>
      <c r="O67">
        <v>1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7" x14ac:dyDescent="0.3">
      <c r="A68" s="7" t="s">
        <v>124</v>
      </c>
      <c r="B68" s="33" t="s">
        <v>78</v>
      </c>
      <c r="C68" s="33" t="s">
        <v>12</v>
      </c>
      <c r="D68" s="11" t="s">
        <v>46</v>
      </c>
      <c r="E68" s="11" t="s">
        <v>47</v>
      </c>
      <c r="F68" s="66">
        <v>43641</v>
      </c>
      <c r="G68" s="66">
        <v>43661</v>
      </c>
      <c r="H68" s="3" t="str">
        <f t="shared" si="2"/>
        <v>EVEN</v>
      </c>
      <c r="I68" s="101">
        <v>0</v>
      </c>
      <c r="J68" s="32" t="str">
        <f>UPPER(TEXT(F68,"mmm")) &amp; " - " &amp; UPPER(TEXT(G68,"mmm"))</f>
        <v>JUN - JUL</v>
      </c>
      <c r="K68" s="32" t="s">
        <v>15</v>
      </c>
      <c r="L68" s="32" t="s">
        <v>16</v>
      </c>
      <c r="M68" s="32" t="str">
        <f t="shared" si="3"/>
        <v>No</v>
      </c>
      <c r="N68" s="32">
        <f>G68 - F68</f>
        <v>20</v>
      </c>
      <c r="O68">
        <v>1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">
      <c r="A69" s="8" t="s">
        <v>125</v>
      </c>
      <c r="B69" s="10" t="s">
        <v>66</v>
      </c>
      <c r="C69" s="10" t="s">
        <v>12</v>
      </c>
      <c r="D69" s="8" t="s">
        <v>126</v>
      </c>
      <c r="E69" s="9" t="s">
        <v>127</v>
      </c>
      <c r="F69" s="65">
        <v>43619</v>
      </c>
      <c r="G69" s="65">
        <v>43644</v>
      </c>
      <c r="H69" s="3" t="str">
        <f t="shared" si="2"/>
        <v>EVEN</v>
      </c>
      <c r="I69" s="101">
        <v>0</v>
      </c>
      <c r="J69" s="32" t="str">
        <f>UPPER(TEXT(F69,"mmm")) &amp; " - " &amp; UPPER(TEXT(G69,"mmm"))</f>
        <v>JUN - JUN</v>
      </c>
      <c r="K69" s="32" t="s">
        <v>15</v>
      </c>
      <c r="L69" s="32" t="s">
        <v>16</v>
      </c>
      <c r="M69" s="32" t="str">
        <f t="shared" si="3"/>
        <v>No</v>
      </c>
      <c r="N69" s="32">
        <f>G69 - F69</f>
        <v>25</v>
      </c>
      <c r="O69">
        <v>1</v>
      </c>
    </row>
    <row r="70" spans="1:26" ht="40.200000000000003" x14ac:dyDescent="0.3">
      <c r="A70" s="8" t="s">
        <v>128</v>
      </c>
      <c r="B70" s="10" t="s">
        <v>70</v>
      </c>
      <c r="C70" s="10" t="s">
        <v>12</v>
      </c>
      <c r="D70" s="8" t="s">
        <v>129</v>
      </c>
      <c r="E70" s="9" t="s">
        <v>130</v>
      </c>
      <c r="F70" s="65">
        <v>43252</v>
      </c>
      <c r="G70" s="65">
        <v>43617</v>
      </c>
      <c r="H70" s="3" t="str">
        <f t="shared" si="2"/>
        <v>ODD</v>
      </c>
      <c r="I70" s="101">
        <v>0</v>
      </c>
      <c r="J70" s="32" t="str">
        <f>UPPER(TEXT(F70,"mmm")) &amp; " - " &amp; UPPER(TEXT(G70,"mmm"))</f>
        <v>JUN - JUN</v>
      </c>
      <c r="K70" s="32" t="s">
        <v>15</v>
      </c>
      <c r="L70" s="32" t="s">
        <v>16</v>
      </c>
      <c r="M70" s="32" t="str">
        <f t="shared" si="3"/>
        <v>No</v>
      </c>
      <c r="N70" s="32">
        <f>G70 - F70</f>
        <v>365</v>
      </c>
      <c r="O70">
        <v>1</v>
      </c>
    </row>
    <row r="71" spans="1:26" ht="40.200000000000003" x14ac:dyDescent="0.3">
      <c r="A71" s="8" t="s">
        <v>131</v>
      </c>
      <c r="B71" s="10" t="s">
        <v>66</v>
      </c>
      <c r="C71" s="10" t="s">
        <v>12</v>
      </c>
      <c r="D71" s="8" t="s">
        <v>129</v>
      </c>
      <c r="E71" s="9" t="s">
        <v>130</v>
      </c>
      <c r="F71" s="65">
        <v>43252</v>
      </c>
      <c r="G71" s="65">
        <v>43617</v>
      </c>
      <c r="H71" s="3" t="str">
        <f t="shared" si="2"/>
        <v>ODD</v>
      </c>
      <c r="I71" s="101">
        <v>0</v>
      </c>
      <c r="J71" s="32" t="str">
        <f>UPPER(TEXT(F71,"mmm")) &amp; " - " &amp; UPPER(TEXT(G71,"mmm"))</f>
        <v>JUN - JUN</v>
      </c>
      <c r="K71" s="32" t="s">
        <v>15</v>
      </c>
      <c r="L71" s="32" t="s">
        <v>16</v>
      </c>
      <c r="M71" s="32" t="str">
        <f t="shared" si="3"/>
        <v>No</v>
      </c>
      <c r="N71" s="32">
        <f>G71 - F71</f>
        <v>365</v>
      </c>
      <c r="O71">
        <v>1</v>
      </c>
    </row>
    <row r="72" spans="1:26" ht="40.200000000000003" x14ac:dyDescent="0.3">
      <c r="A72" s="20" t="s">
        <v>132</v>
      </c>
      <c r="B72" s="35" t="s">
        <v>70</v>
      </c>
      <c r="C72" s="35" t="s">
        <v>12</v>
      </c>
      <c r="D72" s="20" t="s">
        <v>129</v>
      </c>
      <c r="E72" s="21" t="s">
        <v>130</v>
      </c>
      <c r="F72" s="69">
        <v>43252</v>
      </c>
      <c r="G72" s="69">
        <v>43617</v>
      </c>
      <c r="H72" s="3" t="str">
        <f t="shared" si="2"/>
        <v>ODD</v>
      </c>
      <c r="I72" s="101">
        <v>0</v>
      </c>
      <c r="J72" s="32" t="str">
        <f>UPPER(TEXT(F72,"mmm")) &amp; " - " &amp; UPPER(TEXT(G72,"mmm"))</f>
        <v>JUN - JUN</v>
      </c>
      <c r="K72" s="32" t="s">
        <v>15</v>
      </c>
      <c r="L72" s="32" t="s">
        <v>16</v>
      </c>
      <c r="M72" s="32" t="str">
        <f t="shared" si="3"/>
        <v>No</v>
      </c>
      <c r="N72" s="32">
        <f>G72 - F72</f>
        <v>365</v>
      </c>
      <c r="O72">
        <v>1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27" x14ac:dyDescent="0.3">
      <c r="A73" s="7" t="s">
        <v>133</v>
      </c>
      <c r="B73" s="33" t="s">
        <v>78</v>
      </c>
      <c r="C73" s="33" t="s">
        <v>12</v>
      </c>
      <c r="D73" s="11" t="s">
        <v>46</v>
      </c>
      <c r="E73" s="11" t="s">
        <v>47</v>
      </c>
      <c r="F73" s="66">
        <v>43641</v>
      </c>
      <c r="G73" s="66">
        <v>43661</v>
      </c>
      <c r="H73" s="3" t="str">
        <f t="shared" si="2"/>
        <v>EVEN</v>
      </c>
      <c r="I73" s="101">
        <v>0</v>
      </c>
      <c r="J73" s="32" t="str">
        <f>UPPER(TEXT(F73,"mmm")) &amp; " - " &amp; UPPER(TEXT(G73,"mmm"))</f>
        <v>JUN - JUL</v>
      </c>
      <c r="K73" s="32" t="s">
        <v>15</v>
      </c>
      <c r="L73" s="32" t="s">
        <v>16</v>
      </c>
      <c r="M73" s="32" t="str">
        <f t="shared" si="3"/>
        <v>No</v>
      </c>
      <c r="N73" s="32">
        <f>G73 - F73</f>
        <v>20</v>
      </c>
      <c r="O73">
        <v>1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7" x14ac:dyDescent="0.3">
      <c r="A74" s="7" t="s">
        <v>134</v>
      </c>
      <c r="B74" s="33" t="s">
        <v>78</v>
      </c>
      <c r="C74" s="33" t="s">
        <v>12</v>
      </c>
      <c r="D74" s="11" t="s">
        <v>135</v>
      </c>
      <c r="E74" s="11" t="s">
        <v>136</v>
      </c>
      <c r="F74" s="66">
        <v>43617</v>
      </c>
      <c r="G74" s="66">
        <v>43708</v>
      </c>
      <c r="H74" s="3" t="str">
        <f t="shared" si="2"/>
        <v>EVEN</v>
      </c>
      <c r="I74" s="101">
        <v>0</v>
      </c>
      <c r="J74" s="32" t="str">
        <f>UPPER(TEXT(F74,"mmm")) &amp; " - " &amp; UPPER(TEXT(G74,"mmm"))</f>
        <v>JUN - AUG</v>
      </c>
      <c r="K74" s="32" t="s">
        <v>15</v>
      </c>
      <c r="L74" s="32" t="s">
        <v>16</v>
      </c>
      <c r="M74" s="32" t="str">
        <f t="shared" si="3"/>
        <v>No</v>
      </c>
      <c r="N74" s="32">
        <f>G74 - F74</f>
        <v>91</v>
      </c>
      <c r="O74">
        <v>1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">
      <c r="A75" s="7" t="s">
        <v>137</v>
      </c>
      <c r="B75" s="33" t="s">
        <v>70</v>
      </c>
      <c r="C75" s="33" t="s">
        <v>12</v>
      </c>
      <c r="D75" s="11" t="s">
        <v>138</v>
      </c>
      <c r="E75" s="11" t="s">
        <v>139</v>
      </c>
      <c r="F75" s="66">
        <v>43623</v>
      </c>
      <c r="G75" s="66">
        <v>43668</v>
      </c>
      <c r="H75" s="3" t="str">
        <f t="shared" si="2"/>
        <v>EVEN</v>
      </c>
      <c r="I75" s="101">
        <v>0</v>
      </c>
      <c r="J75" s="32" t="str">
        <f>UPPER(TEXT(F75,"mmm")) &amp; " - " &amp; UPPER(TEXT(G75,"mmm"))</f>
        <v>JUN - JUL</v>
      </c>
      <c r="K75" s="32" t="s">
        <v>15</v>
      </c>
      <c r="L75" s="32" t="s">
        <v>16</v>
      </c>
      <c r="M75" s="32" t="str">
        <f t="shared" si="3"/>
        <v>No</v>
      </c>
      <c r="N75" s="32">
        <f>G75 - F75</f>
        <v>45</v>
      </c>
      <c r="O75">
        <v>1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3">
      <c r="A76" s="7" t="s">
        <v>140</v>
      </c>
      <c r="B76" s="33" t="s">
        <v>70</v>
      </c>
      <c r="C76" s="33" t="s">
        <v>12</v>
      </c>
      <c r="D76" s="11" t="s">
        <v>138</v>
      </c>
      <c r="E76" s="11" t="s">
        <v>139</v>
      </c>
      <c r="F76" s="66">
        <v>43623</v>
      </c>
      <c r="G76" s="66">
        <v>43668</v>
      </c>
      <c r="H76" s="3" t="str">
        <f t="shared" si="2"/>
        <v>EVEN</v>
      </c>
      <c r="I76" s="101">
        <v>0</v>
      </c>
      <c r="J76" s="32" t="str">
        <f>UPPER(TEXT(F76,"mmm")) &amp; " - " &amp; UPPER(TEXT(G76,"mmm"))</f>
        <v>JUN - JUL</v>
      </c>
      <c r="K76" s="32" t="s">
        <v>15</v>
      </c>
      <c r="L76" s="32" t="s">
        <v>16</v>
      </c>
      <c r="M76" s="32" t="str">
        <f t="shared" si="3"/>
        <v>No</v>
      </c>
      <c r="N76" s="32">
        <f>G76 - F76</f>
        <v>45</v>
      </c>
      <c r="O76">
        <v>1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7" x14ac:dyDescent="0.3">
      <c r="A77" s="7" t="s">
        <v>141</v>
      </c>
      <c r="B77" s="33" t="s">
        <v>66</v>
      </c>
      <c r="C77" s="33" t="s">
        <v>12</v>
      </c>
      <c r="D77" s="11" t="s">
        <v>142</v>
      </c>
      <c r="E77" s="11" t="s">
        <v>143</v>
      </c>
      <c r="F77" s="66">
        <v>43631</v>
      </c>
      <c r="G77" s="66">
        <v>43677</v>
      </c>
      <c r="H77" s="3" t="str">
        <f t="shared" si="2"/>
        <v>EVEN</v>
      </c>
      <c r="I77" s="101">
        <v>0</v>
      </c>
      <c r="J77" s="32" t="str">
        <f>UPPER(TEXT(F77,"mmm")) &amp; " - " &amp; UPPER(TEXT(G77,"mmm"))</f>
        <v>JUN - JUL</v>
      </c>
      <c r="K77" s="32" t="s">
        <v>15</v>
      </c>
      <c r="L77" s="32" t="s">
        <v>16</v>
      </c>
      <c r="M77" s="32" t="str">
        <f t="shared" si="3"/>
        <v>No</v>
      </c>
      <c r="N77" s="32">
        <f>G77 - F77</f>
        <v>46</v>
      </c>
      <c r="O77">
        <v>1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7" x14ac:dyDescent="0.3">
      <c r="A78" s="7" t="s">
        <v>144</v>
      </c>
      <c r="B78" s="33" t="s">
        <v>66</v>
      </c>
      <c r="C78" s="33" t="s">
        <v>12</v>
      </c>
      <c r="D78" s="11" t="s">
        <v>142</v>
      </c>
      <c r="E78" s="11" t="s">
        <v>143</v>
      </c>
      <c r="F78" s="66">
        <v>43631</v>
      </c>
      <c r="G78" s="66">
        <v>43677</v>
      </c>
      <c r="H78" s="3" t="str">
        <f t="shared" si="2"/>
        <v>EVEN</v>
      </c>
      <c r="I78" s="101">
        <v>0</v>
      </c>
      <c r="J78" s="32" t="str">
        <f>UPPER(TEXT(F78,"mmm")) &amp; " - " &amp; UPPER(TEXT(G78,"mmm"))</f>
        <v>JUN - JUL</v>
      </c>
      <c r="K78" s="32" t="s">
        <v>15</v>
      </c>
      <c r="L78" s="32" t="s">
        <v>16</v>
      </c>
      <c r="M78" s="32" t="str">
        <f t="shared" si="3"/>
        <v>No</v>
      </c>
      <c r="N78" s="32">
        <f>G78 - F78</f>
        <v>46</v>
      </c>
      <c r="O78">
        <v>1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7" x14ac:dyDescent="0.3">
      <c r="A79" s="7" t="s">
        <v>145</v>
      </c>
      <c r="B79" s="33" t="s">
        <v>66</v>
      </c>
      <c r="C79" s="33" t="s">
        <v>12</v>
      </c>
      <c r="D79" s="11" t="s">
        <v>142</v>
      </c>
      <c r="E79" s="11" t="s">
        <v>143</v>
      </c>
      <c r="F79" s="66">
        <v>43631</v>
      </c>
      <c r="G79" s="66">
        <v>43677</v>
      </c>
      <c r="H79" s="3" t="str">
        <f t="shared" si="2"/>
        <v>EVEN</v>
      </c>
      <c r="I79" s="101">
        <v>0</v>
      </c>
      <c r="J79" s="32" t="str">
        <f>UPPER(TEXT(F79,"mmm")) &amp; " - " &amp; UPPER(TEXT(G79,"mmm"))</f>
        <v>JUN - JUL</v>
      </c>
      <c r="K79" s="32" t="s">
        <v>15</v>
      </c>
      <c r="L79" s="32" t="s">
        <v>16</v>
      </c>
      <c r="M79" s="32" t="str">
        <f t="shared" si="3"/>
        <v>No</v>
      </c>
      <c r="N79" s="32">
        <f>G79 - F79</f>
        <v>46</v>
      </c>
      <c r="O79">
        <v>1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7" x14ac:dyDescent="0.3">
      <c r="A80" s="7" t="s">
        <v>146</v>
      </c>
      <c r="B80" s="33" t="s">
        <v>78</v>
      </c>
      <c r="C80" s="33" t="s">
        <v>12</v>
      </c>
      <c r="D80" s="11" t="s">
        <v>147</v>
      </c>
      <c r="E80" s="11" t="s">
        <v>148</v>
      </c>
      <c r="F80" s="66">
        <v>43619</v>
      </c>
      <c r="G80" s="66">
        <v>43644</v>
      </c>
      <c r="H80" s="3" t="str">
        <f t="shared" si="2"/>
        <v>EVEN</v>
      </c>
      <c r="I80" s="101">
        <v>0</v>
      </c>
      <c r="J80" s="32" t="str">
        <f>UPPER(TEXT(F80,"mmm")) &amp; " - " &amp; UPPER(TEXT(G80,"mmm"))</f>
        <v>JUN - JUN</v>
      </c>
      <c r="K80" s="32" t="s">
        <v>15</v>
      </c>
      <c r="L80" s="32" t="s">
        <v>16</v>
      </c>
      <c r="M80" s="32" t="str">
        <f t="shared" si="3"/>
        <v>No</v>
      </c>
      <c r="N80" s="32">
        <f>G80 - F80</f>
        <v>25</v>
      </c>
      <c r="O80">
        <v>1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">
      <c r="A81" s="8" t="s">
        <v>149</v>
      </c>
      <c r="B81" s="10" t="s">
        <v>78</v>
      </c>
      <c r="C81" s="10" t="s">
        <v>12</v>
      </c>
      <c r="D81" s="9" t="s">
        <v>150</v>
      </c>
      <c r="E81" s="9" t="s">
        <v>151</v>
      </c>
      <c r="F81" s="65">
        <v>43617</v>
      </c>
      <c r="G81" s="65">
        <v>43708</v>
      </c>
      <c r="H81" s="3" t="str">
        <f t="shared" si="2"/>
        <v>EVEN</v>
      </c>
      <c r="I81" s="101">
        <v>0</v>
      </c>
      <c r="J81" s="32" t="str">
        <f>UPPER(TEXT(F81,"mmm")) &amp; " - " &amp; UPPER(TEXT(G81,"mmm"))</f>
        <v>JUN - AUG</v>
      </c>
      <c r="K81" s="32" t="s">
        <v>15</v>
      </c>
      <c r="L81" s="32" t="s">
        <v>16</v>
      </c>
      <c r="M81" s="32" t="str">
        <f t="shared" si="3"/>
        <v>No</v>
      </c>
      <c r="N81" s="32">
        <f>G81 - F81</f>
        <v>91</v>
      </c>
      <c r="O81">
        <v>1</v>
      </c>
    </row>
    <row r="82" spans="1:26" ht="27" x14ac:dyDescent="0.3">
      <c r="A82" s="7" t="s">
        <v>152</v>
      </c>
      <c r="B82" s="33" t="s">
        <v>66</v>
      </c>
      <c r="C82" s="33" t="s">
        <v>12</v>
      </c>
      <c r="D82" s="11" t="s">
        <v>153</v>
      </c>
      <c r="E82" s="11" t="s">
        <v>154</v>
      </c>
      <c r="F82" s="66">
        <v>43619</v>
      </c>
      <c r="G82" s="66">
        <v>43648</v>
      </c>
      <c r="H82" s="3" t="str">
        <f t="shared" si="2"/>
        <v>EVEN</v>
      </c>
      <c r="I82" s="101">
        <v>0</v>
      </c>
      <c r="J82" s="32" t="str">
        <f>UPPER(TEXT(F82,"mmm")) &amp; " - " &amp; UPPER(TEXT(G82,"mmm"))</f>
        <v>JUN - JUL</v>
      </c>
      <c r="K82" s="32" t="s">
        <v>15</v>
      </c>
      <c r="L82" s="32" t="s">
        <v>16</v>
      </c>
      <c r="M82" s="32" t="str">
        <f t="shared" si="3"/>
        <v>No</v>
      </c>
      <c r="N82" s="32">
        <f>G82 - F82</f>
        <v>29</v>
      </c>
      <c r="O82">
        <v>1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7" x14ac:dyDescent="0.3">
      <c r="A83" s="7" t="s">
        <v>155</v>
      </c>
      <c r="B83" s="33" t="s">
        <v>66</v>
      </c>
      <c r="C83" s="33" t="s">
        <v>12</v>
      </c>
      <c r="D83" s="11" t="s">
        <v>153</v>
      </c>
      <c r="E83" s="11" t="s">
        <v>154</v>
      </c>
      <c r="F83" s="66">
        <v>43619</v>
      </c>
      <c r="G83" s="66">
        <v>43648</v>
      </c>
      <c r="H83" s="3" t="str">
        <f t="shared" si="2"/>
        <v>EVEN</v>
      </c>
      <c r="I83" s="101">
        <v>0</v>
      </c>
      <c r="J83" s="32" t="str">
        <f>UPPER(TEXT(F83,"mmm")) &amp; " - " &amp; UPPER(TEXT(G83,"mmm"))</f>
        <v>JUN - JUL</v>
      </c>
      <c r="K83" s="32" t="s">
        <v>15</v>
      </c>
      <c r="L83" s="32" t="s">
        <v>16</v>
      </c>
      <c r="M83" s="32" t="str">
        <f t="shared" si="3"/>
        <v>No</v>
      </c>
      <c r="N83" s="32">
        <f>G83 - F83</f>
        <v>29</v>
      </c>
      <c r="O83">
        <v>1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7" x14ac:dyDescent="0.3">
      <c r="A84" s="7" t="s">
        <v>156</v>
      </c>
      <c r="B84" s="33" t="s">
        <v>66</v>
      </c>
      <c r="C84" s="33" t="s">
        <v>12</v>
      </c>
      <c r="D84" s="11" t="s">
        <v>153</v>
      </c>
      <c r="E84" s="11" t="s">
        <v>154</v>
      </c>
      <c r="F84" s="66">
        <v>43619</v>
      </c>
      <c r="G84" s="66">
        <v>43648</v>
      </c>
      <c r="H84" s="3" t="str">
        <f t="shared" si="2"/>
        <v>EVEN</v>
      </c>
      <c r="I84" s="101">
        <v>0</v>
      </c>
      <c r="J84" s="32" t="str">
        <f>UPPER(TEXT(F84,"mmm")) &amp; " - " &amp; UPPER(TEXT(G84,"mmm"))</f>
        <v>JUN - JUL</v>
      </c>
      <c r="K84" s="32" t="s">
        <v>15</v>
      </c>
      <c r="L84" s="32" t="s">
        <v>16</v>
      </c>
      <c r="M84" s="32" t="str">
        <f t="shared" si="3"/>
        <v>No</v>
      </c>
      <c r="N84" s="32">
        <f>G84 - F84</f>
        <v>29</v>
      </c>
      <c r="O84">
        <v>1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7" x14ac:dyDescent="0.3">
      <c r="A85" s="7" t="s">
        <v>157</v>
      </c>
      <c r="B85" s="33" t="s">
        <v>66</v>
      </c>
      <c r="C85" s="33" t="s">
        <v>12</v>
      </c>
      <c r="D85" s="11" t="s">
        <v>153</v>
      </c>
      <c r="E85" s="11" t="s">
        <v>154</v>
      </c>
      <c r="F85" s="66">
        <v>43619</v>
      </c>
      <c r="G85" s="66">
        <v>43648</v>
      </c>
      <c r="H85" s="3" t="str">
        <f t="shared" si="2"/>
        <v>EVEN</v>
      </c>
      <c r="I85" s="101">
        <v>0</v>
      </c>
      <c r="J85" s="32" t="str">
        <f>UPPER(TEXT(F85,"mmm")) &amp; " - " &amp; UPPER(TEXT(G85,"mmm"))</f>
        <v>JUN - JUL</v>
      </c>
      <c r="K85" s="32" t="s">
        <v>15</v>
      </c>
      <c r="L85" s="32" t="s">
        <v>16</v>
      </c>
      <c r="M85" s="32" t="str">
        <f t="shared" si="3"/>
        <v>No</v>
      </c>
      <c r="N85" s="32">
        <f>G85 - F85</f>
        <v>29</v>
      </c>
      <c r="O85">
        <v>1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7" x14ac:dyDescent="0.3">
      <c r="A86" s="8" t="s">
        <v>158</v>
      </c>
      <c r="B86" s="10" t="s">
        <v>78</v>
      </c>
      <c r="C86" s="10" t="s">
        <v>12</v>
      </c>
      <c r="D86" s="9" t="s">
        <v>159</v>
      </c>
      <c r="E86" s="9" t="s">
        <v>160</v>
      </c>
      <c r="F86" s="65">
        <v>43497</v>
      </c>
      <c r="G86" s="65">
        <v>43739</v>
      </c>
      <c r="H86" s="3" t="str">
        <f t="shared" si="2"/>
        <v>EVEN</v>
      </c>
      <c r="I86" s="101">
        <v>0</v>
      </c>
      <c r="J86" s="32" t="str">
        <f>UPPER(TEXT(F86,"mmm")) &amp; " - " &amp; UPPER(TEXT(G86,"mmm"))</f>
        <v>FEB - OCT</v>
      </c>
      <c r="K86" s="32" t="s">
        <v>15</v>
      </c>
      <c r="L86" s="32" t="s">
        <v>16</v>
      </c>
      <c r="M86" s="32" t="str">
        <f t="shared" si="3"/>
        <v>No</v>
      </c>
      <c r="N86" s="32">
        <f>G86 - F86</f>
        <v>242</v>
      </c>
      <c r="O86">
        <v>1</v>
      </c>
    </row>
    <row r="87" spans="1:26" ht="27" x14ac:dyDescent="0.3">
      <c r="A87" s="7" t="s">
        <v>161</v>
      </c>
      <c r="B87" s="33" t="s">
        <v>66</v>
      </c>
      <c r="C87" s="33" t="s">
        <v>12</v>
      </c>
      <c r="D87" s="11" t="s">
        <v>162</v>
      </c>
      <c r="E87" s="11" t="s">
        <v>87</v>
      </c>
      <c r="F87" s="66">
        <v>43466</v>
      </c>
      <c r="G87" s="66">
        <v>43585</v>
      </c>
      <c r="H87" s="3" t="str">
        <f t="shared" si="2"/>
        <v>EVEN</v>
      </c>
      <c r="I87" s="101">
        <v>0</v>
      </c>
      <c r="J87" s="32" t="str">
        <f>UPPER(TEXT(F87,"mmm")) &amp; " - " &amp; UPPER(TEXT(G87,"mmm"))</f>
        <v>JAN - APR</v>
      </c>
      <c r="K87" s="32" t="s">
        <v>15</v>
      </c>
      <c r="L87" s="32" t="s">
        <v>16</v>
      </c>
      <c r="M87" s="32" t="str">
        <f t="shared" si="3"/>
        <v>No</v>
      </c>
      <c r="N87" s="32">
        <f>G87 - F87</f>
        <v>119</v>
      </c>
      <c r="O87">
        <v>1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7" x14ac:dyDescent="0.3">
      <c r="A88" s="7" t="s">
        <v>152</v>
      </c>
      <c r="B88" s="33" t="s">
        <v>66</v>
      </c>
      <c r="C88" s="33" t="s">
        <v>12</v>
      </c>
      <c r="D88" s="11" t="s">
        <v>162</v>
      </c>
      <c r="E88" s="11" t="s">
        <v>87</v>
      </c>
      <c r="F88" s="66">
        <v>43466</v>
      </c>
      <c r="G88" s="66">
        <v>43585</v>
      </c>
      <c r="H88" s="3" t="str">
        <f t="shared" si="2"/>
        <v>EVEN</v>
      </c>
      <c r="I88" s="101">
        <v>0</v>
      </c>
      <c r="J88" s="32" t="str">
        <f>UPPER(TEXT(F88,"mmm")) &amp; " - " &amp; UPPER(TEXT(G88,"mmm"))</f>
        <v>JAN - APR</v>
      </c>
      <c r="K88" s="32" t="s">
        <v>15</v>
      </c>
      <c r="L88" s="32" t="s">
        <v>16</v>
      </c>
      <c r="M88" s="32" t="str">
        <f t="shared" si="3"/>
        <v>No</v>
      </c>
      <c r="N88" s="32">
        <f>G88 - F88</f>
        <v>119</v>
      </c>
      <c r="O88">
        <v>1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7" x14ac:dyDescent="0.3">
      <c r="A89" s="7" t="s">
        <v>155</v>
      </c>
      <c r="B89" s="33" t="s">
        <v>66</v>
      </c>
      <c r="C89" s="33" t="s">
        <v>12</v>
      </c>
      <c r="D89" s="11" t="s">
        <v>162</v>
      </c>
      <c r="E89" s="11" t="s">
        <v>87</v>
      </c>
      <c r="F89" s="66">
        <v>43466</v>
      </c>
      <c r="G89" s="66">
        <v>43585</v>
      </c>
      <c r="H89" s="3" t="str">
        <f t="shared" si="2"/>
        <v>EVEN</v>
      </c>
      <c r="I89" s="101">
        <v>0</v>
      </c>
      <c r="J89" s="32" t="str">
        <f>UPPER(TEXT(F89,"mmm")) &amp; " - " &amp; UPPER(TEXT(G89,"mmm"))</f>
        <v>JAN - APR</v>
      </c>
      <c r="K89" s="32" t="s">
        <v>15</v>
      </c>
      <c r="L89" s="32" t="s">
        <v>16</v>
      </c>
      <c r="M89" s="32" t="str">
        <f t="shared" si="3"/>
        <v>No</v>
      </c>
      <c r="N89" s="32">
        <f>G89 - F89</f>
        <v>119</v>
      </c>
      <c r="O89">
        <v>1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7" x14ac:dyDescent="0.3">
      <c r="A90" s="7" t="s">
        <v>156</v>
      </c>
      <c r="B90" s="33" t="s">
        <v>66</v>
      </c>
      <c r="C90" s="33" t="s">
        <v>12</v>
      </c>
      <c r="D90" s="11" t="s">
        <v>162</v>
      </c>
      <c r="E90" s="11" t="s">
        <v>87</v>
      </c>
      <c r="F90" s="66">
        <v>43466</v>
      </c>
      <c r="G90" s="66">
        <v>43585</v>
      </c>
      <c r="H90" s="3" t="str">
        <f t="shared" si="2"/>
        <v>EVEN</v>
      </c>
      <c r="I90" s="101">
        <v>0</v>
      </c>
      <c r="J90" s="32" t="str">
        <f>UPPER(TEXT(F90,"mmm")) &amp; " - " &amp; UPPER(TEXT(G90,"mmm"))</f>
        <v>JAN - APR</v>
      </c>
      <c r="K90" s="32" t="s">
        <v>15</v>
      </c>
      <c r="L90" s="32" t="s">
        <v>16</v>
      </c>
      <c r="M90" s="32" t="str">
        <f t="shared" si="3"/>
        <v>No</v>
      </c>
      <c r="N90" s="32">
        <f>G90 - F90</f>
        <v>119</v>
      </c>
      <c r="O90">
        <v>1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7" x14ac:dyDescent="0.3">
      <c r="A91" s="7" t="s">
        <v>157</v>
      </c>
      <c r="B91" s="33" t="s">
        <v>66</v>
      </c>
      <c r="C91" s="33" t="s">
        <v>12</v>
      </c>
      <c r="D91" s="11" t="s">
        <v>162</v>
      </c>
      <c r="E91" s="11" t="s">
        <v>87</v>
      </c>
      <c r="F91" s="66">
        <v>43466</v>
      </c>
      <c r="G91" s="66">
        <v>43585</v>
      </c>
      <c r="H91" s="3" t="str">
        <f t="shared" si="2"/>
        <v>EVEN</v>
      </c>
      <c r="I91" s="101">
        <v>0</v>
      </c>
      <c r="J91" s="32" t="str">
        <f>UPPER(TEXT(F91,"mmm")) &amp; " - " &amp; UPPER(TEXT(G91,"mmm"))</f>
        <v>JAN - APR</v>
      </c>
      <c r="K91" s="32" t="s">
        <v>15</v>
      </c>
      <c r="L91" s="32" t="s">
        <v>16</v>
      </c>
      <c r="M91" s="32" t="str">
        <f t="shared" si="3"/>
        <v>No</v>
      </c>
      <c r="N91" s="32">
        <f>G91 - F91</f>
        <v>119</v>
      </c>
      <c r="O91">
        <v>1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7" x14ac:dyDescent="0.3">
      <c r="A92" s="7" t="s">
        <v>163</v>
      </c>
      <c r="B92" s="33" t="s">
        <v>78</v>
      </c>
      <c r="C92" s="33" t="s">
        <v>12</v>
      </c>
      <c r="D92" s="11" t="s">
        <v>164</v>
      </c>
      <c r="E92" s="11" t="s">
        <v>165</v>
      </c>
      <c r="F92" s="66">
        <v>43617</v>
      </c>
      <c r="G92" s="66">
        <v>43646</v>
      </c>
      <c r="H92" s="3" t="str">
        <f t="shared" si="2"/>
        <v>EVEN</v>
      </c>
      <c r="I92" s="101">
        <v>0</v>
      </c>
      <c r="J92" s="32" t="str">
        <f>UPPER(TEXT(F92,"mmm")) &amp; " - " &amp; UPPER(TEXT(G92,"mmm"))</f>
        <v>JUN - JUN</v>
      </c>
      <c r="K92" s="32" t="s">
        <v>15</v>
      </c>
      <c r="L92" s="32" t="s">
        <v>16</v>
      </c>
      <c r="M92" s="32" t="str">
        <f t="shared" si="3"/>
        <v>No</v>
      </c>
      <c r="N92" s="32">
        <f>G92 - F92</f>
        <v>29</v>
      </c>
      <c r="O92">
        <v>1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">
      <c r="A93" s="7" t="s">
        <v>166</v>
      </c>
      <c r="B93" s="33" t="s">
        <v>78</v>
      </c>
      <c r="C93" s="33" t="s">
        <v>12</v>
      </c>
      <c r="D93" s="11" t="s">
        <v>167</v>
      </c>
      <c r="E93" s="11" t="s">
        <v>168</v>
      </c>
      <c r="F93" s="64">
        <v>43617</v>
      </c>
      <c r="G93" s="64">
        <v>43709</v>
      </c>
      <c r="H93" s="3" t="str">
        <f t="shared" si="2"/>
        <v>EVEN</v>
      </c>
      <c r="I93" s="101">
        <v>0</v>
      </c>
      <c r="J93" s="32" t="str">
        <f>UPPER(TEXT(F93,"mmm")) &amp; " - " &amp; UPPER(TEXT(G93,"mmm"))</f>
        <v>JUN - SEP</v>
      </c>
      <c r="K93" s="32" t="s">
        <v>15</v>
      </c>
      <c r="L93" s="32" t="s">
        <v>16</v>
      </c>
      <c r="M93" s="32" t="str">
        <f t="shared" si="3"/>
        <v>No</v>
      </c>
      <c r="N93" s="32">
        <f>G93 - F93</f>
        <v>92</v>
      </c>
      <c r="O93">
        <v>1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3">
      <c r="A94" s="7" t="s">
        <v>169</v>
      </c>
      <c r="B94" s="33" t="s">
        <v>78</v>
      </c>
      <c r="C94" s="33" t="s">
        <v>12</v>
      </c>
      <c r="D94" s="11" t="s">
        <v>170</v>
      </c>
      <c r="E94" s="11" t="s">
        <v>171</v>
      </c>
      <c r="F94" s="66">
        <v>43617</v>
      </c>
      <c r="G94" s="66">
        <v>43738</v>
      </c>
      <c r="H94" s="3" t="str">
        <f t="shared" si="2"/>
        <v>EVEN</v>
      </c>
      <c r="I94" s="101">
        <v>0</v>
      </c>
      <c r="J94" s="32" t="str">
        <f>UPPER(TEXT(F94,"mmm")) &amp; " - " &amp; UPPER(TEXT(G94,"mmm"))</f>
        <v>JUN - SEP</v>
      </c>
      <c r="K94" s="32" t="s">
        <v>15</v>
      </c>
      <c r="L94" s="32" t="s">
        <v>16</v>
      </c>
      <c r="M94" s="32" t="str">
        <f t="shared" si="3"/>
        <v>No</v>
      </c>
      <c r="N94" s="32">
        <f>G94 - F94</f>
        <v>121</v>
      </c>
      <c r="O94">
        <v>1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">
      <c r="A95" s="7" t="s">
        <v>172</v>
      </c>
      <c r="B95" s="33" t="s">
        <v>78</v>
      </c>
      <c r="C95" s="33" t="s">
        <v>12</v>
      </c>
      <c r="D95" s="11" t="s">
        <v>170</v>
      </c>
      <c r="E95" s="11" t="s">
        <v>171</v>
      </c>
      <c r="F95" s="66">
        <v>43617</v>
      </c>
      <c r="G95" s="66">
        <v>43738</v>
      </c>
      <c r="H95" s="3" t="str">
        <f t="shared" si="2"/>
        <v>EVEN</v>
      </c>
      <c r="I95" s="101">
        <v>0</v>
      </c>
      <c r="J95" s="32" t="str">
        <f>UPPER(TEXT(F95,"mmm")) &amp; " - " &amp; UPPER(TEXT(G95,"mmm"))</f>
        <v>JUN - SEP</v>
      </c>
      <c r="K95" s="32" t="s">
        <v>15</v>
      </c>
      <c r="L95" s="32" t="s">
        <v>16</v>
      </c>
      <c r="M95" s="32" t="str">
        <f t="shared" si="3"/>
        <v>No</v>
      </c>
      <c r="N95" s="32">
        <f>G95 - F95</f>
        <v>121</v>
      </c>
      <c r="O95">
        <v>1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">
      <c r="A96" s="7" t="s">
        <v>173</v>
      </c>
      <c r="B96" s="33" t="s">
        <v>78</v>
      </c>
      <c r="C96" s="33" t="s">
        <v>12</v>
      </c>
      <c r="D96" s="11" t="s">
        <v>170</v>
      </c>
      <c r="E96" s="11" t="s">
        <v>171</v>
      </c>
      <c r="F96" s="66">
        <v>43617</v>
      </c>
      <c r="G96" s="66">
        <v>43738</v>
      </c>
      <c r="H96" s="3" t="str">
        <f t="shared" si="2"/>
        <v>EVEN</v>
      </c>
      <c r="I96" s="101">
        <v>0</v>
      </c>
      <c r="J96" s="32" t="str">
        <f>UPPER(TEXT(F96,"mmm")) &amp; " - " &amp; UPPER(TEXT(G96,"mmm"))</f>
        <v>JUN - SEP</v>
      </c>
      <c r="K96" s="32" t="s">
        <v>15</v>
      </c>
      <c r="L96" s="32" t="s">
        <v>16</v>
      </c>
      <c r="M96" s="32" t="str">
        <f t="shared" si="3"/>
        <v>No</v>
      </c>
      <c r="N96" s="32">
        <f>G96 - F96</f>
        <v>121</v>
      </c>
      <c r="O96">
        <v>1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">
      <c r="A97" s="7" t="s">
        <v>174</v>
      </c>
      <c r="B97" s="33" t="s">
        <v>78</v>
      </c>
      <c r="C97" s="33" t="s">
        <v>12</v>
      </c>
      <c r="D97" s="11" t="s">
        <v>25</v>
      </c>
      <c r="E97" s="11" t="s">
        <v>175</v>
      </c>
      <c r="F97" s="66">
        <v>43619</v>
      </c>
      <c r="G97" s="66">
        <v>43696</v>
      </c>
      <c r="H97" s="3" t="str">
        <f t="shared" si="2"/>
        <v>EVEN</v>
      </c>
      <c r="I97" s="101">
        <v>0</v>
      </c>
      <c r="J97" s="32" t="str">
        <f>UPPER(TEXT(F97,"mmm")) &amp; " - " &amp; UPPER(TEXT(G97,"mmm"))</f>
        <v>JUN - AUG</v>
      </c>
      <c r="K97" s="32" t="s">
        <v>15</v>
      </c>
      <c r="L97" s="32" t="s">
        <v>16</v>
      </c>
      <c r="M97" s="32" t="str">
        <f t="shared" si="3"/>
        <v>No</v>
      </c>
      <c r="N97" s="32">
        <f>G97 - F97</f>
        <v>77</v>
      </c>
      <c r="O97">
        <v>1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">
      <c r="A98" s="7" t="s">
        <v>176</v>
      </c>
      <c r="B98" s="33" t="s">
        <v>78</v>
      </c>
      <c r="C98" s="33" t="s">
        <v>12</v>
      </c>
      <c r="D98" s="11" t="s">
        <v>170</v>
      </c>
      <c r="E98" s="11" t="s">
        <v>177</v>
      </c>
      <c r="F98" s="66">
        <v>43617</v>
      </c>
      <c r="G98" s="66">
        <v>43738</v>
      </c>
      <c r="H98" s="3" t="str">
        <f t="shared" si="2"/>
        <v>EVEN</v>
      </c>
      <c r="I98" s="101">
        <v>0</v>
      </c>
      <c r="J98" s="32" t="str">
        <f>UPPER(TEXT(F98,"mmm")) &amp; " - " &amp; UPPER(TEXT(G98,"mmm"))</f>
        <v>JUN - SEP</v>
      </c>
      <c r="K98" s="32" t="s">
        <v>15</v>
      </c>
      <c r="L98" s="32" t="s">
        <v>16</v>
      </c>
      <c r="M98" s="32" t="str">
        <f t="shared" si="3"/>
        <v>No</v>
      </c>
      <c r="N98" s="32">
        <f>G98 - F98</f>
        <v>121</v>
      </c>
      <c r="O98">
        <v>1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">
      <c r="A99" s="7" t="s">
        <v>178</v>
      </c>
      <c r="B99" s="33" t="s">
        <v>78</v>
      </c>
      <c r="C99" s="33" t="s">
        <v>12</v>
      </c>
      <c r="D99" s="11" t="s">
        <v>170</v>
      </c>
      <c r="E99" s="11" t="s">
        <v>177</v>
      </c>
      <c r="F99" s="66">
        <v>43617</v>
      </c>
      <c r="G99" s="66">
        <v>43738</v>
      </c>
      <c r="H99" s="3" t="str">
        <f t="shared" si="2"/>
        <v>EVEN</v>
      </c>
      <c r="I99" s="101">
        <v>0</v>
      </c>
      <c r="J99" s="32" t="str">
        <f>UPPER(TEXT(F99,"mmm")) &amp; " - " &amp; UPPER(TEXT(G99,"mmm"))</f>
        <v>JUN - SEP</v>
      </c>
      <c r="K99" s="32" t="s">
        <v>15</v>
      </c>
      <c r="L99" s="32" t="s">
        <v>16</v>
      </c>
      <c r="M99" s="32" t="str">
        <f t="shared" si="3"/>
        <v>No</v>
      </c>
      <c r="N99" s="32">
        <f>G99 - F99</f>
        <v>121</v>
      </c>
      <c r="O99">
        <v>1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">
      <c r="A100" s="7" t="s">
        <v>133</v>
      </c>
      <c r="B100" s="33" t="s">
        <v>78</v>
      </c>
      <c r="C100" s="33" t="s">
        <v>12</v>
      </c>
      <c r="D100" s="11" t="s">
        <v>170</v>
      </c>
      <c r="E100" s="11" t="s">
        <v>177</v>
      </c>
      <c r="F100" s="66">
        <v>43617</v>
      </c>
      <c r="G100" s="66">
        <v>43738</v>
      </c>
      <c r="H100" s="3" t="str">
        <f t="shared" si="2"/>
        <v>EVEN</v>
      </c>
      <c r="I100" s="101">
        <v>0</v>
      </c>
      <c r="J100" s="32" t="str">
        <f>UPPER(TEXT(F100,"mmm")) &amp; " - " &amp; UPPER(TEXT(G100,"mmm"))</f>
        <v>JUN - SEP</v>
      </c>
      <c r="K100" s="32" t="s">
        <v>15</v>
      </c>
      <c r="L100" s="32" t="s">
        <v>16</v>
      </c>
      <c r="M100" s="32" t="str">
        <f t="shared" si="3"/>
        <v>No</v>
      </c>
      <c r="N100" s="32">
        <f>G100 - F100</f>
        <v>121</v>
      </c>
      <c r="O100">
        <v>1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">
      <c r="A101" s="7" t="s">
        <v>179</v>
      </c>
      <c r="B101" s="33" t="s">
        <v>78</v>
      </c>
      <c r="C101" s="33" t="s">
        <v>12</v>
      </c>
      <c r="D101" s="11" t="s">
        <v>170</v>
      </c>
      <c r="E101" s="11" t="s">
        <v>177</v>
      </c>
      <c r="F101" s="66">
        <v>43617</v>
      </c>
      <c r="G101" s="66">
        <v>43738</v>
      </c>
      <c r="H101" s="3" t="str">
        <f t="shared" si="2"/>
        <v>EVEN</v>
      </c>
      <c r="I101" s="101">
        <v>0</v>
      </c>
      <c r="J101" s="32" t="str">
        <f>UPPER(TEXT(F101,"mmm")) &amp; " - " &amp; UPPER(TEXT(G101,"mmm"))</f>
        <v>JUN - SEP</v>
      </c>
      <c r="K101" s="32" t="s">
        <v>15</v>
      </c>
      <c r="L101" s="32" t="s">
        <v>16</v>
      </c>
      <c r="M101" s="32" t="str">
        <f t="shared" si="3"/>
        <v>No</v>
      </c>
      <c r="N101" s="32">
        <f>G101 - F101</f>
        <v>121</v>
      </c>
      <c r="O101">
        <v>1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7" x14ac:dyDescent="0.3">
      <c r="A102" s="7" t="s">
        <v>180</v>
      </c>
      <c r="B102" s="33" t="s">
        <v>11</v>
      </c>
      <c r="C102" s="33" t="s">
        <v>12</v>
      </c>
      <c r="D102" s="11" t="s">
        <v>13</v>
      </c>
      <c r="E102" s="11" t="s">
        <v>14</v>
      </c>
      <c r="F102" s="66">
        <v>43617</v>
      </c>
      <c r="G102" s="66">
        <v>43656</v>
      </c>
      <c r="H102" s="3" t="str">
        <f t="shared" si="2"/>
        <v>EVEN</v>
      </c>
      <c r="I102" s="101">
        <v>0</v>
      </c>
      <c r="J102" s="32" t="str">
        <f>UPPER(TEXT(F102,"mmm")) &amp; " - " &amp; UPPER(TEXT(G102,"mmm"))</f>
        <v>JUN - JUL</v>
      </c>
      <c r="K102" s="32" t="s">
        <v>15</v>
      </c>
      <c r="L102" s="32" t="s">
        <v>16</v>
      </c>
      <c r="M102" s="32" t="str">
        <f t="shared" si="3"/>
        <v>No</v>
      </c>
      <c r="N102" s="32">
        <f>G102 - F102</f>
        <v>39</v>
      </c>
      <c r="O102">
        <v>1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7" x14ac:dyDescent="0.3">
      <c r="A103" s="8" t="s">
        <v>181</v>
      </c>
      <c r="B103" s="10" t="s">
        <v>78</v>
      </c>
      <c r="C103" s="10" t="s">
        <v>12</v>
      </c>
      <c r="D103" s="9" t="s">
        <v>182</v>
      </c>
      <c r="E103" s="9" t="s">
        <v>183</v>
      </c>
      <c r="F103" s="65">
        <v>43629</v>
      </c>
      <c r="G103" s="65">
        <v>43721</v>
      </c>
      <c r="H103" s="3" t="str">
        <f t="shared" si="2"/>
        <v>EVEN</v>
      </c>
      <c r="I103" s="101">
        <v>0</v>
      </c>
      <c r="J103" s="32" t="str">
        <f>UPPER(TEXT(F103,"mmm")) &amp; " - " &amp; UPPER(TEXT(G103,"mmm"))</f>
        <v>JUN - SEP</v>
      </c>
      <c r="K103" s="32" t="s">
        <v>15</v>
      </c>
      <c r="L103" s="32" t="s">
        <v>16</v>
      </c>
      <c r="M103" s="32" t="str">
        <f t="shared" si="3"/>
        <v>No</v>
      </c>
      <c r="N103" s="32">
        <f>G103 - F103</f>
        <v>92</v>
      </c>
      <c r="O103">
        <v>1</v>
      </c>
    </row>
    <row r="104" spans="1:26" ht="27" x14ac:dyDescent="0.3">
      <c r="A104" s="8" t="s">
        <v>184</v>
      </c>
      <c r="B104" s="10" t="s">
        <v>78</v>
      </c>
      <c r="C104" s="10" t="s">
        <v>12</v>
      </c>
      <c r="D104" s="9" t="s">
        <v>182</v>
      </c>
      <c r="E104" s="9" t="s">
        <v>183</v>
      </c>
      <c r="F104" s="65">
        <v>43629</v>
      </c>
      <c r="G104" s="65">
        <v>43721</v>
      </c>
      <c r="H104" s="3" t="str">
        <f t="shared" si="2"/>
        <v>EVEN</v>
      </c>
      <c r="I104" s="101">
        <v>0</v>
      </c>
      <c r="J104" s="32" t="str">
        <f>UPPER(TEXT(F104,"mmm")) &amp; " - " &amp; UPPER(TEXT(G104,"mmm"))</f>
        <v>JUN - SEP</v>
      </c>
      <c r="K104" s="32" t="s">
        <v>15</v>
      </c>
      <c r="L104" s="32" t="s">
        <v>16</v>
      </c>
      <c r="M104" s="32" t="str">
        <f t="shared" si="3"/>
        <v>No</v>
      </c>
      <c r="N104" s="32">
        <f>G104 - F104</f>
        <v>92</v>
      </c>
      <c r="O104">
        <v>1</v>
      </c>
    </row>
    <row r="105" spans="1:26" ht="27" x14ac:dyDescent="0.3">
      <c r="A105" s="8" t="s">
        <v>77</v>
      </c>
      <c r="B105" s="10" t="s">
        <v>78</v>
      </c>
      <c r="C105" s="10" t="s">
        <v>12</v>
      </c>
      <c r="D105" s="9" t="s">
        <v>182</v>
      </c>
      <c r="E105" s="9" t="s">
        <v>183</v>
      </c>
      <c r="F105" s="65">
        <v>43629</v>
      </c>
      <c r="G105" s="65">
        <v>43721</v>
      </c>
      <c r="H105" s="3" t="str">
        <f t="shared" si="2"/>
        <v>EVEN</v>
      </c>
      <c r="I105" s="101">
        <v>0</v>
      </c>
      <c r="J105" s="32" t="str">
        <f>UPPER(TEXT(F105,"mmm")) &amp; " - " &amp; UPPER(TEXT(G105,"mmm"))</f>
        <v>JUN - SEP</v>
      </c>
      <c r="K105" s="32" t="s">
        <v>15</v>
      </c>
      <c r="L105" s="32" t="s">
        <v>16</v>
      </c>
      <c r="M105" s="32" t="str">
        <f t="shared" si="3"/>
        <v>No</v>
      </c>
      <c r="N105" s="32">
        <f>G105 - F105</f>
        <v>92</v>
      </c>
      <c r="O105">
        <v>1</v>
      </c>
    </row>
    <row r="106" spans="1:26" ht="27" x14ac:dyDescent="0.3">
      <c r="A106" s="7" t="s">
        <v>185</v>
      </c>
      <c r="B106" s="33" t="s">
        <v>78</v>
      </c>
      <c r="C106" s="33" t="s">
        <v>12</v>
      </c>
      <c r="D106" s="11" t="s">
        <v>36</v>
      </c>
      <c r="E106" s="11" t="s">
        <v>37</v>
      </c>
      <c r="F106" s="66">
        <v>43621</v>
      </c>
      <c r="G106" s="66">
        <v>43707</v>
      </c>
      <c r="H106" s="3" t="str">
        <f t="shared" si="2"/>
        <v>EVEN</v>
      </c>
      <c r="I106" s="101">
        <v>0</v>
      </c>
      <c r="J106" s="32" t="str">
        <f>UPPER(TEXT(F106,"mmm")) &amp; " - " &amp; UPPER(TEXT(G106,"mmm"))</f>
        <v>JUN - AUG</v>
      </c>
      <c r="K106" s="32" t="s">
        <v>15</v>
      </c>
      <c r="L106" s="32" t="s">
        <v>16</v>
      </c>
      <c r="M106" s="32" t="str">
        <f t="shared" si="3"/>
        <v>No</v>
      </c>
      <c r="N106" s="32">
        <f>G106 - F106</f>
        <v>86</v>
      </c>
      <c r="O106">
        <v>1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7" x14ac:dyDescent="0.3">
      <c r="A107" s="7" t="s">
        <v>186</v>
      </c>
      <c r="B107" s="33" t="s">
        <v>78</v>
      </c>
      <c r="C107" s="33" t="s">
        <v>12</v>
      </c>
      <c r="D107" s="11" t="s">
        <v>36</v>
      </c>
      <c r="E107" s="11" t="s">
        <v>37</v>
      </c>
      <c r="F107" s="66">
        <v>43621</v>
      </c>
      <c r="G107" s="66">
        <v>43707</v>
      </c>
      <c r="H107" s="3" t="str">
        <f t="shared" si="2"/>
        <v>EVEN</v>
      </c>
      <c r="I107" s="101">
        <v>0</v>
      </c>
      <c r="J107" s="32" t="str">
        <f>UPPER(TEXT(F107,"mmm")) &amp; " - " &amp; UPPER(TEXT(G107,"mmm"))</f>
        <v>JUN - AUG</v>
      </c>
      <c r="K107" s="32" t="s">
        <v>15</v>
      </c>
      <c r="L107" s="32" t="s">
        <v>16</v>
      </c>
      <c r="M107" s="32" t="str">
        <f t="shared" si="3"/>
        <v>No</v>
      </c>
      <c r="N107" s="32">
        <f>G107 - F107</f>
        <v>86</v>
      </c>
      <c r="O107">
        <v>1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7" x14ac:dyDescent="0.3">
      <c r="A108" s="7" t="s">
        <v>187</v>
      </c>
      <c r="B108" s="33" t="s">
        <v>78</v>
      </c>
      <c r="C108" s="33" t="s">
        <v>12</v>
      </c>
      <c r="D108" s="11" t="s">
        <v>36</v>
      </c>
      <c r="E108" s="11" t="s">
        <v>37</v>
      </c>
      <c r="F108" s="66">
        <v>43621</v>
      </c>
      <c r="G108" s="66">
        <v>43707</v>
      </c>
      <c r="H108" s="3" t="str">
        <f t="shared" si="2"/>
        <v>EVEN</v>
      </c>
      <c r="I108" s="101">
        <v>0</v>
      </c>
      <c r="J108" s="32" t="str">
        <f>UPPER(TEXT(F108,"mmm")) &amp; " - " &amp; UPPER(TEXT(G108,"mmm"))</f>
        <v>JUN - AUG</v>
      </c>
      <c r="K108" s="32" t="s">
        <v>15</v>
      </c>
      <c r="L108" s="32" t="s">
        <v>16</v>
      </c>
      <c r="M108" s="32" t="str">
        <f t="shared" si="3"/>
        <v>No</v>
      </c>
      <c r="N108" s="32">
        <f>G108 - F108</f>
        <v>86</v>
      </c>
      <c r="O108">
        <v>1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3">
      <c r="A109" s="7" t="s">
        <v>188</v>
      </c>
      <c r="B109" s="33" t="s">
        <v>78</v>
      </c>
      <c r="C109" s="33" t="s">
        <v>12</v>
      </c>
      <c r="D109" s="11" t="s">
        <v>142</v>
      </c>
      <c r="E109" s="11" t="s">
        <v>189</v>
      </c>
      <c r="F109" s="66">
        <v>43617</v>
      </c>
      <c r="G109" s="66">
        <v>43678</v>
      </c>
      <c r="H109" s="3" t="str">
        <f t="shared" si="2"/>
        <v>EVEN</v>
      </c>
      <c r="I109" s="101">
        <v>0</v>
      </c>
      <c r="J109" s="32" t="str">
        <f>UPPER(TEXT(F109,"mmm")) &amp; " - " &amp; UPPER(TEXT(G109,"mmm"))</f>
        <v>JUN - AUG</v>
      </c>
      <c r="K109" s="32" t="s">
        <v>15</v>
      </c>
      <c r="L109" s="32" t="s">
        <v>16</v>
      </c>
      <c r="M109" s="32" t="str">
        <f t="shared" si="3"/>
        <v>No</v>
      </c>
      <c r="N109" s="32">
        <f>G109 - F109</f>
        <v>61</v>
      </c>
      <c r="O109">
        <v>1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3">
      <c r="A110" s="7" t="s">
        <v>190</v>
      </c>
      <c r="B110" s="33" t="s">
        <v>66</v>
      </c>
      <c r="C110" s="33" t="s">
        <v>12</v>
      </c>
      <c r="D110" s="11" t="s">
        <v>191</v>
      </c>
      <c r="E110" s="11" t="s">
        <v>192</v>
      </c>
      <c r="F110" s="66">
        <v>43570</v>
      </c>
      <c r="G110" s="66">
        <v>43709</v>
      </c>
      <c r="H110" s="3" t="str">
        <f t="shared" si="2"/>
        <v>EVEN</v>
      </c>
      <c r="I110" s="101">
        <v>0</v>
      </c>
      <c r="J110" s="32" t="str">
        <f>UPPER(TEXT(F110,"mmm")) &amp; " - " &amp; UPPER(TEXT(G110,"mmm"))</f>
        <v>APR - SEP</v>
      </c>
      <c r="K110" s="32" t="s">
        <v>15</v>
      </c>
      <c r="L110" s="32" t="s">
        <v>16</v>
      </c>
      <c r="M110" s="32" t="str">
        <f t="shared" si="3"/>
        <v>No</v>
      </c>
      <c r="N110" s="32">
        <f>G110 - F110</f>
        <v>139</v>
      </c>
      <c r="O110">
        <v>1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7" x14ac:dyDescent="0.3">
      <c r="A111" s="8" t="s">
        <v>193</v>
      </c>
      <c r="B111" s="10" t="s">
        <v>66</v>
      </c>
      <c r="C111" s="33" t="s">
        <v>12</v>
      </c>
      <c r="D111" s="9" t="s">
        <v>194</v>
      </c>
      <c r="E111" s="9" t="s">
        <v>195</v>
      </c>
      <c r="F111" s="65">
        <v>43586</v>
      </c>
      <c r="G111" s="65">
        <v>43678</v>
      </c>
      <c r="H111" s="3" t="str">
        <f t="shared" si="2"/>
        <v>EVEN</v>
      </c>
      <c r="I111" s="101">
        <v>0</v>
      </c>
      <c r="J111" s="32" t="str">
        <f>UPPER(TEXT(F111,"mmm")) &amp; " - " &amp; UPPER(TEXT(G111,"mmm"))</f>
        <v>MAY - AUG</v>
      </c>
      <c r="K111" s="32" t="s">
        <v>15</v>
      </c>
      <c r="L111" s="32" t="s">
        <v>16</v>
      </c>
      <c r="M111" s="32" t="str">
        <f t="shared" si="3"/>
        <v>No</v>
      </c>
      <c r="N111" s="32">
        <f>G111 - F111</f>
        <v>92</v>
      </c>
      <c r="O111">
        <v>1</v>
      </c>
    </row>
    <row r="112" spans="1:26" ht="27" x14ac:dyDescent="0.3">
      <c r="A112" s="8" t="s">
        <v>196</v>
      </c>
      <c r="B112" s="10" t="s">
        <v>66</v>
      </c>
      <c r="C112" s="33" t="s">
        <v>12</v>
      </c>
      <c r="D112" s="9" t="s">
        <v>194</v>
      </c>
      <c r="E112" s="9" t="s">
        <v>195</v>
      </c>
      <c r="F112" s="65">
        <v>43586</v>
      </c>
      <c r="G112" s="65">
        <v>43678</v>
      </c>
      <c r="H112" s="3" t="str">
        <f t="shared" si="2"/>
        <v>EVEN</v>
      </c>
      <c r="I112" s="101">
        <v>0</v>
      </c>
      <c r="J112" s="32" t="str">
        <f>UPPER(TEXT(F112,"mmm")) &amp; " - " &amp; UPPER(TEXT(G112,"mmm"))</f>
        <v>MAY - AUG</v>
      </c>
      <c r="K112" s="32" t="s">
        <v>15</v>
      </c>
      <c r="L112" s="32" t="s">
        <v>16</v>
      </c>
      <c r="M112" s="32" t="str">
        <f t="shared" si="3"/>
        <v>No</v>
      </c>
      <c r="N112" s="32">
        <f>G112 - F112</f>
        <v>92</v>
      </c>
      <c r="O112">
        <v>1</v>
      </c>
    </row>
    <row r="113" spans="1:26" ht="27" x14ac:dyDescent="0.3">
      <c r="A113" s="8" t="s">
        <v>197</v>
      </c>
      <c r="B113" s="10" t="s">
        <v>66</v>
      </c>
      <c r="C113" s="33" t="s">
        <v>12</v>
      </c>
      <c r="D113" s="9" t="s">
        <v>194</v>
      </c>
      <c r="E113" s="9" t="s">
        <v>195</v>
      </c>
      <c r="F113" s="65">
        <v>43586</v>
      </c>
      <c r="G113" s="65">
        <v>43678</v>
      </c>
      <c r="H113" s="3" t="str">
        <f t="shared" si="2"/>
        <v>EVEN</v>
      </c>
      <c r="I113" s="101">
        <v>0</v>
      </c>
      <c r="J113" s="32" t="str">
        <f>UPPER(TEXT(F113,"mmm")) &amp; " - " &amp; UPPER(TEXT(G113,"mmm"))</f>
        <v>MAY - AUG</v>
      </c>
      <c r="K113" s="32" t="s">
        <v>15</v>
      </c>
      <c r="L113" s="32" t="s">
        <v>16</v>
      </c>
      <c r="M113" s="32" t="str">
        <f t="shared" si="3"/>
        <v>No</v>
      </c>
      <c r="N113" s="32">
        <f>G113 - F113</f>
        <v>92</v>
      </c>
      <c r="O113">
        <v>1</v>
      </c>
    </row>
    <row r="114" spans="1:26" ht="27" x14ac:dyDescent="0.3">
      <c r="A114" s="8" t="s">
        <v>198</v>
      </c>
      <c r="B114" s="10" t="s">
        <v>66</v>
      </c>
      <c r="C114" s="33" t="s">
        <v>12</v>
      </c>
      <c r="D114" s="9" t="s">
        <v>194</v>
      </c>
      <c r="E114" s="9" t="s">
        <v>195</v>
      </c>
      <c r="F114" s="65">
        <v>43586</v>
      </c>
      <c r="G114" s="65">
        <v>43678</v>
      </c>
      <c r="H114" s="3" t="str">
        <f t="shared" si="2"/>
        <v>EVEN</v>
      </c>
      <c r="I114" s="101">
        <v>0</v>
      </c>
      <c r="J114" s="32" t="str">
        <f>UPPER(TEXT(F114,"mmm")) &amp; " - " &amp; UPPER(TEXT(G114,"mmm"))</f>
        <v>MAY - AUG</v>
      </c>
      <c r="K114" s="32" t="s">
        <v>15</v>
      </c>
      <c r="L114" s="32" t="s">
        <v>16</v>
      </c>
      <c r="M114" s="32" t="str">
        <f t="shared" si="3"/>
        <v>No</v>
      </c>
      <c r="N114" s="32">
        <f>G114 - F114</f>
        <v>92</v>
      </c>
      <c r="O114">
        <v>1</v>
      </c>
    </row>
    <row r="115" spans="1:26" x14ac:dyDescent="0.3">
      <c r="A115" s="7" t="s">
        <v>199</v>
      </c>
      <c r="B115" s="33" t="s">
        <v>66</v>
      </c>
      <c r="C115" s="33" t="s">
        <v>12</v>
      </c>
      <c r="D115" s="11" t="s">
        <v>191</v>
      </c>
      <c r="E115" s="11" t="s">
        <v>192</v>
      </c>
      <c r="F115" s="66">
        <v>43570</v>
      </c>
      <c r="G115" s="66">
        <v>43709</v>
      </c>
      <c r="H115" s="3" t="str">
        <f t="shared" si="2"/>
        <v>EVEN</v>
      </c>
      <c r="I115" s="101">
        <v>0</v>
      </c>
      <c r="J115" s="32" t="str">
        <f>UPPER(TEXT(F115,"mmm")) &amp; " - " &amp; UPPER(TEXT(G115,"mmm"))</f>
        <v>APR - SEP</v>
      </c>
      <c r="K115" s="32" t="s">
        <v>15</v>
      </c>
      <c r="L115" s="32" t="s">
        <v>16</v>
      </c>
      <c r="M115" s="32" t="str">
        <f t="shared" si="3"/>
        <v>No</v>
      </c>
      <c r="N115" s="32">
        <f>G115 - F115</f>
        <v>139</v>
      </c>
      <c r="O115">
        <v>1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6.4" x14ac:dyDescent="0.3">
      <c r="A116" s="22" t="s">
        <v>200</v>
      </c>
      <c r="B116" s="36" t="s">
        <v>66</v>
      </c>
      <c r="C116" s="36" t="s">
        <v>12</v>
      </c>
      <c r="D116" s="22" t="s">
        <v>201</v>
      </c>
      <c r="E116" s="23" t="s">
        <v>202</v>
      </c>
      <c r="F116" s="66">
        <v>43442</v>
      </c>
      <c r="G116" s="66">
        <v>43472</v>
      </c>
      <c r="H116" s="3" t="str">
        <f t="shared" si="2"/>
        <v>ODD</v>
      </c>
      <c r="I116" s="101">
        <v>0</v>
      </c>
      <c r="J116" s="32" t="str">
        <f>UPPER(TEXT(F116,"mmm")) &amp; " - " &amp; UPPER(TEXT(G116,"mmm"))</f>
        <v>DEC - JAN</v>
      </c>
      <c r="K116" s="32" t="s">
        <v>15</v>
      </c>
      <c r="L116" s="32" t="s">
        <v>16</v>
      </c>
      <c r="M116" s="32" t="str">
        <f t="shared" si="3"/>
        <v>No</v>
      </c>
      <c r="N116" s="32">
        <f>G116 - F116</f>
        <v>30</v>
      </c>
      <c r="O116">
        <v>1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6.4" x14ac:dyDescent="0.3">
      <c r="A117" s="22" t="s">
        <v>200</v>
      </c>
      <c r="B117" s="36" t="s">
        <v>66</v>
      </c>
      <c r="C117" s="36" t="s">
        <v>12</v>
      </c>
      <c r="D117" s="22" t="s">
        <v>201</v>
      </c>
      <c r="E117" s="23" t="s">
        <v>202</v>
      </c>
      <c r="F117" s="66">
        <v>43624</v>
      </c>
      <c r="G117" s="66">
        <v>43654</v>
      </c>
      <c r="H117" s="3" t="str">
        <f t="shared" si="2"/>
        <v>EVEN</v>
      </c>
      <c r="I117" s="101">
        <v>0</v>
      </c>
      <c r="J117" s="32" t="str">
        <f>UPPER(TEXT(F117,"mmm")) &amp; " - " &amp; UPPER(TEXT(G117,"mmm"))</f>
        <v>JUN - JUL</v>
      </c>
      <c r="K117" s="32" t="s">
        <v>15</v>
      </c>
      <c r="L117" s="32" t="s">
        <v>16</v>
      </c>
      <c r="M117" s="32" t="str">
        <f t="shared" si="3"/>
        <v>No</v>
      </c>
      <c r="N117" s="32">
        <f>G117 - F117</f>
        <v>30</v>
      </c>
      <c r="O117">
        <v>1</v>
      </c>
    </row>
    <row r="118" spans="1:26" x14ac:dyDescent="0.3">
      <c r="A118" s="24" t="s">
        <v>125</v>
      </c>
      <c r="B118" s="3" t="s">
        <v>66</v>
      </c>
      <c r="C118" s="3" t="s">
        <v>12</v>
      </c>
      <c r="D118" s="24" t="s">
        <v>126</v>
      </c>
      <c r="E118" s="25" t="s">
        <v>127</v>
      </c>
      <c r="F118" s="63">
        <v>43619</v>
      </c>
      <c r="G118" s="63">
        <v>43644</v>
      </c>
      <c r="H118" s="3" t="s">
        <v>254</v>
      </c>
      <c r="I118" s="101">
        <v>0</v>
      </c>
      <c r="J118" s="32" t="str">
        <f>UPPER(TEXT(F118,"mmm")) &amp; " - " &amp; UPPER(TEXT(G118,"mmm"))</f>
        <v>JUN - JUN</v>
      </c>
      <c r="K118" s="32" t="s">
        <v>15</v>
      </c>
      <c r="L118" s="32" t="s">
        <v>16</v>
      </c>
      <c r="M118" s="32" t="str">
        <f t="shared" si="3"/>
        <v>No</v>
      </c>
      <c r="N118" s="32">
        <f>G118 - F118</f>
        <v>25</v>
      </c>
      <c r="O118">
        <v>1</v>
      </c>
    </row>
    <row r="119" spans="1:26" ht="27" x14ac:dyDescent="0.3">
      <c r="A119" s="24" t="s">
        <v>146</v>
      </c>
      <c r="B119" s="3" t="s">
        <v>78</v>
      </c>
      <c r="C119" s="3" t="s">
        <v>12</v>
      </c>
      <c r="D119" s="25" t="s">
        <v>147</v>
      </c>
      <c r="E119" s="25" t="s">
        <v>148</v>
      </c>
      <c r="F119" s="63">
        <v>43619</v>
      </c>
      <c r="G119" s="63">
        <v>43644</v>
      </c>
      <c r="H119" s="3" t="s">
        <v>254</v>
      </c>
      <c r="I119" s="101">
        <v>0</v>
      </c>
      <c r="J119" s="32" t="str">
        <f>UPPER(TEXT(F119,"mmm")) &amp; " - " &amp; UPPER(TEXT(G119,"mmm"))</f>
        <v>JUN - JUN</v>
      </c>
      <c r="K119" s="32" t="s">
        <v>15</v>
      </c>
      <c r="L119" s="32" t="s">
        <v>16</v>
      </c>
      <c r="M119" s="32" t="str">
        <f t="shared" si="3"/>
        <v>No</v>
      </c>
      <c r="N119" s="32">
        <f>G119 - F119</f>
        <v>25</v>
      </c>
      <c r="O119">
        <v>1</v>
      </c>
    </row>
    <row r="120" spans="1:26" x14ac:dyDescent="0.3">
      <c r="A120" s="2" t="s">
        <v>203</v>
      </c>
      <c r="B120" s="3" t="s">
        <v>66</v>
      </c>
      <c r="C120" s="3" t="s">
        <v>12</v>
      </c>
      <c r="D120" s="2" t="s">
        <v>253</v>
      </c>
      <c r="E120" s="2" t="s">
        <v>74</v>
      </c>
      <c r="F120" s="63">
        <v>43620</v>
      </c>
      <c r="G120" s="63">
        <v>43665</v>
      </c>
      <c r="H120" s="57" t="s">
        <v>254</v>
      </c>
      <c r="I120" s="101">
        <v>0</v>
      </c>
      <c r="J120" s="32" t="str">
        <f>UPPER(TEXT(F120,"mmm")) &amp; " - " &amp; UPPER(TEXT(G120,"mmm"))</f>
        <v>JUN - JUL</v>
      </c>
      <c r="K120" s="57" t="s">
        <v>15</v>
      </c>
      <c r="L120" s="99" t="s">
        <v>3895</v>
      </c>
      <c r="M120" s="32" t="str">
        <f t="shared" si="3"/>
        <v>No</v>
      </c>
      <c r="N120" s="32">
        <f>G120 - F120</f>
        <v>45</v>
      </c>
      <c r="O120">
        <v>1</v>
      </c>
    </row>
    <row r="121" spans="1:26" x14ac:dyDescent="0.3">
      <c r="A121" s="2" t="s">
        <v>204</v>
      </c>
      <c r="B121" s="3" t="s">
        <v>66</v>
      </c>
      <c r="C121" s="3" t="s">
        <v>12</v>
      </c>
      <c r="D121" s="2" t="s">
        <v>255</v>
      </c>
      <c r="E121" s="2" t="s">
        <v>256</v>
      </c>
      <c r="F121" s="63">
        <v>43556</v>
      </c>
      <c r="G121" s="63">
        <v>43739</v>
      </c>
      <c r="H121" s="57" t="s">
        <v>254</v>
      </c>
      <c r="I121" s="101">
        <v>0</v>
      </c>
      <c r="J121" s="32" t="str">
        <f>UPPER(TEXT(F121,"mmm")) &amp; " - " &amp; UPPER(TEXT(G121,"mmm"))</f>
        <v>APR - OCT</v>
      </c>
      <c r="K121" s="57" t="s">
        <v>15</v>
      </c>
      <c r="L121" s="99" t="s">
        <v>3895</v>
      </c>
      <c r="M121" s="32" t="str">
        <f t="shared" si="3"/>
        <v>No</v>
      </c>
      <c r="N121" s="32">
        <f>G121 - F121</f>
        <v>183</v>
      </c>
      <c r="O121">
        <v>1</v>
      </c>
    </row>
    <row r="122" spans="1:26" x14ac:dyDescent="0.3">
      <c r="A122" s="2" t="s">
        <v>94</v>
      </c>
      <c r="B122" s="3" t="s">
        <v>66</v>
      </c>
      <c r="C122" s="3" t="s">
        <v>12</v>
      </c>
      <c r="D122" s="2" t="s">
        <v>255</v>
      </c>
      <c r="E122" s="2" t="s">
        <v>256</v>
      </c>
      <c r="F122" s="63">
        <v>43556</v>
      </c>
      <c r="G122" s="63">
        <v>43739</v>
      </c>
      <c r="H122" s="57" t="s">
        <v>254</v>
      </c>
      <c r="I122" s="101">
        <v>0</v>
      </c>
      <c r="J122" s="32" t="str">
        <f>UPPER(TEXT(F122,"mmm")) &amp; " - " &amp; UPPER(TEXT(G122,"mmm"))</f>
        <v>APR - OCT</v>
      </c>
      <c r="K122" s="57" t="s">
        <v>15</v>
      </c>
      <c r="L122" s="99" t="s">
        <v>3895</v>
      </c>
      <c r="M122" s="32" t="str">
        <f t="shared" si="3"/>
        <v>No</v>
      </c>
      <c r="N122" s="32">
        <f>G122 - F122</f>
        <v>183</v>
      </c>
      <c r="O122">
        <v>1</v>
      </c>
    </row>
    <row r="123" spans="1:26" x14ac:dyDescent="0.3">
      <c r="A123" s="2" t="s">
        <v>205</v>
      </c>
      <c r="B123" s="3" t="s">
        <v>66</v>
      </c>
      <c r="C123" s="3" t="s">
        <v>12</v>
      </c>
      <c r="D123" s="2" t="s">
        <v>257</v>
      </c>
      <c r="E123" s="2" t="s">
        <v>74</v>
      </c>
      <c r="F123" s="63">
        <v>43626</v>
      </c>
      <c r="G123" s="63">
        <v>43661</v>
      </c>
      <c r="H123" s="57" t="s">
        <v>254</v>
      </c>
      <c r="I123" s="101">
        <v>0</v>
      </c>
      <c r="J123" s="32" t="str">
        <f>UPPER(TEXT(F123,"mmm")) &amp; " - " &amp; UPPER(TEXT(G123,"mmm"))</f>
        <v>JUN - JUL</v>
      </c>
      <c r="K123" s="57" t="s">
        <v>15</v>
      </c>
      <c r="L123" s="99" t="s">
        <v>3895</v>
      </c>
      <c r="M123" s="32" t="str">
        <f t="shared" si="3"/>
        <v>No</v>
      </c>
      <c r="N123" s="32">
        <f>G123 - F123</f>
        <v>35</v>
      </c>
      <c r="O123">
        <v>1</v>
      </c>
    </row>
    <row r="124" spans="1:26" x14ac:dyDescent="0.3">
      <c r="A124" s="2" t="s">
        <v>206</v>
      </c>
      <c r="B124" s="3" t="s">
        <v>66</v>
      </c>
      <c r="C124" s="3" t="s">
        <v>12</v>
      </c>
      <c r="D124" s="2" t="s">
        <v>255</v>
      </c>
      <c r="E124" s="2" t="s">
        <v>256</v>
      </c>
      <c r="F124" s="63">
        <v>43556</v>
      </c>
      <c r="G124" s="63">
        <v>43739</v>
      </c>
      <c r="H124" s="57" t="s">
        <v>254</v>
      </c>
      <c r="I124" s="101">
        <v>0</v>
      </c>
      <c r="J124" s="32" t="str">
        <f>UPPER(TEXT(F124,"mmm")) &amp; " - " &amp; UPPER(TEXT(G124,"mmm"))</f>
        <v>APR - OCT</v>
      </c>
      <c r="K124" s="57" t="s">
        <v>15</v>
      </c>
      <c r="L124" s="99" t="s">
        <v>3895</v>
      </c>
      <c r="M124" s="32" t="str">
        <f t="shared" si="3"/>
        <v>No</v>
      </c>
      <c r="N124" s="32">
        <f>G124 - F124</f>
        <v>183</v>
      </c>
      <c r="O124">
        <v>1</v>
      </c>
    </row>
    <row r="125" spans="1:26" x14ac:dyDescent="0.3">
      <c r="A125" s="2" t="s">
        <v>180</v>
      </c>
      <c r="B125" s="3" t="s">
        <v>11</v>
      </c>
      <c r="C125" s="3" t="s">
        <v>12</v>
      </c>
      <c r="D125" s="2" t="s">
        <v>258</v>
      </c>
      <c r="E125" s="2" t="s">
        <v>259</v>
      </c>
      <c r="F125" s="63">
        <v>43629</v>
      </c>
      <c r="G125" s="63">
        <v>43673</v>
      </c>
      <c r="H125" s="57" t="s">
        <v>254</v>
      </c>
      <c r="I125" s="101">
        <v>0</v>
      </c>
      <c r="J125" s="32" t="str">
        <f>UPPER(TEXT(F125,"mmm")) &amp; " - " &amp; UPPER(TEXT(G125,"mmm"))</f>
        <v>JUN - JUL</v>
      </c>
      <c r="K125" s="57" t="s">
        <v>15</v>
      </c>
      <c r="L125" s="99" t="s">
        <v>3895</v>
      </c>
      <c r="M125" s="32" t="str">
        <f t="shared" si="3"/>
        <v>No</v>
      </c>
      <c r="N125" s="32">
        <f>G125 - F125</f>
        <v>44</v>
      </c>
      <c r="O125">
        <v>1</v>
      </c>
    </row>
    <row r="126" spans="1:26" x14ac:dyDescent="0.3">
      <c r="A126" s="2" t="s">
        <v>207</v>
      </c>
      <c r="B126" s="3" t="s">
        <v>11</v>
      </c>
      <c r="C126" s="3" t="s">
        <v>12</v>
      </c>
      <c r="D126" s="2" t="s">
        <v>261</v>
      </c>
      <c r="E126" s="2" t="s">
        <v>262</v>
      </c>
      <c r="F126" s="63">
        <v>43556</v>
      </c>
      <c r="G126" s="63">
        <v>43647</v>
      </c>
      <c r="H126" s="57" t="s">
        <v>254</v>
      </c>
      <c r="I126" s="102">
        <v>8000</v>
      </c>
      <c r="J126" s="32" t="str">
        <f>UPPER(TEXT(F126,"mmm")) &amp; " - " &amp; UPPER(TEXT(G126,"mmm"))</f>
        <v>APR - JUL</v>
      </c>
      <c r="K126" s="57" t="s">
        <v>15</v>
      </c>
      <c r="L126" s="99" t="s">
        <v>3895</v>
      </c>
      <c r="M126" s="32" t="str">
        <f t="shared" si="3"/>
        <v>Yes</v>
      </c>
      <c r="N126" s="32">
        <f>G126 - F126</f>
        <v>91</v>
      </c>
      <c r="O126">
        <v>1</v>
      </c>
    </row>
    <row r="127" spans="1:26" x14ac:dyDescent="0.3">
      <c r="A127" s="2" t="s">
        <v>208</v>
      </c>
      <c r="B127" s="3" t="s">
        <v>66</v>
      </c>
      <c r="C127" s="3" t="s">
        <v>12</v>
      </c>
      <c r="D127" s="2" t="s">
        <v>263</v>
      </c>
      <c r="E127" s="2" t="s">
        <v>259</v>
      </c>
      <c r="F127" s="63">
        <v>43619</v>
      </c>
      <c r="G127" s="63">
        <v>43676</v>
      </c>
      <c r="H127" s="57" t="s">
        <v>254</v>
      </c>
      <c r="I127" s="101">
        <v>0</v>
      </c>
      <c r="J127" s="32" t="str">
        <f>UPPER(TEXT(F127,"mmm")) &amp; " - " &amp; UPPER(TEXT(G127,"mmm"))</f>
        <v>JUN - JUL</v>
      </c>
      <c r="K127" s="57" t="s">
        <v>15</v>
      </c>
      <c r="L127" s="99" t="s">
        <v>3895</v>
      </c>
      <c r="M127" s="32" t="str">
        <f t="shared" si="3"/>
        <v>No</v>
      </c>
      <c r="N127" s="32">
        <f>G127 - F127</f>
        <v>57</v>
      </c>
      <c r="O127">
        <v>1</v>
      </c>
    </row>
    <row r="128" spans="1:26" x14ac:dyDescent="0.3">
      <c r="A128" s="2" t="s">
        <v>209</v>
      </c>
      <c r="B128" s="3" t="s">
        <v>78</v>
      </c>
      <c r="C128" s="3" t="s">
        <v>12</v>
      </c>
      <c r="D128" s="2" t="s">
        <v>263</v>
      </c>
      <c r="E128" s="2" t="s">
        <v>264</v>
      </c>
      <c r="F128" s="63">
        <v>43619</v>
      </c>
      <c r="G128" s="63">
        <v>43677</v>
      </c>
      <c r="H128" s="57" t="s">
        <v>254</v>
      </c>
      <c r="I128" s="101">
        <v>0</v>
      </c>
      <c r="J128" s="32" t="str">
        <f>UPPER(TEXT(F128,"mmm")) &amp; " - " &amp; UPPER(TEXT(G128,"mmm"))</f>
        <v>JUN - JUL</v>
      </c>
      <c r="K128" s="57" t="s">
        <v>15</v>
      </c>
      <c r="L128" s="99" t="s">
        <v>3895</v>
      </c>
      <c r="M128" s="32" t="str">
        <f t="shared" si="3"/>
        <v>No</v>
      </c>
      <c r="N128" s="32">
        <f>G128 - F128</f>
        <v>58</v>
      </c>
      <c r="O128">
        <v>1</v>
      </c>
    </row>
    <row r="129" spans="1:15" x14ac:dyDescent="0.3">
      <c r="A129" s="2" t="s">
        <v>210</v>
      </c>
      <c r="B129" s="3" t="s">
        <v>66</v>
      </c>
      <c r="C129" s="3" t="s">
        <v>12</v>
      </c>
      <c r="D129" s="2" t="s">
        <v>265</v>
      </c>
      <c r="E129" s="2" t="s">
        <v>259</v>
      </c>
      <c r="F129" s="63">
        <v>43626</v>
      </c>
      <c r="G129" s="63">
        <v>43677</v>
      </c>
      <c r="H129" s="57" t="s">
        <v>254</v>
      </c>
      <c r="I129" s="101">
        <v>0</v>
      </c>
      <c r="J129" s="32" t="str">
        <f>UPPER(TEXT(F129,"mmm")) &amp; " - " &amp; UPPER(TEXT(G129,"mmm"))</f>
        <v>JUN - JUL</v>
      </c>
      <c r="K129" s="57" t="s">
        <v>15</v>
      </c>
      <c r="L129" s="99" t="s">
        <v>3895</v>
      </c>
      <c r="M129" s="32" t="str">
        <f t="shared" si="3"/>
        <v>No</v>
      </c>
      <c r="N129" s="32">
        <f>G129 - F129</f>
        <v>51</v>
      </c>
      <c r="O129">
        <v>1</v>
      </c>
    </row>
    <row r="130" spans="1:15" x14ac:dyDescent="0.3">
      <c r="A130" s="2" t="s">
        <v>211</v>
      </c>
      <c r="B130" s="3" t="s">
        <v>66</v>
      </c>
      <c r="C130" s="3" t="s">
        <v>12</v>
      </c>
      <c r="D130" s="2" t="s">
        <v>265</v>
      </c>
      <c r="E130" s="2" t="s">
        <v>259</v>
      </c>
      <c r="F130" s="63">
        <v>43626</v>
      </c>
      <c r="G130" s="63">
        <v>43677</v>
      </c>
      <c r="H130" s="57" t="s">
        <v>254</v>
      </c>
      <c r="I130" s="101">
        <v>0</v>
      </c>
      <c r="J130" s="32" t="str">
        <f>UPPER(TEXT(F130,"mmm")) &amp; " - " &amp; UPPER(TEXT(G130,"mmm"))</f>
        <v>JUN - JUL</v>
      </c>
      <c r="K130" s="57" t="s">
        <v>15</v>
      </c>
      <c r="L130" s="99" t="s">
        <v>3895</v>
      </c>
      <c r="M130" s="32" t="str">
        <f t="shared" si="3"/>
        <v>No</v>
      </c>
      <c r="N130" s="32">
        <f>G130 - F130</f>
        <v>51</v>
      </c>
      <c r="O130">
        <v>1</v>
      </c>
    </row>
    <row r="131" spans="1:15" x14ac:dyDescent="0.3">
      <c r="A131" s="2" t="s">
        <v>212</v>
      </c>
      <c r="B131" s="3" t="s">
        <v>66</v>
      </c>
      <c r="C131" s="3" t="s">
        <v>12</v>
      </c>
      <c r="D131" s="2" t="s">
        <v>266</v>
      </c>
      <c r="E131" s="2" t="s">
        <v>259</v>
      </c>
      <c r="F131" s="63">
        <v>43619</v>
      </c>
      <c r="G131" s="63">
        <v>43677</v>
      </c>
      <c r="H131" s="57" t="s">
        <v>254</v>
      </c>
      <c r="I131" s="101">
        <v>0</v>
      </c>
      <c r="J131" s="32" t="str">
        <f>UPPER(TEXT(F131,"mmm")) &amp; " - " &amp; UPPER(TEXT(G131,"mmm"))</f>
        <v>JUN - JUL</v>
      </c>
      <c r="K131" s="57" t="s">
        <v>15</v>
      </c>
      <c r="L131" s="99" t="s">
        <v>3895</v>
      </c>
      <c r="M131" s="32" t="str">
        <f t="shared" ref="M131:M194" si="4">IF(I131 &gt; 0, "Yes", "No")</f>
        <v>No</v>
      </c>
      <c r="N131" s="32">
        <f>G131 - F131</f>
        <v>58</v>
      </c>
      <c r="O131">
        <v>1</v>
      </c>
    </row>
    <row r="132" spans="1:15" x14ac:dyDescent="0.3">
      <c r="A132" s="2" t="s">
        <v>213</v>
      </c>
      <c r="B132" s="3" t="s">
        <v>66</v>
      </c>
      <c r="C132" s="3" t="s">
        <v>12</v>
      </c>
      <c r="D132" s="2" t="s">
        <v>267</v>
      </c>
      <c r="E132" s="2" t="s">
        <v>268</v>
      </c>
      <c r="F132" s="63">
        <v>43626</v>
      </c>
      <c r="G132" s="63">
        <v>43658</v>
      </c>
      <c r="H132" s="57" t="s">
        <v>254</v>
      </c>
      <c r="I132" s="101">
        <v>0</v>
      </c>
      <c r="J132" s="32" t="str">
        <f>UPPER(TEXT(F132,"mmm")) &amp; " - " &amp; UPPER(TEXT(G132,"mmm"))</f>
        <v>JUN - JUL</v>
      </c>
      <c r="K132" s="57" t="s">
        <v>15</v>
      </c>
      <c r="L132" s="99" t="s">
        <v>3895</v>
      </c>
      <c r="M132" s="32" t="str">
        <f t="shared" si="4"/>
        <v>No</v>
      </c>
      <c r="N132" s="32">
        <f>G132 - F132</f>
        <v>32</v>
      </c>
      <c r="O132">
        <v>1</v>
      </c>
    </row>
    <row r="133" spans="1:15" x14ac:dyDescent="0.3">
      <c r="A133" s="2" t="s">
        <v>214</v>
      </c>
      <c r="B133" s="3" t="s">
        <v>66</v>
      </c>
      <c r="C133" s="3" t="s">
        <v>12</v>
      </c>
      <c r="D133" s="2" t="s">
        <v>266</v>
      </c>
      <c r="E133" s="2" t="s">
        <v>259</v>
      </c>
      <c r="F133" s="63">
        <v>43619</v>
      </c>
      <c r="G133" s="63">
        <v>43677</v>
      </c>
      <c r="H133" s="57" t="s">
        <v>254</v>
      </c>
      <c r="I133" s="101">
        <v>0</v>
      </c>
      <c r="J133" s="32" t="str">
        <f>UPPER(TEXT(F133,"mmm")) &amp; " - " &amp; UPPER(TEXT(G133,"mmm"))</f>
        <v>JUN - JUL</v>
      </c>
      <c r="K133" s="57" t="s">
        <v>15</v>
      </c>
      <c r="L133" s="99" t="s">
        <v>3895</v>
      </c>
      <c r="M133" s="32" t="str">
        <f t="shared" si="4"/>
        <v>No</v>
      </c>
      <c r="N133" s="32">
        <f>G133 - F133</f>
        <v>58</v>
      </c>
      <c r="O133">
        <v>1</v>
      </c>
    </row>
    <row r="134" spans="1:15" x14ac:dyDescent="0.3">
      <c r="A134" s="2" t="s">
        <v>215</v>
      </c>
      <c r="B134" s="3" t="s">
        <v>66</v>
      </c>
      <c r="C134" s="3" t="s">
        <v>12</v>
      </c>
      <c r="D134" s="2" t="s">
        <v>266</v>
      </c>
      <c r="E134" s="2" t="s">
        <v>259</v>
      </c>
      <c r="F134" s="63">
        <v>43619</v>
      </c>
      <c r="G134" s="63">
        <v>43677</v>
      </c>
      <c r="H134" s="57" t="s">
        <v>254</v>
      </c>
      <c r="I134" s="101">
        <v>0</v>
      </c>
      <c r="J134" s="32" t="str">
        <f>UPPER(TEXT(F134,"mmm")) &amp; " - " &amp; UPPER(TEXT(G134,"mmm"))</f>
        <v>JUN - JUL</v>
      </c>
      <c r="K134" s="57" t="s">
        <v>15</v>
      </c>
      <c r="L134" s="99" t="s">
        <v>3895</v>
      </c>
      <c r="M134" s="32" t="str">
        <f t="shared" si="4"/>
        <v>No</v>
      </c>
      <c r="N134" s="32">
        <f>G134 - F134</f>
        <v>58</v>
      </c>
      <c r="O134">
        <v>1</v>
      </c>
    </row>
    <row r="135" spans="1:15" x14ac:dyDescent="0.3">
      <c r="A135" s="2" t="s">
        <v>216</v>
      </c>
      <c r="B135" s="3" t="s">
        <v>66</v>
      </c>
      <c r="C135" s="3" t="s">
        <v>12</v>
      </c>
      <c r="D135" s="2" t="s">
        <v>266</v>
      </c>
      <c r="E135" s="2" t="s">
        <v>259</v>
      </c>
      <c r="F135" s="63">
        <v>43619</v>
      </c>
      <c r="G135" s="63">
        <v>43677</v>
      </c>
      <c r="H135" s="57" t="s">
        <v>254</v>
      </c>
      <c r="I135" s="101">
        <v>0</v>
      </c>
      <c r="J135" s="32" t="str">
        <f>UPPER(TEXT(F135,"mmm")) &amp; " - " &amp; UPPER(TEXT(G135,"mmm"))</f>
        <v>JUN - JUL</v>
      </c>
      <c r="K135" s="57" t="s">
        <v>15</v>
      </c>
      <c r="L135" s="99" t="s">
        <v>3895</v>
      </c>
      <c r="M135" s="32" t="str">
        <f t="shared" si="4"/>
        <v>No</v>
      </c>
      <c r="N135" s="32">
        <f>G135 - F135</f>
        <v>58</v>
      </c>
      <c r="O135">
        <v>1</v>
      </c>
    </row>
    <row r="136" spans="1:15" x14ac:dyDescent="0.3">
      <c r="A136" s="2" t="s">
        <v>217</v>
      </c>
      <c r="B136" s="3" t="s">
        <v>66</v>
      </c>
      <c r="C136" s="3" t="s">
        <v>12</v>
      </c>
      <c r="D136" s="2" t="s">
        <v>266</v>
      </c>
      <c r="E136" s="2" t="s">
        <v>259</v>
      </c>
      <c r="F136" s="63">
        <v>43619</v>
      </c>
      <c r="G136" s="63">
        <v>43677</v>
      </c>
      <c r="H136" s="57" t="s">
        <v>254</v>
      </c>
      <c r="I136" s="101">
        <v>0</v>
      </c>
      <c r="J136" s="32" t="str">
        <f>UPPER(TEXT(F136,"mmm")) &amp; " - " &amp; UPPER(TEXT(G136,"mmm"))</f>
        <v>JUN - JUL</v>
      </c>
      <c r="K136" s="57" t="s">
        <v>15</v>
      </c>
      <c r="L136" s="99" t="s">
        <v>3895</v>
      </c>
      <c r="M136" s="32" t="str">
        <f t="shared" si="4"/>
        <v>No</v>
      </c>
      <c r="N136" s="32">
        <f>G136 - F136</f>
        <v>58</v>
      </c>
      <c r="O136">
        <v>1</v>
      </c>
    </row>
    <row r="137" spans="1:15" x14ac:dyDescent="0.3">
      <c r="A137" s="2" t="s">
        <v>218</v>
      </c>
      <c r="B137" s="3" t="s">
        <v>66</v>
      </c>
      <c r="C137" s="3" t="s">
        <v>12</v>
      </c>
      <c r="D137" s="2" t="s">
        <v>266</v>
      </c>
      <c r="E137" s="2" t="s">
        <v>259</v>
      </c>
      <c r="F137" s="63">
        <v>43619</v>
      </c>
      <c r="G137" s="63">
        <v>43677</v>
      </c>
      <c r="H137" s="57" t="s">
        <v>254</v>
      </c>
      <c r="I137" s="101">
        <v>0</v>
      </c>
      <c r="J137" s="32" t="str">
        <f>UPPER(TEXT(F137,"mmm")) &amp; " - " &amp; UPPER(TEXT(G137,"mmm"))</f>
        <v>JUN - JUL</v>
      </c>
      <c r="K137" s="57" t="s">
        <v>15</v>
      </c>
      <c r="L137" s="99" t="s">
        <v>3895</v>
      </c>
      <c r="M137" s="32" t="str">
        <f t="shared" si="4"/>
        <v>No</v>
      </c>
      <c r="N137" s="32">
        <f>G137 - F137</f>
        <v>58</v>
      </c>
      <c r="O137">
        <v>1</v>
      </c>
    </row>
    <row r="138" spans="1:15" x14ac:dyDescent="0.3">
      <c r="A138" s="2" t="s">
        <v>219</v>
      </c>
      <c r="B138" s="3" t="s">
        <v>66</v>
      </c>
      <c r="C138" s="3" t="s">
        <v>12</v>
      </c>
      <c r="D138" s="2" t="s">
        <v>269</v>
      </c>
      <c r="E138" s="2" t="s">
        <v>259</v>
      </c>
      <c r="F138" s="63">
        <v>43619</v>
      </c>
      <c r="G138" s="63">
        <v>43677</v>
      </c>
      <c r="H138" s="57" t="s">
        <v>254</v>
      </c>
      <c r="I138" s="101">
        <v>0</v>
      </c>
      <c r="J138" s="32" t="str">
        <f>UPPER(TEXT(F138,"mmm")) &amp; " - " &amp; UPPER(TEXT(G138,"mmm"))</f>
        <v>JUN - JUL</v>
      </c>
      <c r="K138" s="57" t="s">
        <v>15</v>
      </c>
      <c r="L138" s="99" t="s">
        <v>3895</v>
      </c>
      <c r="M138" s="32" t="str">
        <f t="shared" si="4"/>
        <v>No</v>
      </c>
      <c r="N138" s="32">
        <f>G138 - F138</f>
        <v>58</v>
      </c>
      <c r="O138">
        <v>1</v>
      </c>
    </row>
    <row r="139" spans="1:15" x14ac:dyDescent="0.3">
      <c r="A139" s="2" t="s">
        <v>220</v>
      </c>
      <c r="B139" s="3" t="s">
        <v>78</v>
      </c>
      <c r="C139" s="3" t="s">
        <v>12</v>
      </c>
      <c r="D139" s="2" t="s">
        <v>270</v>
      </c>
      <c r="E139" s="2" t="s">
        <v>271</v>
      </c>
      <c r="F139" s="63">
        <v>43619</v>
      </c>
      <c r="G139" s="63">
        <v>43677</v>
      </c>
      <c r="H139" s="57" t="s">
        <v>254</v>
      </c>
      <c r="I139" s="101">
        <v>0</v>
      </c>
      <c r="J139" s="32" t="str">
        <f>UPPER(TEXT(F139,"mmm")) &amp; " - " &amp; UPPER(TEXT(G139,"mmm"))</f>
        <v>JUN - JUL</v>
      </c>
      <c r="K139" s="57" t="s">
        <v>15</v>
      </c>
      <c r="L139" s="99" t="s">
        <v>3895</v>
      </c>
      <c r="M139" s="32" t="str">
        <f t="shared" si="4"/>
        <v>No</v>
      </c>
      <c r="N139" s="32">
        <f>G139 - F139</f>
        <v>58</v>
      </c>
      <c r="O139">
        <v>1</v>
      </c>
    </row>
    <row r="140" spans="1:15" x14ac:dyDescent="0.3">
      <c r="A140" s="2" t="s">
        <v>221</v>
      </c>
      <c r="B140" s="3" t="s">
        <v>66</v>
      </c>
      <c r="C140" s="3" t="s">
        <v>12</v>
      </c>
      <c r="D140" s="2" t="s">
        <v>272</v>
      </c>
      <c r="E140" s="2" t="s">
        <v>259</v>
      </c>
      <c r="F140" s="63">
        <v>43626</v>
      </c>
      <c r="G140" s="63">
        <v>43656</v>
      </c>
      <c r="H140" s="57" t="s">
        <v>254</v>
      </c>
      <c r="I140" s="101">
        <v>0</v>
      </c>
      <c r="J140" s="32" t="str">
        <f>UPPER(TEXT(F140,"mmm")) &amp; " - " &amp; UPPER(TEXT(G140,"mmm"))</f>
        <v>JUN - JUL</v>
      </c>
      <c r="K140" s="57" t="s">
        <v>15</v>
      </c>
      <c r="L140" s="99" t="s">
        <v>3895</v>
      </c>
      <c r="M140" s="32" t="str">
        <f t="shared" si="4"/>
        <v>No</v>
      </c>
      <c r="N140" s="32">
        <f>G140 - F140</f>
        <v>30</v>
      </c>
      <c r="O140">
        <v>1</v>
      </c>
    </row>
    <row r="141" spans="1:15" x14ac:dyDescent="0.3">
      <c r="A141" s="2" t="s">
        <v>222</v>
      </c>
      <c r="B141" s="3" t="s">
        <v>66</v>
      </c>
      <c r="C141" s="3" t="s">
        <v>12</v>
      </c>
      <c r="D141" s="2" t="s">
        <v>265</v>
      </c>
      <c r="E141" s="2" t="s">
        <v>259</v>
      </c>
      <c r="F141" s="63">
        <v>43626</v>
      </c>
      <c r="G141" s="63">
        <v>43677</v>
      </c>
      <c r="H141" s="57" t="s">
        <v>254</v>
      </c>
      <c r="I141" s="102">
        <v>30000</v>
      </c>
      <c r="J141" s="32" t="str">
        <f>UPPER(TEXT(F141,"mmm")) &amp; " - " &amp; UPPER(TEXT(G141,"mmm"))</f>
        <v>JUN - JUL</v>
      </c>
      <c r="K141" s="57" t="s">
        <v>15</v>
      </c>
      <c r="L141" s="99" t="s">
        <v>3895</v>
      </c>
      <c r="M141" s="32" t="str">
        <f t="shared" si="4"/>
        <v>Yes</v>
      </c>
      <c r="N141" s="32">
        <f>G141 - F141</f>
        <v>51</v>
      </c>
      <c r="O141">
        <v>1</v>
      </c>
    </row>
    <row r="142" spans="1:15" x14ac:dyDescent="0.3">
      <c r="A142" s="2" t="s">
        <v>223</v>
      </c>
      <c r="B142" s="3" t="s">
        <v>78</v>
      </c>
      <c r="C142" s="3" t="s">
        <v>12</v>
      </c>
      <c r="D142" s="2" t="s">
        <v>273</v>
      </c>
      <c r="E142" s="2" t="s">
        <v>274</v>
      </c>
      <c r="F142" s="63">
        <v>43617</v>
      </c>
      <c r="G142" s="63">
        <v>43661</v>
      </c>
      <c r="H142" s="57" t="s">
        <v>254</v>
      </c>
      <c r="I142" s="101">
        <v>0</v>
      </c>
      <c r="J142" s="32" t="str">
        <f>UPPER(TEXT(F142,"mmm")) &amp; " - " &amp; UPPER(TEXT(G142,"mmm"))</f>
        <v>JUN - JUL</v>
      </c>
      <c r="K142" s="57" t="s">
        <v>15</v>
      </c>
      <c r="L142" s="99" t="s">
        <v>3895</v>
      </c>
      <c r="M142" s="32" t="str">
        <f t="shared" si="4"/>
        <v>No</v>
      </c>
      <c r="N142" s="32">
        <f>G142 - F142</f>
        <v>44</v>
      </c>
      <c r="O142">
        <v>1</v>
      </c>
    </row>
    <row r="143" spans="1:15" x14ac:dyDescent="0.3">
      <c r="A143" s="2" t="s">
        <v>224</v>
      </c>
      <c r="B143" s="3" t="s">
        <v>78</v>
      </c>
      <c r="C143" s="3" t="s">
        <v>12</v>
      </c>
      <c r="D143" s="2" t="s">
        <v>273</v>
      </c>
      <c r="E143" s="2" t="s">
        <v>274</v>
      </c>
      <c r="F143" s="63">
        <v>43617</v>
      </c>
      <c r="G143" s="63">
        <v>43661</v>
      </c>
      <c r="H143" s="57" t="s">
        <v>254</v>
      </c>
      <c r="I143" s="101">
        <v>0</v>
      </c>
      <c r="J143" s="32" t="str">
        <f>UPPER(TEXT(F143,"mmm")) &amp; " - " &amp; UPPER(TEXT(G143,"mmm"))</f>
        <v>JUN - JUL</v>
      </c>
      <c r="K143" s="57" t="s">
        <v>15</v>
      </c>
      <c r="L143" s="99" t="s">
        <v>3895</v>
      </c>
      <c r="M143" s="32" t="str">
        <f t="shared" si="4"/>
        <v>No</v>
      </c>
      <c r="N143" s="32">
        <f>G143 - F143</f>
        <v>44</v>
      </c>
      <c r="O143">
        <v>1</v>
      </c>
    </row>
    <row r="144" spans="1:15" x14ac:dyDescent="0.3">
      <c r="A144" s="2" t="s">
        <v>225</v>
      </c>
      <c r="B144" s="3" t="s">
        <v>66</v>
      </c>
      <c r="C144" s="3" t="s">
        <v>12</v>
      </c>
      <c r="D144" s="2" t="s">
        <v>275</v>
      </c>
      <c r="E144" s="2" t="s">
        <v>259</v>
      </c>
      <c r="F144" s="63">
        <v>43626</v>
      </c>
      <c r="G144" s="63">
        <v>43673</v>
      </c>
      <c r="H144" s="57" t="s">
        <v>254</v>
      </c>
      <c r="I144" s="101">
        <v>0</v>
      </c>
      <c r="J144" s="32" t="str">
        <f>UPPER(TEXT(F144,"mmm")) &amp; " - " &amp; UPPER(TEXT(G144,"mmm"))</f>
        <v>JUN - JUL</v>
      </c>
      <c r="K144" s="57" t="s">
        <v>15</v>
      </c>
      <c r="L144" s="99" t="s">
        <v>3895</v>
      </c>
      <c r="M144" s="32" t="str">
        <f t="shared" si="4"/>
        <v>No</v>
      </c>
      <c r="N144" s="32">
        <f>G144 - F144</f>
        <v>47</v>
      </c>
      <c r="O144">
        <v>1</v>
      </c>
    </row>
    <row r="145" spans="1:15" x14ac:dyDescent="0.3">
      <c r="A145" s="2" t="s">
        <v>226</v>
      </c>
      <c r="B145" s="3" t="s">
        <v>78</v>
      </c>
      <c r="C145" s="3" t="s">
        <v>12</v>
      </c>
      <c r="D145" s="2" t="s">
        <v>276</v>
      </c>
      <c r="E145" s="2" t="s">
        <v>277</v>
      </c>
      <c r="F145" s="63">
        <v>43622</v>
      </c>
      <c r="G145" s="63">
        <v>43673</v>
      </c>
      <c r="H145" s="57" t="s">
        <v>254</v>
      </c>
      <c r="I145" s="102">
        <v>2000</v>
      </c>
      <c r="J145" s="32" t="str">
        <f>UPPER(TEXT(F145,"mmm")) &amp; " - " &amp; UPPER(TEXT(G145,"mmm"))</f>
        <v>JUN - JUL</v>
      </c>
      <c r="K145" s="57" t="s">
        <v>15</v>
      </c>
      <c r="L145" s="99" t="s">
        <v>3895</v>
      </c>
      <c r="M145" s="32" t="str">
        <f t="shared" si="4"/>
        <v>Yes</v>
      </c>
      <c r="N145" s="32">
        <f>G145 - F145</f>
        <v>51</v>
      </c>
      <c r="O145">
        <v>1</v>
      </c>
    </row>
    <row r="146" spans="1:15" x14ac:dyDescent="0.3">
      <c r="A146" s="2" t="s">
        <v>227</v>
      </c>
      <c r="B146" s="3" t="s">
        <v>78</v>
      </c>
      <c r="C146" s="3" t="s">
        <v>12</v>
      </c>
      <c r="D146" s="2" t="s">
        <v>278</v>
      </c>
      <c r="E146" s="2" t="s">
        <v>259</v>
      </c>
      <c r="F146" s="63">
        <v>43627</v>
      </c>
      <c r="G146" s="63">
        <v>43657</v>
      </c>
      <c r="H146" s="57" t="s">
        <v>254</v>
      </c>
      <c r="I146" s="101">
        <v>0</v>
      </c>
      <c r="J146" s="32" t="str">
        <f>UPPER(TEXT(F146,"mmm")) &amp; " - " &amp; UPPER(TEXT(G146,"mmm"))</f>
        <v>JUN - JUL</v>
      </c>
      <c r="K146" s="57" t="s">
        <v>15</v>
      </c>
      <c r="L146" s="99" t="s">
        <v>3895</v>
      </c>
      <c r="M146" s="32" t="str">
        <f t="shared" si="4"/>
        <v>No</v>
      </c>
      <c r="N146" s="32">
        <f>G146 - F146</f>
        <v>30</v>
      </c>
      <c r="O146">
        <v>1</v>
      </c>
    </row>
    <row r="147" spans="1:15" x14ac:dyDescent="0.3">
      <c r="A147" s="2" t="s">
        <v>228</v>
      </c>
      <c r="B147" s="3" t="s">
        <v>78</v>
      </c>
      <c r="C147" s="3" t="s">
        <v>12</v>
      </c>
      <c r="D147" s="2" t="s">
        <v>279</v>
      </c>
      <c r="E147" s="2" t="s">
        <v>280</v>
      </c>
      <c r="F147" s="63">
        <v>43628</v>
      </c>
      <c r="G147" s="63">
        <v>43658</v>
      </c>
      <c r="H147" s="57" t="s">
        <v>254</v>
      </c>
      <c r="I147" s="101">
        <v>0</v>
      </c>
      <c r="J147" s="32" t="str">
        <f>UPPER(TEXT(F147,"mmm")) &amp; " - " &amp; UPPER(TEXT(G147,"mmm"))</f>
        <v>JUN - JUL</v>
      </c>
      <c r="K147" s="57" t="s">
        <v>15</v>
      </c>
      <c r="L147" s="99" t="s">
        <v>3895</v>
      </c>
      <c r="M147" s="32" t="str">
        <f t="shared" si="4"/>
        <v>No</v>
      </c>
      <c r="N147" s="32">
        <f>G147 - F147</f>
        <v>30</v>
      </c>
      <c r="O147">
        <v>1</v>
      </c>
    </row>
    <row r="148" spans="1:15" x14ac:dyDescent="0.3">
      <c r="A148" s="2" t="s">
        <v>229</v>
      </c>
      <c r="B148" s="3" t="s">
        <v>66</v>
      </c>
      <c r="C148" s="3" t="s">
        <v>12</v>
      </c>
      <c r="D148" s="2" t="s">
        <v>281</v>
      </c>
      <c r="E148" s="2" t="s">
        <v>282</v>
      </c>
      <c r="F148" s="63">
        <v>43612</v>
      </c>
      <c r="G148" s="63">
        <v>43673</v>
      </c>
      <c r="H148" s="57" t="s">
        <v>254</v>
      </c>
      <c r="I148" s="101">
        <v>0</v>
      </c>
      <c r="J148" s="32" t="str">
        <f>UPPER(TEXT(F148,"mmm")) &amp; " - " &amp; UPPER(TEXT(G148,"mmm"))</f>
        <v>MAY - JUL</v>
      </c>
      <c r="K148" s="57" t="s">
        <v>15</v>
      </c>
      <c r="L148" s="99" t="s">
        <v>3895</v>
      </c>
      <c r="M148" s="32" t="str">
        <f t="shared" si="4"/>
        <v>No</v>
      </c>
      <c r="N148" s="32">
        <f>G148 - F148</f>
        <v>61</v>
      </c>
      <c r="O148">
        <v>1</v>
      </c>
    </row>
    <row r="149" spans="1:15" x14ac:dyDescent="0.3">
      <c r="A149" s="2" t="s">
        <v>230</v>
      </c>
      <c r="B149" s="3" t="s">
        <v>66</v>
      </c>
      <c r="C149" s="3" t="s">
        <v>12</v>
      </c>
      <c r="D149" s="2" t="s">
        <v>281</v>
      </c>
      <c r="E149" s="2" t="s">
        <v>282</v>
      </c>
      <c r="F149" s="63">
        <v>43612</v>
      </c>
      <c r="G149" s="63">
        <v>43673</v>
      </c>
      <c r="H149" s="57" t="s">
        <v>254</v>
      </c>
      <c r="I149" s="101">
        <v>0</v>
      </c>
      <c r="J149" s="32" t="str">
        <f>UPPER(TEXT(F149,"mmm")) &amp; " - " &amp; UPPER(TEXT(G149,"mmm"))</f>
        <v>MAY - JUL</v>
      </c>
      <c r="K149" s="57" t="s">
        <v>15</v>
      </c>
      <c r="L149" s="99" t="s">
        <v>3895</v>
      </c>
      <c r="M149" s="32" t="str">
        <f t="shared" si="4"/>
        <v>No</v>
      </c>
      <c r="N149" s="32">
        <f>G149 - F149</f>
        <v>61</v>
      </c>
      <c r="O149">
        <v>1</v>
      </c>
    </row>
    <row r="150" spans="1:15" x14ac:dyDescent="0.3">
      <c r="A150" s="2" t="s">
        <v>131</v>
      </c>
      <c r="B150" s="3" t="s">
        <v>66</v>
      </c>
      <c r="C150" s="3" t="s">
        <v>12</v>
      </c>
      <c r="D150" s="2" t="s">
        <v>281</v>
      </c>
      <c r="E150" s="2" t="s">
        <v>282</v>
      </c>
      <c r="F150" s="63">
        <v>43612</v>
      </c>
      <c r="G150" s="63">
        <v>43673</v>
      </c>
      <c r="H150" s="57" t="s">
        <v>254</v>
      </c>
      <c r="I150" s="101">
        <v>0</v>
      </c>
      <c r="J150" s="32" t="str">
        <f>UPPER(TEXT(F150,"mmm")) &amp; " - " &amp; UPPER(TEXT(G150,"mmm"))</f>
        <v>MAY - JUL</v>
      </c>
      <c r="K150" s="57" t="s">
        <v>15</v>
      </c>
      <c r="L150" s="99" t="s">
        <v>3895</v>
      </c>
      <c r="M150" s="32" t="str">
        <f t="shared" si="4"/>
        <v>No</v>
      </c>
      <c r="N150" s="32">
        <f>G150 - F150</f>
        <v>61</v>
      </c>
      <c r="O150">
        <v>1</v>
      </c>
    </row>
    <row r="151" spans="1:15" x14ac:dyDescent="0.3">
      <c r="A151" s="2" t="s">
        <v>231</v>
      </c>
      <c r="B151" s="3" t="s">
        <v>11</v>
      </c>
      <c r="C151" s="3" t="s">
        <v>12</v>
      </c>
      <c r="D151" s="2" t="s">
        <v>283</v>
      </c>
      <c r="E151" s="2" t="s">
        <v>284</v>
      </c>
      <c r="F151" s="63">
        <v>43634</v>
      </c>
      <c r="G151" s="63">
        <v>43665</v>
      </c>
      <c r="H151" s="57" t="s">
        <v>254</v>
      </c>
      <c r="I151" s="101">
        <v>0</v>
      </c>
      <c r="J151" s="32" t="str">
        <f>UPPER(TEXT(F151,"mmm")) &amp; " - " &amp; UPPER(TEXT(G151,"mmm"))</f>
        <v>JUN - JUL</v>
      </c>
      <c r="K151" s="57" t="s">
        <v>15</v>
      </c>
      <c r="L151" s="99" t="s">
        <v>3895</v>
      </c>
      <c r="M151" s="32" t="str">
        <f t="shared" si="4"/>
        <v>No</v>
      </c>
      <c r="N151" s="32">
        <f>G151 - F151</f>
        <v>31</v>
      </c>
      <c r="O151">
        <v>1</v>
      </c>
    </row>
    <row r="152" spans="1:15" x14ac:dyDescent="0.3">
      <c r="A152" s="2" t="s">
        <v>88</v>
      </c>
      <c r="B152" s="3" t="s">
        <v>66</v>
      </c>
      <c r="C152" s="3" t="s">
        <v>12</v>
      </c>
      <c r="D152" s="2" t="s">
        <v>285</v>
      </c>
      <c r="E152" s="2" t="s">
        <v>286</v>
      </c>
      <c r="F152" s="63">
        <v>43622</v>
      </c>
      <c r="G152" s="63">
        <v>43658</v>
      </c>
      <c r="H152" s="57" t="s">
        <v>254</v>
      </c>
      <c r="I152" s="102">
        <v>5000</v>
      </c>
      <c r="J152" s="32" t="str">
        <f>UPPER(TEXT(F152,"mmm")) &amp; " - " &amp; UPPER(TEXT(G152,"mmm"))</f>
        <v>JUN - JUL</v>
      </c>
      <c r="K152" s="57" t="s">
        <v>15</v>
      </c>
      <c r="L152" s="99" t="s">
        <v>3895</v>
      </c>
      <c r="M152" s="32" t="str">
        <f t="shared" si="4"/>
        <v>Yes</v>
      </c>
      <c r="N152" s="32">
        <f>G152 - F152</f>
        <v>36</v>
      </c>
      <c r="O152">
        <v>1</v>
      </c>
    </row>
    <row r="153" spans="1:15" x14ac:dyDescent="0.3">
      <c r="A153" s="2" t="s">
        <v>232</v>
      </c>
      <c r="B153" s="3" t="s">
        <v>66</v>
      </c>
      <c r="C153" s="3" t="s">
        <v>12</v>
      </c>
      <c r="D153" s="2" t="s">
        <v>287</v>
      </c>
      <c r="E153" s="2" t="s">
        <v>262</v>
      </c>
      <c r="F153" s="63">
        <v>43640</v>
      </c>
      <c r="G153" s="63">
        <v>43666</v>
      </c>
      <c r="H153" s="57" t="s">
        <v>254</v>
      </c>
      <c r="I153" s="102">
        <v>12000</v>
      </c>
      <c r="J153" s="32" t="str">
        <f>UPPER(TEXT(F153,"mmm")) &amp; " - " &amp; UPPER(TEXT(G153,"mmm"))</f>
        <v>JUN - JUL</v>
      </c>
      <c r="K153" s="57" t="s">
        <v>15</v>
      </c>
      <c r="L153" s="99" t="s">
        <v>3895</v>
      </c>
      <c r="M153" s="32" t="str">
        <f t="shared" si="4"/>
        <v>Yes</v>
      </c>
      <c r="N153" s="32">
        <f>G153 - F153</f>
        <v>26</v>
      </c>
      <c r="O153">
        <v>1</v>
      </c>
    </row>
    <row r="154" spans="1:15" x14ac:dyDescent="0.3">
      <c r="A154" s="2" t="s">
        <v>233</v>
      </c>
      <c r="B154" s="3" t="s">
        <v>66</v>
      </c>
      <c r="C154" s="3" t="s">
        <v>12</v>
      </c>
      <c r="D154" s="2" t="s">
        <v>288</v>
      </c>
      <c r="E154" s="2" t="s">
        <v>289</v>
      </c>
      <c r="F154" s="63">
        <v>43634</v>
      </c>
      <c r="G154" s="63">
        <v>43726</v>
      </c>
      <c r="H154" s="57" t="s">
        <v>254</v>
      </c>
      <c r="I154" s="101">
        <v>0</v>
      </c>
      <c r="J154" s="32" t="str">
        <f>UPPER(TEXT(F154,"mmm")) &amp; " - " &amp; UPPER(TEXT(G154,"mmm"))</f>
        <v>JUN - SEP</v>
      </c>
      <c r="K154" s="57" t="s">
        <v>15</v>
      </c>
      <c r="L154" s="99" t="s">
        <v>3895</v>
      </c>
      <c r="M154" s="32" t="str">
        <f t="shared" si="4"/>
        <v>No</v>
      </c>
      <c r="N154" s="32">
        <f>G154 - F154</f>
        <v>92</v>
      </c>
      <c r="O154">
        <v>1</v>
      </c>
    </row>
    <row r="155" spans="1:15" x14ac:dyDescent="0.3">
      <c r="A155" s="2" t="s">
        <v>234</v>
      </c>
      <c r="B155" s="3" t="s">
        <v>66</v>
      </c>
      <c r="C155" s="3" t="s">
        <v>12</v>
      </c>
      <c r="D155" s="2" t="s">
        <v>288</v>
      </c>
      <c r="E155" s="2" t="s">
        <v>289</v>
      </c>
      <c r="F155" s="63">
        <v>43634</v>
      </c>
      <c r="G155" s="63">
        <v>43726</v>
      </c>
      <c r="H155" s="57" t="s">
        <v>254</v>
      </c>
      <c r="I155" s="101">
        <v>0</v>
      </c>
      <c r="J155" s="32" t="str">
        <f>UPPER(TEXT(F155,"mmm")) &amp; " - " &amp; UPPER(TEXT(G155,"mmm"))</f>
        <v>JUN - SEP</v>
      </c>
      <c r="K155" s="57" t="s">
        <v>15</v>
      </c>
      <c r="L155" s="99" t="s">
        <v>3895</v>
      </c>
      <c r="M155" s="32" t="str">
        <f t="shared" si="4"/>
        <v>No</v>
      </c>
      <c r="N155" s="32">
        <f>G155 - F155</f>
        <v>92</v>
      </c>
      <c r="O155">
        <v>1</v>
      </c>
    </row>
    <row r="156" spans="1:15" x14ac:dyDescent="0.3">
      <c r="A156" s="2" t="s">
        <v>235</v>
      </c>
      <c r="B156" s="3" t="s">
        <v>66</v>
      </c>
      <c r="C156" s="3" t="s">
        <v>12</v>
      </c>
      <c r="D156" s="2" t="s">
        <v>288</v>
      </c>
      <c r="E156" s="2" t="s">
        <v>289</v>
      </c>
      <c r="F156" s="63">
        <v>43634</v>
      </c>
      <c r="G156" s="63">
        <v>43726</v>
      </c>
      <c r="H156" s="57" t="s">
        <v>254</v>
      </c>
      <c r="I156" s="101">
        <v>0</v>
      </c>
      <c r="J156" s="32" t="str">
        <f>UPPER(TEXT(F156,"mmm")) &amp; " - " &amp; UPPER(TEXT(G156,"mmm"))</f>
        <v>JUN - SEP</v>
      </c>
      <c r="K156" s="57" t="s">
        <v>15</v>
      </c>
      <c r="L156" s="99" t="s">
        <v>3895</v>
      </c>
      <c r="M156" s="32" t="str">
        <f t="shared" si="4"/>
        <v>No</v>
      </c>
      <c r="N156" s="32">
        <f>G156 - F156</f>
        <v>92</v>
      </c>
      <c r="O156">
        <v>1</v>
      </c>
    </row>
    <row r="157" spans="1:15" x14ac:dyDescent="0.3">
      <c r="A157" s="2" t="s">
        <v>236</v>
      </c>
      <c r="B157" s="3" t="s">
        <v>11</v>
      </c>
      <c r="C157" s="3" t="s">
        <v>12</v>
      </c>
      <c r="D157" s="2" t="s">
        <v>290</v>
      </c>
      <c r="E157" s="2" t="s">
        <v>291</v>
      </c>
      <c r="F157" s="63">
        <v>43626</v>
      </c>
      <c r="G157" s="63">
        <v>43658</v>
      </c>
      <c r="H157" s="57" t="s">
        <v>254</v>
      </c>
      <c r="I157" s="101">
        <v>0</v>
      </c>
      <c r="J157" s="32" t="str">
        <f>UPPER(TEXT(F157,"mmm")) &amp; " - " &amp; UPPER(TEXT(G157,"mmm"))</f>
        <v>JUN - JUL</v>
      </c>
      <c r="K157" s="57" t="s">
        <v>15</v>
      </c>
      <c r="L157" s="99" t="s">
        <v>3895</v>
      </c>
      <c r="M157" s="32" t="str">
        <f t="shared" si="4"/>
        <v>No</v>
      </c>
      <c r="N157" s="32">
        <f>G157 - F157</f>
        <v>32</v>
      </c>
      <c r="O157">
        <v>1</v>
      </c>
    </row>
    <row r="158" spans="1:15" x14ac:dyDescent="0.3">
      <c r="A158" s="2" t="s">
        <v>237</v>
      </c>
      <c r="B158" s="3" t="s">
        <v>11</v>
      </c>
      <c r="C158" s="3" t="s">
        <v>12</v>
      </c>
      <c r="D158" s="2" t="s">
        <v>292</v>
      </c>
      <c r="E158" s="2" t="s">
        <v>277</v>
      </c>
      <c r="F158" s="63">
        <v>43633</v>
      </c>
      <c r="G158" s="63">
        <v>43665</v>
      </c>
      <c r="H158" s="57" t="s">
        <v>254</v>
      </c>
      <c r="I158" s="101">
        <v>0</v>
      </c>
      <c r="J158" s="32" t="str">
        <f>UPPER(TEXT(F158,"mmm")) &amp; " - " &amp; UPPER(TEXT(G158,"mmm"))</f>
        <v>JUN - JUL</v>
      </c>
      <c r="K158" s="57" t="s">
        <v>15</v>
      </c>
      <c r="L158" s="99" t="s">
        <v>3895</v>
      </c>
      <c r="M158" s="32" t="str">
        <f t="shared" si="4"/>
        <v>No</v>
      </c>
      <c r="N158" s="32">
        <f>G158 - F158</f>
        <v>32</v>
      </c>
      <c r="O158">
        <v>1</v>
      </c>
    </row>
    <row r="159" spans="1:15" x14ac:dyDescent="0.3">
      <c r="A159" s="16" t="s">
        <v>238</v>
      </c>
      <c r="B159" s="15" t="s">
        <v>66</v>
      </c>
      <c r="C159" s="15" t="s">
        <v>12</v>
      </c>
      <c r="D159" s="16" t="s">
        <v>293</v>
      </c>
      <c r="E159" s="16" t="s">
        <v>294</v>
      </c>
      <c r="F159" s="70">
        <v>43546</v>
      </c>
      <c r="G159" s="70">
        <v>43730</v>
      </c>
      <c r="H159" s="57" t="s">
        <v>254</v>
      </c>
      <c r="I159" s="101">
        <v>0</v>
      </c>
      <c r="J159" s="32" t="str">
        <f>UPPER(TEXT(F159,"mmm")) &amp; " - " &amp; UPPER(TEXT(G159,"mmm"))</f>
        <v>MAR - SEP</v>
      </c>
      <c r="K159" s="57" t="s">
        <v>15</v>
      </c>
      <c r="L159" s="99" t="s">
        <v>3895</v>
      </c>
      <c r="M159" s="32" t="str">
        <f t="shared" si="4"/>
        <v>No</v>
      </c>
      <c r="N159" s="32">
        <f>G159 - F159</f>
        <v>184</v>
      </c>
      <c r="O159">
        <v>1</v>
      </c>
    </row>
    <row r="160" spans="1:15" x14ac:dyDescent="0.3">
      <c r="A160" s="8" t="s">
        <v>239</v>
      </c>
      <c r="B160" s="3" t="s">
        <v>66</v>
      </c>
      <c r="C160" s="10" t="s">
        <v>12</v>
      </c>
      <c r="D160" s="8" t="s">
        <v>295</v>
      </c>
      <c r="E160" s="8" t="s">
        <v>296</v>
      </c>
      <c r="F160" s="65">
        <v>43617</v>
      </c>
      <c r="G160" s="65">
        <v>43708</v>
      </c>
      <c r="H160" s="57" t="s">
        <v>254</v>
      </c>
      <c r="I160" s="101">
        <v>0</v>
      </c>
      <c r="J160" s="32" t="str">
        <f>UPPER(TEXT(F160,"mmm")) &amp; " - " &amp; UPPER(TEXT(G160,"mmm"))</f>
        <v>JUN - AUG</v>
      </c>
      <c r="K160" s="57" t="s">
        <v>15</v>
      </c>
      <c r="L160" s="99" t="s">
        <v>3895</v>
      </c>
      <c r="M160" s="32" t="str">
        <f t="shared" si="4"/>
        <v>No</v>
      </c>
      <c r="N160" s="32">
        <f>G160 - F160</f>
        <v>91</v>
      </c>
      <c r="O160">
        <v>1</v>
      </c>
    </row>
    <row r="161" spans="1:15" x14ac:dyDescent="0.3">
      <c r="A161" s="8" t="s">
        <v>240</v>
      </c>
      <c r="B161" s="10" t="s">
        <v>11</v>
      </c>
      <c r="C161" s="10" t="s">
        <v>12</v>
      </c>
      <c r="D161" s="8" t="s">
        <v>297</v>
      </c>
      <c r="E161" s="8" t="s">
        <v>298</v>
      </c>
      <c r="F161" s="65">
        <v>43641</v>
      </c>
      <c r="G161" s="65">
        <v>43659</v>
      </c>
      <c r="H161" s="57" t="s">
        <v>254</v>
      </c>
      <c r="I161" s="101">
        <v>0</v>
      </c>
      <c r="J161" s="32" t="str">
        <f>UPPER(TEXT(F161,"mmm")) &amp; " - " &amp; UPPER(TEXT(G161,"mmm"))</f>
        <v>JUN - JUL</v>
      </c>
      <c r="K161" s="57" t="s">
        <v>15</v>
      </c>
      <c r="L161" s="99" t="s">
        <v>3895</v>
      </c>
      <c r="M161" s="32" t="str">
        <f t="shared" si="4"/>
        <v>No</v>
      </c>
      <c r="N161" s="32">
        <f>G161 - F161</f>
        <v>18</v>
      </c>
      <c r="O161">
        <v>1</v>
      </c>
    </row>
    <row r="162" spans="1:15" x14ac:dyDescent="0.3">
      <c r="A162" s="8" t="s">
        <v>241</v>
      </c>
      <c r="B162" s="10" t="s">
        <v>70</v>
      </c>
      <c r="C162" s="10" t="s">
        <v>12</v>
      </c>
      <c r="D162" s="8" t="s">
        <v>299</v>
      </c>
      <c r="E162" s="8" t="s">
        <v>300</v>
      </c>
      <c r="F162" s="65">
        <v>43612</v>
      </c>
      <c r="G162" s="65">
        <v>43658</v>
      </c>
      <c r="H162" s="57" t="s">
        <v>254</v>
      </c>
      <c r="I162" s="101">
        <v>35000</v>
      </c>
      <c r="J162" s="32" t="str">
        <f>UPPER(TEXT(F162,"mmm")) &amp; " - " &amp; UPPER(TEXT(G162,"mmm"))</f>
        <v>MAY - JUL</v>
      </c>
      <c r="K162" s="57" t="s">
        <v>15</v>
      </c>
      <c r="L162" s="99" t="s">
        <v>3895</v>
      </c>
      <c r="M162" s="32" t="str">
        <f t="shared" si="4"/>
        <v>Yes</v>
      </c>
      <c r="N162" s="32">
        <f>G162 - F162</f>
        <v>46</v>
      </c>
      <c r="O162">
        <v>1</v>
      </c>
    </row>
    <row r="163" spans="1:15" x14ac:dyDescent="0.3">
      <c r="A163" s="8" t="s">
        <v>242</v>
      </c>
      <c r="B163" s="10" t="s">
        <v>78</v>
      </c>
      <c r="C163" s="10" t="s">
        <v>12</v>
      </c>
      <c r="D163" s="8" t="s">
        <v>301</v>
      </c>
      <c r="E163" s="8" t="s">
        <v>302</v>
      </c>
      <c r="F163" s="65">
        <v>43626</v>
      </c>
      <c r="G163" s="65">
        <v>43656</v>
      </c>
      <c r="H163" s="57" t="s">
        <v>254</v>
      </c>
      <c r="I163" s="101">
        <v>0</v>
      </c>
      <c r="J163" s="32" t="str">
        <f>UPPER(TEXT(F163,"mmm")) &amp; " - " &amp; UPPER(TEXT(G163,"mmm"))</f>
        <v>JUN - JUL</v>
      </c>
      <c r="K163" s="57" t="s">
        <v>15</v>
      </c>
      <c r="L163" s="99" t="s">
        <v>3895</v>
      </c>
      <c r="M163" s="32" t="str">
        <f t="shared" si="4"/>
        <v>No</v>
      </c>
      <c r="N163" s="32">
        <f>G163 - F163</f>
        <v>30</v>
      </c>
      <c r="O163">
        <v>1</v>
      </c>
    </row>
    <row r="164" spans="1:15" x14ac:dyDescent="0.3">
      <c r="A164" s="8" t="s">
        <v>243</v>
      </c>
      <c r="B164" s="10" t="s">
        <v>78</v>
      </c>
      <c r="C164" s="10" t="s">
        <v>12</v>
      </c>
      <c r="D164" s="8" t="s">
        <v>301</v>
      </c>
      <c r="E164" s="8" t="s">
        <v>302</v>
      </c>
      <c r="F164" s="65">
        <v>43626</v>
      </c>
      <c r="G164" s="65">
        <v>43656</v>
      </c>
      <c r="H164" s="57" t="s">
        <v>254</v>
      </c>
      <c r="I164" s="101">
        <v>0</v>
      </c>
      <c r="J164" s="32" t="str">
        <f>UPPER(TEXT(F164,"mmm")) &amp; " - " &amp; UPPER(TEXT(G164,"mmm"))</f>
        <v>JUN - JUL</v>
      </c>
      <c r="K164" s="57" t="s">
        <v>15</v>
      </c>
      <c r="L164" s="99" t="s">
        <v>3895</v>
      </c>
      <c r="M164" s="32" t="str">
        <f t="shared" si="4"/>
        <v>No</v>
      </c>
      <c r="N164" s="32">
        <f>G164 - F164</f>
        <v>30</v>
      </c>
      <c r="O164">
        <v>1</v>
      </c>
    </row>
    <row r="165" spans="1:15" x14ac:dyDescent="0.3">
      <c r="A165" s="8" t="s">
        <v>244</v>
      </c>
      <c r="B165" s="10" t="s">
        <v>78</v>
      </c>
      <c r="C165" s="10" t="s">
        <v>12</v>
      </c>
      <c r="D165" s="8" t="s">
        <v>301</v>
      </c>
      <c r="E165" s="8" t="s">
        <v>302</v>
      </c>
      <c r="F165" s="65">
        <v>43626</v>
      </c>
      <c r="G165" s="65">
        <v>43656</v>
      </c>
      <c r="H165" s="57" t="s">
        <v>254</v>
      </c>
      <c r="I165" s="101">
        <v>0</v>
      </c>
      <c r="J165" s="32" t="str">
        <f>UPPER(TEXT(F165,"mmm")) &amp; " - " &amp; UPPER(TEXT(G165,"mmm"))</f>
        <v>JUN - JUL</v>
      </c>
      <c r="K165" s="57" t="s">
        <v>15</v>
      </c>
      <c r="L165" s="99" t="s">
        <v>3895</v>
      </c>
      <c r="M165" s="32" t="str">
        <f t="shared" si="4"/>
        <v>No</v>
      </c>
      <c r="N165" s="32">
        <f>G165 - F165</f>
        <v>30</v>
      </c>
      <c r="O165">
        <v>1</v>
      </c>
    </row>
    <row r="166" spans="1:15" x14ac:dyDescent="0.3">
      <c r="A166" s="8" t="s">
        <v>245</v>
      </c>
      <c r="B166" s="10" t="s">
        <v>78</v>
      </c>
      <c r="C166" s="10" t="s">
        <v>12</v>
      </c>
      <c r="D166" s="8" t="s">
        <v>303</v>
      </c>
      <c r="E166" s="8" t="s">
        <v>304</v>
      </c>
      <c r="F166" s="65">
        <v>43626</v>
      </c>
      <c r="G166" s="65">
        <v>43656</v>
      </c>
      <c r="H166" s="57" t="s">
        <v>254</v>
      </c>
      <c r="I166" s="101">
        <v>0</v>
      </c>
      <c r="J166" s="32" t="str">
        <f>UPPER(TEXT(F166,"mmm")) &amp; " - " &amp; UPPER(TEXT(G166,"mmm"))</f>
        <v>JUN - JUL</v>
      </c>
      <c r="K166" s="57" t="s">
        <v>15</v>
      </c>
      <c r="L166" s="99" t="s">
        <v>3895</v>
      </c>
      <c r="M166" s="32" t="str">
        <f t="shared" si="4"/>
        <v>No</v>
      </c>
      <c r="N166" s="32">
        <f>G166 - F166</f>
        <v>30</v>
      </c>
      <c r="O166">
        <v>1</v>
      </c>
    </row>
    <row r="167" spans="1:15" x14ac:dyDescent="0.3">
      <c r="A167" s="8" t="s">
        <v>246</v>
      </c>
      <c r="B167" s="10" t="s">
        <v>78</v>
      </c>
      <c r="C167" s="10" t="s">
        <v>12</v>
      </c>
      <c r="D167" s="8" t="s">
        <v>301</v>
      </c>
      <c r="E167" s="8" t="s">
        <v>302</v>
      </c>
      <c r="F167" s="65">
        <v>43626</v>
      </c>
      <c r="G167" s="65">
        <v>43656</v>
      </c>
      <c r="H167" s="57" t="s">
        <v>254</v>
      </c>
      <c r="I167" s="101">
        <v>0</v>
      </c>
      <c r="J167" s="32" t="str">
        <f>UPPER(TEXT(F167,"mmm")) &amp; " - " &amp; UPPER(TEXT(G167,"mmm"))</f>
        <v>JUN - JUL</v>
      </c>
      <c r="K167" s="57" t="s">
        <v>15</v>
      </c>
      <c r="L167" s="99" t="s">
        <v>3895</v>
      </c>
      <c r="M167" s="32" t="str">
        <f t="shared" si="4"/>
        <v>No</v>
      </c>
      <c r="N167" s="32">
        <f>G167 - F167</f>
        <v>30</v>
      </c>
      <c r="O167">
        <v>1</v>
      </c>
    </row>
    <row r="168" spans="1:15" x14ac:dyDescent="0.3">
      <c r="A168" s="8" t="s">
        <v>247</v>
      </c>
      <c r="B168" s="10" t="s">
        <v>78</v>
      </c>
      <c r="C168" s="10" t="s">
        <v>12</v>
      </c>
      <c r="D168" s="8" t="s">
        <v>305</v>
      </c>
      <c r="E168" s="8" t="s">
        <v>306</v>
      </c>
      <c r="F168" s="65">
        <v>43612</v>
      </c>
      <c r="G168" s="65">
        <v>43631</v>
      </c>
      <c r="H168" s="57" t="s">
        <v>254</v>
      </c>
      <c r="I168" s="101">
        <v>0</v>
      </c>
      <c r="J168" s="32" t="str">
        <f>UPPER(TEXT(F168,"mmm")) &amp; " - " &amp; UPPER(TEXT(G168,"mmm"))</f>
        <v>MAY - JUN</v>
      </c>
      <c r="K168" s="57" t="s">
        <v>15</v>
      </c>
      <c r="L168" s="99" t="s">
        <v>3895</v>
      </c>
      <c r="M168" s="32" t="str">
        <f t="shared" si="4"/>
        <v>No</v>
      </c>
      <c r="N168" s="32">
        <f>G168 - F168</f>
        <v>19</v>
      </c>
      <c r="O168">
        <v>1</v>
      </c>
    </row>
    <row r="169" spans="1:15" x14ac:dyDescent="0.3">
      <c r="A169" s="8" t="s">
        <v>248</v>
      </c>
      <c r="B169" s="10" t="s">
        <v>78</v>
      </c>
      <c r="C169" s="10" t="s">
        <v>12</v>
      </c>
      <c r="D169" s="8" t="s">
        <v>307</v>
      </c>
      <c r="E169" s="8" t="s">
        <v>308</v>
      </c>
      <c r="F169" s="65">
        <v>43621</v>
      </c>
      <c r="G169" s="65">
        <v>43651</v>
      </c>
      <c r="H169" s="57" t="s">
        <v>254</v>
      </c>
      <c r="I169" s="101">
        <v>0</v>
      </c>
      <c r="J169" s="32" t="str">
        <f>UPPER(TEXT(F169,"mmm")) &amp; " - " &amp; UPPER(TEXT(G169,"mmm"))</f>
        <v>JUN - JUL</v>
      </c>
      <c r="K169" s="57" t="s">
        <v>15</v>
      </c>
      <c r="L169" s="99" t="s">
        <v>3895</v>
      </c>
      <c r="M169" s="32" t="str">
        <f t="shared" si="4"/>
        <v>No</v>
      </c>
      <c r="N169" s="32">
        <f>G169 - F169</f>
        <v>30</v>
      </c>
      <c r="O169">
        <v>1</v>
      </c>
    </row>
    <row r="170" spans="1:15" x14ac:dyDescent="0.3">
      <c r="A170" s="13" t="s">
        <v>249</v>
      </c>
      <c r="B170" s="19" t="s">
        <v>78</v>
      </c>
      <c r="C170" s="19" t="s">
        <v>12</v>
      </c>
      <c r="D170" s="13" t="s">
        <v>288</v>
      </c>
      <c r="E170" s="13" t="s">
        <v>284</v>
      </c>
      <c r="F170" s="67">
        <v>43634</v>
      </c>
      <c r="G170" s="67">
        <v>43726</v>
      </c>
      <c r="H170" s="57" t="s">
        <v>254</v>
      </c>
      <c r="I170" s="101">
        <v>0</v>
      </c>
      <c r="J170" s="32" t="str">
        <f>UPPER(TEXT(F170,"mmm")) &amp; " - " &amp; UPPER(TEXT(G170,"mmm"))</f>
        <v>JUN - SEP</v>
      </c>
      <c r="K170" s="57" t="s">
        <v>15</v>
      </c>
      <c r="L170" s="99" t="s">
        <v>3895</v>
      </c>
      <c r="M170" s="32" t="str">
        <f t="shared" si="4"/>
        <v>No</v>
      </c>
      <c r="N170" s="32">
        <f>G170 - F170</f>
        <v>92</v>
      </c>
      <c r="O170">
        <v>1</v>
      </c>
    </row>
    <row r="171" spans="1:15" x14ac:dyDescent="0.3">
      <c r="A171" s="8" t="s">
        <v>250</v>
      </c>
      <c r="B171" s="10" t="s">
        <v>78</v>
      </c>
      <c r="C171" s="10" t="s">
        <v>12</v>
      </c>
      <c r="D171" s="8" t="s">
        <v>309</v>
      </c>
      <c r="E171" s="8" t="s">
        <v>310</v>
      </c>
      <c r="F171" s="65">
        <v>43621</v>
      </c>
      <c r="G171" s="65">
        <v>43652</v>
      </c>
      <c r="H171" s="57" t="s">
        <v>254</v>
      </c>
      <c r="I171" s="101">
        <v>5000</v>
      </c>
      <c r="J171" s="32" t="str">
        <f>UPPER(TEXT(F171,"mmm")) &amp; " - " &amp; UPPER(TEXT(G171,"mmm"))</f>
        <v>JUN - JUL</v>
      </c>
      <c r="K171" s="57" t="s">
        <v>15</v>
      </c>
      <c r="L171" s="99" t="s">
        <v>3895</v>
      </c>
      <c r="M171" s="32" t="str">
        <f t="shared" si="4"/>
        <v>Yes</v>
      </c>
      <c r="N171" s="32">
        <f>G171 - F171</f>
        <v>31</v>
      </c>
      <c r="O171">
        <v>1</v>
      </c>
    </row>
    <row r="172" spans="1:15" x14ac:dyDescent="0.3">
      <c r="A172" s="8" t="s">
        <v>251</v>
      </c>
      <c r="B172" s="10" t="s">
        <v>78</v>
      </c>
      <c r="C172" s="10" t="s">
        <v>12</v>
      </c>
      <c r="D172" s="8" t="s">
        <v>311</v>
      </c>
      <c r="E172" s="8" t="s">
        <v>284</v>
      </c>
      <c r="F172" s="65">
        <v>43618</v>
      </c>
      <c r="G172" s="65">
        <v>43689</v>
      </c>
      <c r="H172" s="57" t="s">
        <v>254</v>
      </c>
      <c r="I172" s="101">
        <v>15000</v>
      </c>
      <c r="J172" s="32" t="str">
        <f>UPPER(TEXT(F172,"mmm")) &amp; " - " &amp; UPPER(TEXT(G172,"mmm"))</f>
        <v>JUN - AUG</v>
      </c>
      <c r="K172" s="57" t="s">
        <v>15</v>
      </c>
      <c r="L172" s="99" t="s">
        <v>3895</v>
      </c>
      <c r="M172" s="32" t="str">
        <f t="shared" si="4"/>
        <v>Yes</v>
      </c>
      <c r="N172" s="32">
        <f>G172 - F172</f>
        <v>71</v>
      </c>
      <c r="O172">
        <v>1</v>
      </c>
    </row>
    <row r="173" spans="1:15" x14ac:dyDescent="0.3">
      <c r="A173" s="26" t="s">
        <v>312</v>
      </c>
      <c r="B173" s="28" t="s">
        <v>11</v>
      </c>
      <c r="C173" s="28" t="s">
        <v>12</v>
      </c>
      <c r="D173" s="26" t="s">
        <v>384</v>
      </c>
      <c r="E173" s="26" t="s">
        <v>385</v>
      </c>
      <c r="F173" s="52">
        <v>43882</v>
      </c>
      <c r="G173" s="52">
        <v>43921</v>
      </c>
      <c r="H173" s="32" t="str">
        <f>IF((AND(F173&gt;=DATE(2019,7,1),F173&lt;=DATE(2019,12,31))),"ODD", "EVEN")</f>
        <v>EVEN</v>
      </c>
      <c r="I173" s="103">
        <v>0</v>
      </c>
      <c r="J173" s="32" t="str">
        <f>UPPER(TEXT(F173,"mmm")) &amp; " - " &amp; UPPER(TEXT(G173,"mmm"))</f>
        <v>FEB - MAR</v>
      </c>
      <c r="K173" s="3" t="s">
        <v>563</v>
      </c>
      <c r="L173" s="99" t="s">
        <v>3895</v>
      </c>
      <c r="M173" s="32" t="str">
        <f t="shared" si="4"/>
        <v>No</v>
      </c>
      <c r="N173" s="32">
        <f>G173 - F173</f>
        <v>39</v>
      </c>
      <c r="O173">
        <v>1</v>
      </c>
    </row>
    <row r="174" spans="1:15" x14ac:dyDescent="0.3">
      <c r="A174" s="26" t="s">
        <v>133</v>
      </c>
      <c r="B174" s="28" t="s">
        <v>66</v>
      </c>
      <c r="C174" s="28" t="s">
        <v>12</v>
      </c>
      <c r="D174" s="26" t="s">
        <v>386</v>
      </c>
      <c r="E174" s="26" t="s">
        <v>387</v>
      </c>
      <c r="F174" s="52">
        <v>43709</v>
      </c>
      <c r="G174" s="52">
        <v>43799</v>
      </c>
      <c r="H174" s="32" t="str">
        <f>IF((AND(F174&gt;=DATE(2019,7,1),F174&lt;=DATE(2019,12,31))),"ODD", "EVEN")</f>
        <v>ODD</v>
      </c>
      <c r="I174" s="103">
        <v>0</v>
      </c>
      <c r="J174" s="32" t="str">
        <f>UPPER(TEXT(F174,"mmm")) &amp; " - " &amp; UPPER(TEXT(G174,"mmm"))</f>
        <v>SEP - NOV</v>
      </c>
      <c r="K174" s="3" t="s">
        <v>563</v>
      </c>
      <c r="L174" s="99" t="s">
        <v>3895</v>
      </c>
      <c r="M174" s="32" t="str">
        <f t="shared" si="4"/>
        <v>No</v>
      </c>
      <c r="N174" s="32">
        <f>G174 - F174</f>
        <v>90</v>
      </c>
      <c r="O174">
        <v>1</v>
      </c>
    </row>
    <row r="175" spans="1:15" x14ac:dyDescent="0.3">
      <c r="A175" s="26" t="s">
        <v>133</v>
      </c>
      <c r="B175" s="28" t="s">
        <v>66</v>
      </c>
      <c r="C175" s="28" t="s">
        <v>12</v>
      </c>
      <c r="D175" s="26" t="s">
        <v>388</v>
      </c>
      <c r="E175" s="26" t="s">
        <v>389</v>
      </c>
      <c r="F175" s="52">
        <v>43991</v>
      </c>
      <c r="G175" s="52">
        <v>44058</v>
      </c>
      <c r="H175" s="32" t="str">
        <f t="shared" ref="H175:H238" si="5">IF((AND(F175&gt;=DATE(2019,7,1),F175&lt;=DATE(2019,12,31))),"ODD", "EVEN")</f>
        <v>EVEN</v>
      </c>
      <c r="I175" s="103">
        <v>10000</v>
      </c>
      <c r="J175" s="32" t="str">
        <f>UPPER(TEXT(F175,"mmm")) &amp; " - " &amp; UPPER(TEXT(G175,"mmm"))</f>
        <v>JUN - AUG</v>
      </c>
      <c r="K175" s="3" t="s">
        <v>563</v>
      </c>
      <c r="L175" s="99" t="s">
        <v>3895</v>
      </c>
      <c r="M175" s="32" t="str">
        <f t="shared" si="4"/>
        <v>Yes</v>
      </c>
      <c r="N175" s="32">
        <f>G175 - F175</f>
        <v>67</v>
      </c>
      <c r="O175">
        <v>1</v>
      </c>
    </row>
    <row r="176" spans="1:15" x14ac:dyDescent="0.3">
      <c r="A176" s="26" t="s">
        <v>313</v>
      </c>
      <c r="B176" s="28" t="s">
        <v>66</v>
      </c>
      <c r="C176" s="28" t="s">
        <v>12</v>
      </c>
      <c r="D176" s="26" t="s">
        <v>390</v>
      </c>
      <c r="E176" s="26" t="s">
        <v>391</v>
      </c>
      <c r="F176" s="52">
        <v>43850</v>
      </c>
      <c r="G176" s="52">
        <v>43910</v>
      </c>
      <c r="H176" s="32" t="str">
        <f t="shared" si="5"/>
        <v>EVEN</v>
      </c>
      <c r="I176" s="103">
        <v>2000</v>
      </c>
      <c r="J176" s="32" t="str">
        <f>UPPER(TEXT(F176,"mmm")) &amp; " - " &amp; UPPER(TEXT(G176,"mmm"))</f>
        <v>JAN - MAR</v>
      </c>
      <c r="K176" s="3" t="s">
        <v>563</v>
      </c>
      <c r="L176" s="99" t="s">
        <v>3895</v>
      </c>
      <c r="M176" s="32" t="str">
        <f t="shared" si="4"/>
        <v>Yes</v>
      </c>
      <c r="N176" s="32">
        <f>G176 - F176</f>
        <v>60</v>
      </c>
      <c r="O176">
        <v>1</v>
      </c>
    </row>
    <row r="177" spans="1:15" x14ac:dyDescent="0.3">
      <c r="A177" s="26" t="s">
        <v>313</v>
      </c>
      <c r="B177" s="28" t="s">
        <v>66</v>
      </c>
      <c r="C177" s="28" t="s">
        <v>12</v>
      </c>
      <c r="D177" s="26" t="s">
        <v>392</v>
      </c>
      <c r="E177" s="26" t="s">
        <v>393</v>
      </c>
      <c r="F177" s="52">
        <v>43794</v>
      </c>
      <c r="G177" s="52">
        <v>43824</v>
      </c>
      <c r="H177" s="32" t="str">
        <f t="shared" si="5"/>
        <v>ODD</v>
      </c>
      <c r="I177" s="103">
        <v>1500</v>
      </c>
      <c r="J177" s="32" t="str">
        <f>UPPER(TEXT(F177,"mmm")) &amp; " - " &amp; UPPER(TEXT(G177,"mmm"))</f>
        <v>NOV - DEC</v>
      </c>
      <c r="K177" s="3" t="s">
        <v>563</v>
      </c>
      <c r="L177" s="99" t="s">
        <v>3895</v>
      </c>
      <c r="M177" s="32" t="str">
        <f t="shared" si="4"/>
        <v>Yes</v>
      </c>
      <c r="N177" s="32">
        <f>G177 - F177</f>
        <v>30</v>
      </c>
      <c r="O177">
        <v>1</v>
      </c>
    </row>
    <row r="178" spans="1:15" x14ac:dyDescent="0.3">
      <c r="A178" s="26" t="s">
        <v>314</v>
      </c>
      <c r="B178" s="28" t="s">
        <v>66</v>
      </c>
      <c r="C178" s="28" t="s">
        <v>12</v>
      </c>
      <c r="D178" s="26" t="s">
        <v>394</v>
      </c>
      <c r="E178" s="26" t="s">
        <v>395</v>
      </c>
      <c r="F178" s="52">
        <v>43997</v>
      </c>
      <c r="G178" s="52">
        <v>44021</v>
      </c>
      <c r="H178" s="32" t="str">
        <f t="shared" si="5"/>
        <v>EVEN</v>
      </c>
      <c r="I178" s="103">
        <v>0</v>
      </c>
      <c r="J178" s="32" t="str">
        <f>UPPER(TEXT(F178,"mmm")) &amp; " - " &amp; UPPER(TEXT(G178,"mmm"))</f>
        <v>JUN - JUL</v>
      </c>
      <c r="K178" s="3" t="s">
        <v>563</v>
      </c>
      <c r="L178" s="99" t="s">
        <v>3895</v>
      </c>
      <c r="M178" s="32" t="str">
        <f t="shared" si="4"/>
        <v>No</v>
      </c>
      <c r="N178" s="32">
        <f>G178 - F178</f>
        <v>24</v>
      </c>
      <c r="O178">
        <v>1</v>
      </c>
    </row>
    <row r="179" spans="1:15" x14ac:dyDescent="0.3">
      <c r="A179" s="26" t="s">
        <v>314</v>
      </c>
      <c r="B179" s="28" t="s">
        <v>66</v>
      </c>
      <c r="C179" s="28" t="s">
        <v>12</v>
      </c>
      <c r="D179" s="26" t="s">
        <v>170</v>
      </c>
      <c r="E179" s="26" t="s">
        <v>396</v>
      </c>
      <c r="F179" s="52">
        <v>43835</v>
      </c>
      <c r="G179" s="52">
        <v>44025</v>
      </c>
      <c r="H179" s="32" t="str">
        <f t="shared" si="5"/>
        <v>EVEN</v>
      </c>
      <c r="I179" s="103">
        <v>0</v>
      </c>
      <c r="J179" s="32" t="str">
        <f>UPPER(TEXT(F179,"mmm")) &amp; " - " &amp; UPPER(TEXT(G179,"mmm"))</f>
        <v>JAN - JUL</v>
      </c>
      <c r="K179" s="3" t="s">
        <v>563</v>
      </c>
      <c r="L179" s="99" t="s">
        <v>3895</v>
      </c>
      <c r="M179" s="32" t="str">
        <f t="shared" si="4"/>
        <v>No</v>
      </c>
      <c r="N179" s="32">
        <f>G179 - F179</f>
        <v>190</v>
      </c>
      <c r="O179">
        <v>1</v>
      </c>
    </row>
    <row r="180" spans="1:15" x14ac:dyDescent="0.3">
      <c r="A180" s="26" t="s">
        <v>315</v>
      </c>
      <c r="B180" s="28" t="s">
        <v>78</v>
      </c>
      <c r="C180" s="28" t="s">
        <v>12</v>
      </c>
      <c r="D180" s="26" t="s">
        <v>397</v>
      </c>
      <c r="E180" s="26" t="s">
        <v>398</v>
      </c>
      <c r="F180" s="52">
        <v>44007</v>
      </c>
      <c r="G180" s="52">
        <v>44047</v>
      </c>
      <c r="H180" s="32" t="str">
        <f t="shared" si="5"/>
        <v>EVEN</v>
      </c>
      <c r="I180" s="103">
        <v>0</v>
      </c>
      <c r="J180" s="32" t="str">
        <f>UPPER(TEXT(F180,"mmm")) &amp; " - " &amp; UPPER(TEXT(G180,"mmm"))</f>
        <v>JUN - AUG</v>
      </c>
      <c r="K180" s="3" t="s">
        <v>563</v>
      </c>
      <c r="L180" s="99" t="s">
        <v>3895</v>
      </c>
      <c r="M180" s="32" t="str">
        <f t="shared" si="4"/>
        <v>No</v>
      </c>
      <c r="N180" s="32">
        <f>G180 - F180</f>
        <v>40</v>
      </c>
      <c r="O180">
        <v>1</v>
      </c>
    </row>
    <row r="181" spans="1:15" x14ac:dyDescent="0.3">
      <c r="A181" s="26" t="s">
        <v>316</v>
      </c>
      <c r="B181" s="28" t="s">
        <v>11</v>
      </c>
      <c r="C181" s="28" t="s">
        <v>12</v>
      </c>
      <c r="D181" s="26" t="s">
        <v>399</v>
      </c>
      <c r="E181" s="26" t="s">
        <v>400</v>
      </c>
      <c r="F181" s="52">
        <v>43923</v>
      </c>
      <c r="G181" s="52">
        <v>43953</v>
      </c>
      <c r="H181" s="32" t="str">
        <f t="shared" si="5"/>
        <v>EVEN</v>
      </c>
      <c r="I181" s="103">
        <v>8000</v>
      </c>
      <c r="J181" s="32" t="str">
        <f>UPPER(TEXT(F181,"mmm")) &amp; " - " &amp; UPPER(TEXT(G181,"mmm"))</f>
        <v>APR - MAY</v>
      </c>
      <c r="K181" s="3" t="s">
        <v>563</v>
      </c>
      <c r="L181" s="99" t="s">
        <v>3895</v>
      </c>
      <c r="M181" s="32" t="str">
        <f t="shared" si="4"/>
        <v>Yes</v>
      </c>
      <c r="N181" s="32">
        <f>G181 - F181</f>
        <v>30</v>
      </c>
      <c r="O181">
        <v>1</v>
      </c>
    </row>
    <row r="182" spans="1:15" x14ac:dyDescent="0.3">
      <c r="A182" s="26" t="s">
        <v>317</v>
      </c>
      <c r="B182" s="28" t="s">
        <v>78</v>
      </c>
      <c r="C182" s="28" t="s">
        <v>12</v>
      </c>
      <c r="D182" s="26" t="s">
        <v>401</v>
      </c>
      <c r="E182" s="26" t="s">
        <v>402</v>
      </c>
      <c r="F182" s="52">
        <v>43831</v>
      </c>
      <c r="G182" s="52">
        <v>43890</v>
      </c>
      <c r="H182" s="32" t="str">
        <f t="shared" si="5"/>
        <v>EVEN</v>
      </c>
      <c r="I182" s="103">
        <v>0</v>
      </c>
      <c r="J182" s="32" t="str">
        <f>UPPER(TEXT(F182,"mmm")) &amp; " - " &amp; UPPER(TEXT(G182,"mmm"))</f>
        <v>JAN - FEB</v>
      </c>
      <c r="K182" s="3" t="s">
        <v>563</v>
      </c>
      <c r="L182" s="99" t="s">
        <v>3895</v>
      </c>
      <c r="M182" s="32" t="str">
        <f t="shared" si="4"/>
        <v>No</v>
      </c>
      <c r="N182" s="32">
        <f>G182 - F182</f>
        <v>59</v>
      </c>
      <c r="O182">
        <v>1</v>
      </c>
    </row>
    <row r="183" spans="1:15" x14ac:dyDescent="0.3">
      <c r="A183" s="26" t="s">
        <v>318</v>
      </c>
      <c r="B183" s="28" t="s">
        <v>78</v>
      </c>
      <c r="C183" s="28" t="s">
        <v>12</v>
      </c>
      <c r="D183" s="26" t="s">
        <v>403</v>
      </c>
      <c r="E183" s="26" t="s">
        <v>404</v>
      </c>
      <c r="F183" s="52">
        <v>43925</v>
      </c>
      <c r="G183" s="52">
        <v>43986</v>
      </c>
      <c r="H183" s="32" t="str">
        <f t="shared" si="5"/>
        <v>EVEN</v>
      </c>
      <c r="I183" s="103">
        <v>7000</v>
      </c>
      <c r="J183" s="32" t="str">
        <f>UPPER(TEXT(F183,"mmm")) &amp; " - " &amp; UPPER(TEXT(G183,"mmm"))</f>
        <v>APR - JUN</v>
      </c>
      <c r="K183" s="3" t="s">
        <v>563</v>
      </c>
      <c r="L183" s="99" t="s">
        <v>3895</v>
      </c>
      <c r="M183" s="32" t="str">
        <f t="shared" si="4"/>
        <v>Yes</v>
      </c>
      <c r="N183" s="32">
        <f>G183 - F183</f>
        <v>61</v>
      </c>
      <c r="O183">
        <v>1</v>
      </c>
    </row>
    <row r="184" spans="1:15" x14ac:dyDescent="0.3">
      <c r="A184" s="26" t="s">
        <v>209</v>
      </c>
      <c r="B184" s="28" t="s">
        <v>66</v>
      </c>
      <c r="C184" s="28" t="s">
        <v>12</v>
      </c>
      <c r="D184" s="26" t="s">
        <v>405</v>
      </c>
      <c r="E184" s="26" t="s">
        <v>406</v>
      </c>
      <c r="F184" s="52">
        <v>43977</v>
      </c>
      <c r="G184" s="52">
        <v>44029</v>
      </c>
      <c r="H184" s="32" t="str">
        <f t="shared" si="5"/>
        <v>EVEN</v>
      </c>
      <c r="I184" s="103">
        <v>80000</v>
      </c>
      <c r="J184" s="32" t="str">
        <f>UPPER(TEXT(F184,"mmm")) &amp; " - " &amp; UPPER(TEXT(G184,"mmm"))</f>
        <v>MAY - JUL</v>
      </c>
      <c r="K184" s="3" t="s">
        <v>563</v>
      </c>
      <c r="L184" s="99" t="s">
        <v>3895</v>
      </c>
      <c r="M184" s="32" t="str">
        <f t="shared" si="4"/>
        <v>Yes</v>
      </c>
      <c r="N184" s="32">
        <f>G184 - F184</f>
        <v>52</v>
      </c>
      <c r="O184">
        <v>1</v>
      </c>
    </row>
    <row r="185" spans="1:15" x14ac:dyDescent="0.3">
      <c r="A185" s="26" t="s">
        <v>209</v>
      </c>
      <c r="B185" s="28" t="s">
        <v>66</v>
      </c>
      <c r="C185" s="28" t="s">
        <v>12</v>
      </c>
      <c r="D185" s="26" t="s">
        <v>407</v>
      </c>
      <c r="E185" s="26" t="s">
        <v>408</v>
      </c>
      <c r="F185" s="52">
        <v>43919</v>
      </c>
      <c r="G185" s="52">
        <v>43934</v>
      </c>
      <c r="H185" s="32" t="str">
        <f t="shared" si="5"/>
        <v>EVEN</v>
      </c>
      <c r="I185" s="103">
        <v>0</v>
      </c>
      <c r="J185" s="32" t="str">
        <f>UPPER(TEXT(F185,"mmm")) &amp; " - " &amp; UPPER(TEXT(G185,"mmm"))</f>
        <v>MAR - APR</v>
      </c>
      <c r="K185" s="3" t="s">
        <v>563</v>
      </c>
      <c r="L185" s="99" t="s">
        <v>3895</v>
      </c>
      <c r="M185" s="32" t="str">
        <f t="shared" si="4"/>
        <v>No</v>
      </c>
      <c r="N185" s="32">
        <f>G185 - F185</f>
        <v>15</v>
      </c>
      <c r="O185">
        <v>1</v>
      </c>
    </row>
    <row r="186" spans="1:15" ht="26.4" x14ac:dyDescent="0.3">
      <c r="A186" s="27" t="s">
        <v>319</v>
      </c>
      <c r="B186" s="29" t="s">
        <v>78</v>
      </c>
      <c r="C186" s="29" t="s">
        <v>12</v>
      </c>
      <c r="D186" s="30" t="s">
        <v>409</v>
      </c>
      <c r="E186" s="1"/>
      <c r="F186" s="52">
        <v>43815</v>
      </c>
      <c r="G186" s="52">
        <v>43833</v>
      </c>
      <c r="H186" s="32" t="str">
        <f t="shared" si="5"/>
        <v>ODD</v>
      </c>
      <c r="I186" s="102">
        <v>0</v>
      </c>
      <c r="J186" s="32" t="str">
        <f>UPPER(TEXT(F186,"mmm")) &amp; " - " &amp; UPPER(TEXT(G186,"mmm"))</f>
        <v>DEC - JAN</v>
      </c>
      <c r="K186" s="3" t="s">
        <v>563</v>
      </c>
      <c r="L186" s="99" t="s">
        <v>3895</v>
      </c>
      <c r="M186" s="32" t="str">
        <f t="shared" si="4"/>
        <v>No</v>
      </c>
      <c r="N186" s="32">
        <f>G186 - F186</f>
        <v>18</v>
      </c>
      <c r="O186">
        <v>1</v>
      </c>
    </row>
    <row r="187" spans="1:15" x14ac:dyDescent="0.3">
      <c r="A187" s="27" t="s">
        <v>320</v>
      </c>
      <c r="B187" s="29" t="s">
        <v>78</v>
      </c>
      <c r="C187" s="29" t="s">
        <v>12</v>
      </c>
      <c r="D187" s="30" t="s">
        <v>410</v>
      </c>
      <c r="E187" s="1" t="s">
        <v>277</v>
      </c>
      <c r="F187" s="52">
        <v>43678</v>
      </c>
      <c r="G187" s="52">
        <v>43708</v>
      </c>
      <c r="H187" s="32" t="str">
        <f t="shared" si="5"/>
        <v>ODD</v>
      </c>
      <c r="I187" s="102">
        <v>2500</v>
      </c>
      <c r="J187" s="32" t="str">
        <f>UPPER(TEXT(F187,"mmm")) &amp; " - " &amp; UPPER(TEXT(G187,"mmm"))</f>
        <v>AUG - AUG</v>
      </c>
      <c r="K187" s="3" t="s">
        <v>563</v>
      </c>
      <c r="L187" s="99" t="s">
        <v>3895</v>
      </c>
      <c r="M187" s="32" t="str">
        <f t="shared" si="4"/>
        <v>Yes</v>
      </c>
      <c r="N187" s="32">
        <f>G187 - F187</f>
        <v>30</v>
      </c>
      <c r="O187">
        <v>1</v>
      </c>
    </row>
    <row r="188" spans="1:15" x14ac:dyDescent="0.3">
      <c r="A188" s="26" t="s">
        <v>321</v>
      </c>
      <c r="B188" s="28" t="s">
        <v>78</v>
      </c>
      <c r="C188" s="28" t="s">
        <v>12</v>
      </c>
      <c r="D188" s="26" t="s">
        <v>411</v>
      </c>
      <c r="E188" s="26" t="s">
        <v>412</v>
      </c>
      <c r="F188" s="52">
        <v>43971</v>
      </c>
      <c r="G188" s="52">
        <v>44037</v>
      </c>
      <c r="H188" s="32" t="str">
        <f t="shared" si="5"/>
        <v>EVEN</v>
      </c>
      <c r="I188" s="103">
        <v>0</v>
      </c>
      <c r="J188" s="32" t="str">
        <f>UPPER(TEXT(F188,"mmm")) &amp; " - " &amp; UPPER(TEXT(G188,"mmm"))</f>
        <v>MAY - JUL</v>
      </c>
      <c r="K188" s="3" t="s">
        <v>563</v>
      </c>
      <c r="L188" s="99" t="s">
        <v>3895</v>
      </c>
      <c r="M188" s="32" t="str">
        <f t="shared" si="4"/>
        <v>No</v>
      </c>
      <c r="N188" s="32">
        <f>G188 - F188</f>
        <v>66</v>
      </c>
      <c r="O188">
        <v>1</v>
      </c>
    </row>
    <row r="189" spans="1:15" x14ac:dyDescent="0.3">
      <c r="A189" s="27" t="s">
        <v>322</v>
      </c>
      <c r="B189" s="29" t="s">
        <v>78</v>
      </c>
      <c r="C189" s="29" t="s">
        <v>12</v>
      </c>
      <c r="D189" s="30" t="s">
        <v>413</v>
      </c>
      <c r="E189" s="1"/>
      <c r="F189" s="52">
        <v>43805</v>
      </c>
      <c r="G189" s="52">
        <v>43827</v>
      </c>
      <c r="H189" s="32" t="str">
        <f t="shared" si="5"/>
        <v>ODD</v>
      </c>
      <c r="I189" s="102">
        <v>0</v>
      </c>
      <c r="J189" s="32" t="str">
        <f>UPPER(TEXT(F189,"mmm")) &amp; " - " &amp; UPPER(TEXT(G189,"mmm"))</f>
        <v>DEC - DEC</v>
      </c>
      <c r="K189" s="3" t="s">
        <v>563</v>
      </c>
      <c r="L189" s="99" t="s">
        <v>3895</v>
      </c>
      <c r="M189" s="32" t="str">
        <f t="shared" si="4"/>
        <v>No</v>
      </c>
      <c r="N189" s="32">
        <f>G189 - F189</f>
        <v>22</v>
      </c>
      <c r="O189">
        <v>1</v>
      </c>
    </row>
    <row r="190" spans="1:15" ht="26.4" x14ac:dyDescent="0.3">
      <c r="A190" s="27" t="s">
        <v>323</v>
      </c>
      <c r="B190" s="29" t="s">
        <v>78</v>
      </c>
      <c r="C190" s="29" t="s">
        <v>12</v>
      </c>
      <c r="D190" s="30" t="s">
        <v>414</v>
      </c>
      <c r="E190" s="1"/>
      <c r="F190" s="52">
        <v>43647</v>
      </c>
      <c r="G190" s="52">
        <v>43983</v>
      </c>
      <c r="H190" s="32" t="str">
        <f t="shared" si="5"/>
        <v>ODD</v>
      </c>
      <c r="I190" s="102">
        <v>0</v>
      </c>
      <c r="J190" s="32" t="str">
        <f>UPPER(TEXT(F190,"mmm")) &amp; " - " &amp; UPPER(TEXT(G190,"mmm"))</f>
        <v>JUL - JUN</v>
      </c>
      <c r="K190" s="3" t="s">
        <v>563</v>
      </c>
      <c r="L190" s="99" t="s">
        <v>3895</v>
      </c>
      <c r="M190" s="32" t="str">
        <f t="shared" si="4"/>
        <v>No</v>
      </c>
      <c r="N190" s="32">
        <f>G190 - F190</f>
        <v>336</v>
      </c>
      <c r="O190">
        <v>1</v>
      </c>
    </row>
    <row r="191" spans="1:15" x14ac:dyDescent="0.3">
      <c r="A191" s="26" t="s">
        <v>324</v>
      </c>
      <c r="B191" s="28" t="s">
        <v>66</v>
      </c>
      <c r="C191" s="28" t="s">
        <v>12</v>
      </c>
      <c r="D191" s="26" t="s">
        <v>415</v>
      </c>
      <c r="E191" s="26" t="s">
        <v>416</v>
      </c>
      <c r="F191" s="52">
        <v>43922</v>
      </c>
      <c r="G191" s="52">
        <v>43951</v>
      </c>
      <c r="H191" s="32" t="str">
        <f t="shared" si="5"/>
        <v>EVEN</v>
      </c>
      <c r="I191" s="103">
        <v>0</v>
      </c>
      <c r="J191" s="32" t="str">
        <f>UPPER(TEXT(F191,"mmm")) &amp; " - " &amp; UPPER(TEXT(G191,"mmm"))</f>
        <v>APR - APR</v>
      </c>
      <c r="K191" s="3" t="s">
        <v>563</v>
      </c>
      <c r="L191" s="99" t="s">
        <v>3895</v>
      </c>
      <c r="M191" s="32" t="str">
        <f t="shared" si="4"/>
        <v>No</v>
      </c>
      <c r="N191" s="32">
        <f>G191 - F191</f>
        <v>29</v>
      </c>
      <c r="O191">
        <v>1</v>
      </c>
    </row>
    <row r="192" spans="1:15" x14ac:dyDescent="0.3">
      <c r="A192" s="26" t="s">
        <v>50</v>
      </c>
      <c r="B192" s="28" t="s">
        <v>78</v>
      </c>
      <c r="C192" s="28" t="s">
        <v>12</v>
      </c>
      <c r="D192" s="26" t="s">
        <v>417</v>
      </c>
      <c r="E192" s="26" t="s">
        <v>418</v>
      </c>
      <c r="F192" s="52">
        <v>43983</v>
      </c>
      <c r="G192" s="52">
        <v>44013</v>
      </c>
      <c r="H192" s="32" t="str">
        <f t="shared" si="5"/>
        <v>EVEN</v>
      </c>
      <c r="I192" s="103">
        <v>0</v>
      </c>
      <c r="J192" s="32" t="str">
        <f>UPPER(TEXT(F192,"mmm")) &amp; " - " &amp; UPPER(TEXT(G192,"mmm"))</f>
        <v>JUN - JUL</v>
      </c>
      <c r="K192" s="3" t="s">
        <v>563</v>
      </c>
      <c r="L192" s="99" t="s">
        <v>3895</v>
      </c>
      <c r="M192" s="32" t="str">
        <f t="shared" si="4"/>
        <v>No</v>
      </c>
      <c r="N192" s="32">
        <f>G192 - F192</f>
        <v>30</v>
      </c>
      <c r="O192">
        <v>1</v>
      </c>
    </row>
    <row r="193" spans="1:15" x14ac:dyDescent="0.3">
      <c r="A193" s="26" t="s">
        <v>50</v>
      </c>
      <c r="B193" s="28" t="s">
        <v>78</v>
      </c>
      <c r="C193" s="28" t="s">
        <v>12</v>
      </c>
      <c r="D193" s="26" t="s">
        <v>419</v>
      </c>
      <c r="E193" s="26" t="s">
        <v>420</v>
      </c>
      <c r="F193" s="52">
        <v>43991</v>
      </c>
      <c r="G193" s="52">
        <v>44058</v>
      </c>
      <c r="H193" s="32" t="str">
        <f t="shared" si="5"/>
        <v>EVEN</v>
      </c>
      <c r="I193" s="103">
        <v>10000</v>
      </c>
      <c r="J193" s="32" t="str">
        <f>UPPER(TEXT(F193,"mmm")) &amp; " - " &amp; UPPER(TEXT(G193,"mmm"))</f>
        <v>JUN - AUG</v>
      </c>
      <c r="K193" s="3" t="s">
        <v>563</v>
      </c>
      <c r="L193" s="99" t="s">
        <v>3895</v>
      </c>
      <c r="M193" s="32" t="str">
        <f t="shared" si="4"/>
        <v>Yes</v>
      </c>
      <c r="N193" s="32">
        <f>G193 - F193</f>
        <v>67</v>
      </c>
      <c r="O193">
        <v>1</v>
      </c>
    </row>
    <row r="194" spans="1:15" ht="26.4" x14ac:dyDescent="0.3">
      <c r="A194" s="27" t="s">
        <v>325</v>
      </c>
      <c r="B194" s="29" t="s">
        <v>78</v>
      </c>
      <c r="C194" s="29" t="s">
        <v>12</v>
      </c>
      <c r="D194" s="30" t="s">
        <v>421</v>
      </c>
      <c r="E194" s="1"/>
      <c r="F194" s="52">
        <v>43770</v>
      </c>
      <c r="G194" s="52">
        <v>43836</v>
      </c>
      <c r="H194" s="32" t="str">
        <f t="shared" si="5"/>
        <v>ODD</v>
      </c>
      <c r="I194" s="102">
        <v>0</v>
      </c>
      <c r="J194" s="32" t="str">
        <f>UPPER(TEXT(F194,"mmm")) &amp; " - " &amp; UPPER(TEXT(G194,"mmm"))</f>
        <v>NOV - JAN</v>
      </c>
      <c r="K194" s="3" t="s">
        <v>563</v>
      </c>
      <c r="L194" s="99" t="s">
        <v>3895</v>
      </c>
      <c r="M194" s="32" t="str">
        <f t="shared" si="4"/>
        <v>No</v>
      </c>
      <c r="N194" s="32">
        <f>G194 - F194</f>
        <v>66</v>
      </c>
      <c r="O194">
        <v>1</v>
      </c>
    </row>
    <row r="195" spans="1:15" ht="26.4" x14ac:dyDescent="0.3">
      <c r="A195" s="27" t="s">
        <v>326</v>
      </c>
      <c r="B195" s="29" t="s">
        <v>78</v>
      </c>
      <c r="C195" s="29" t="s">
        <v>12</v>
      </c>
      <c r="D195" s="30" t="s">
        <v>422</v>
      </c>
      <c r="E195" s="1"/>
      <c r="F195" s="52">
        <v>43809</v>
      </c>
      <c r="G195" s="52">
        <v>43841</v>
      </c>
      <c r="H195" s="32" t="str">
        <f t="shared" si="5"/>
        <v>ODD</v>
      </c>
      <c r="I195" s="102">
        <v>0</v>
      </c>
      <c r="J195" s="32" t="str">
        <f>UPPER(TEXT(F195,"mmm")) &amp; " - " &amp; UPPER(TEXT(G195,"mmm"))</f>
        <v>DEC - JAN</v>
      </c>
      <c r="K195" s="3" t="s">
        <v>563</v>
      </c>
      <c r="L195" s="99" t="s">
        <v>3895</v>
      </c>
      <c r="M195" s="32" t="str">
        <f t="shared" ref="M195:M258" si="6">IF(I195 &gt; 0, "Yes", "No")</f>
        <v>No</v>
      </c>
      <c r="N195" s="32">
        <f>G195 - F195</f>
        <v>32</v>
      </c>
      <c r="O195">
        <v>1</v>
      </c>
    </row>
    <row r="196" spans="1:15" x14ac:dyDescent="0.3">
      <c r="A196" s="26" t="s">
        <v>327</v>
      </c>
      <c r="B196" s="28" t="s">
        <v>78</v>
      </c>
      <c r="C196" s="28" t="s">
        <v>12</v>
      </c>
      <c r="D196" s="26" t="s">
        <v>423</v>
      </c>
      <c r="E196" s="26" t="s">
        <v>424</v>
      </c>
      <c r="F196" s="52">
        <v>43952</v>
      </c>
      <c r="G196" s="52">
        <v>44042</v>
      </c>
      <c r="H196" s="32" t="str">
        <f t="shared" si="5"/>
        <v>EVEN</v>
      </c>
      <c r="I196" s="103">
        <v>3333</v>
      </c>
      <c r="J196" s="32" t="str">
        <f>UPPER(TEXT(F196,"mmm")) &amp; " - " &amp; UPPER(TEXT(G196,"mmm"))</f>
        <v>MAY - JUL</v>
      </c>
      <c r="K196" s="3" t="s">
        <v>563</v>
      </c>
      <c r="L196" s="99" t="s">
        <v>3895</v>
      </c>
      <c r="M196" s="32" t="str">
        <f t="shared" si="6"/>
        <v>Yes</v>
      </c>
      <c r="N196" s="32">
        <f>G196 - F196</f>
        <v>90</v>
      </c>
      <c r="O196">
        <v>1</v>
      </c>
    </row>
    <row r="197" spans="1:15" x14ac:dyDescent="0.3">
      <c r="A197" s="26" t="s">
        <v>328</v>
      </c>
      <c r="B197" s="28" t="s">
        <v>11</v>
      </c>
      <c r="C197" s="28" t="s">
        <v>12</v>
      </c>
      <c r="D197" s="26" t="s">
        <v>425</v>
      </c>
      <c r="E197" s="26" t="s">
        <v>426</v>
      </c>
      <c r="F197" s="52">
        <v>43878</v>
      </c>
      <c r="G197" s="52">
        <v>43906</v>
      </c>
      <c r="H197" s="32" t="str">
        <f t="shared" si="5"/>
        <v>EVEN</v>
      </c>
      <c r="I197" s="103">
        <v>1000</v>
      </c>
      <c r="J197" s="32" t="str">
        <f>UPPER(TEXT(F197,"mmm")) &amp; " - " &amp; UPPER(TEXT(G197,"mmm"))</f>
        <v>FEB - MAR</v>
      </c>
      <c r="K197" s="3" t="s">
        <v>563</v>
      </c>
      <c r="L197" s="99" t="s">
        <v>3895</v>
      </c>
      <c r="M197" s="32" t="str">
        <f t="shared" si="6"/>
        <v>Yes</v>
      </c>
      <c r="N197" s="32">
        <f>G197 - F197</f>
        <v>28</v>
      </c>
      <c r="O197">
        <v>1</v>
      </c>
    </row>
    <row r="198" spans="1:15" x14ac:dyDescent="0.3">
      <c r="A198" s="26" t="s">
        <v>173</v>
      </c>
      <c r="B198" s="28" t="s">
        <v>66</v>
      </c>
      <c r="C198" s="28" t="s">
        <v>12</v>
      </c>
      <c r="D198" s="26" t="s">
        <v>427</v>
      </c>
      <c r="E198" s="26" t="s">
        <v>428</v>
      </c>
      <c r="F198" s="52">
        <v>44006</v>
      </c>
      <c r="G198" s="52">
        <v>44036</v>
      </c>
      <c r="H198" s="32" t="str">
        <f t="shared" si="5"/>
        <v>EVEN</v>
      </c>
      <c r="I198" s="103">
        <v>0</v>
      </c>
      <c r="J198" s="32" t="str">
        <f>UPPER(TEXT(F198,"mmm")) &amp; " - " &amp; UPPER(TEXT(G198,"mmm"))</f>
        <v>JUN - JUL</v>
      </c>
      <c r="K198" s="3" t="s">
        <v>563</v>
      </c>
      <c r="L198" s="99" t="s">
        <v>3895</v>
      </c>
      <c r="M198" s="32" t="str">
        <f t="shared" si="6"/>
        <v>No</v>
      </c>
      <c r="N198" s="32">
        <f>G198 - F198</f>
        <v>30</v>
      </c>
      <c r="O198">
        <v>1</v>
      </c>
    </row>
    <row r="199" spans="1:15" x14ac:dyDescent="0.3">
      <c r="A199" s="26" t="s">
        <v>173</v>
      </c>
      <c r="B199" s="28" t="s">
        <v>66</v>
      </c>
      <c r="C199" s="28" t="s">
        <v>12</v>
      </c>
      <c r="D199" s="26" t="s">
        <v>429</v>
      </c>
      <c r="E199" s="26" t="s">
        <v>277</v>
      </c>
      <c r="F199" s="52">
        <v>43919</v>
      </c>
      <c r="G199" s="52">
        <v>43934</v>
      </c>
      <c r="H199" s="32" t="str">
        <f t="shared" si="5"/>
        <v>EVEN</v>
      </c>
      <c r="I199" s="103">
        <v>0</v>
      </c>
      <c r="J199" s="32" t="str">
        <f>UPPER(TEXT(F199,"mmm")) &amp; " - " &amp; UPPER(TEXT(G199,"mmm"))</f>
        <v>MAR - APR</v>
      </c>
      <c r="K199" s="3" t="s">
        <v>563</v>
      </c>
      <c r="L199" s="99" t="s">
        <v>3895</v>
      </c>
      <c r="M199" s="32" t="str">
        <f t="shared" si="6"/>
        <v>No</v>
      </c>
      <c r="N199" s="32">
        <f>G199 - F199</f>
        <v>15</v>
      </c>
      <c r="O199">
        <v>1</v>
      </c>
    </row>
    <row r="200" spans="1:15" x14ac:dyDescent="0.3">
      <c r="A200" s="26" t="s">
        <v>174</v>
      </c>
      <c r="B200" s="28" t="s">
        <v>66</v>
      </c>
      <c r="C200" s="28" t="s">
        <v>12</v>
      </c>
      <c r="D200" s="26" t="s">
        <v>430</v>
      </c>
      <c r="E200" s="26" t="s">
        <v>428</v>
      </c>
      <c r="F200" s="52">
        <v>44006</v>
      </c>
      <c r="G200" s="52">
        <v>44036</v>
      </c>
      <c r="H200" s="32" t="str">
        <f t="shared" si="5"/>
        <v>EVEN</v>
      </c>
      <c r="I200" s="103">
        <v>0</v>
      </c>
      <c r="J200" s="32" t="str">
        <f>UPPER(TEXT(F200,"mmm")) &amp; " - " &amp; UPPER(TEXT(G200,"mmm"))</f>
        <v>JUN - JUL</v>
      </c>
      <c r="K200" s="3" t="s">
        <v>563</v>
      </c>
      <c r="L200" s="99" t="s">
        <v>3895</v>
      </c>
      <c r="M200" s="32" t="str">
        <f t="shared" si="6"/>
        <v>No</v>
      </c>
      <c r="N200" s="32">
        <f>G200 - F200</f>
        <v>30</v>
      </c>
      <c r="O200">
        <v>1</v>
      </c>
    </row>
    <row r="201" spans="1:15" x14ac:dyDescent="0.3">
      <c r="A201" s="26" t="s">
        <v>174</v>
      </c>
      <c r="B201" s="28" t="s">
        <v>66</v>
      </c>
      <c r="C201" s="28" t="s">
        <v>12</v>
      </c>
      <c r="D201" s="26" t="s">
        <v>431</v>
      </c>
      <c r="E201" s="26" t="s">
        <v>432</v>
      </c>
      <c r="F201" s="52">
        <v>43919</v>
      </c>
      <c r="G201" s="52">
        <v>43934</v>
      </c>
      <c r="H201" s="32" t="str">
        <f t="shared" si="5"/>
        <v>EVEN</v>
      </c>
      <c r="I201" s="103">
        <v>0</v>
      </c>
      <c r="J201" s="32" t="str">
        <f>UPPER(TEXT(F201,"mmm")) &amp; " - " &amp; UPPER(TEXT(G201,"mmm"))</f>
        <v>MAR - APR</v>
      </c>
      <c r="K201" s="3" t="s">
        <v>563</v>
      </c>
      <c r="L201" s="99" t="s">
        <v>3895</v>
      </c>
      <c r="M201" s="32" t="str">
        <f t="shared" si="6"/>
        <v>No</v>
      </c>
      <c r="N201" s="32">
        <f>G201 - F201</f>
        <v>15</v>
      </c>
      <c r="O201">
        <v>1</v>
      </c>
    </row>
    <row r="202" spans="1:15" x14ac:dyDescent="0.3">
      <c r="A202" s="26" t="s">
        <v>146</v>
      </c>
      <c r="B202" s="28" t="s">
        <v>66</v>
      </c>
      <c r="C202" s="28" t="s">
        <v>12</v>
      </c>
      <c r="D202" s="26" t="s">
        <v>433</v>
      </c>
      <c r="E202" s="26" t="s">
        <v>434</v>
      </c>
      <c r="F202" s="52">
        <v>43911</v>
      </c>
      <c r="G202" s="52">
        <v>44054</v>
      </c>
      <c r="H202" s="32" t="str">
        <f t="shared" si="5"/>
        <v>EVEN</v>
      </c>
      <c r="I202" s="103">
        <v>1000</v>
      </c>
      <c r="J202" s="32" t="str">
        <f>UPPER(TEXT(F202,"mmm")) &amp; " - " &amp; UPPER(TEXT(G202,"mmm"))</f>
        <v>MAR - AUG</v>
      </c>
      <c r="K202" s="3" t="s">
        <v>563</v>
      </c>
      <c r="L202" s="99" t="s">
        <v>3895</v>
      </c>
      <c r="M202" s="32" t="str">
        <f t="shared" si="6"/>
        <v>Yes</v>
      </c>
      <c r="N202" s="32">
        <f>G202 - F202</f>
        <v>143</v>
      </c>
      <c r="O202">
        <v>1</v>
      </c>
    </row>
    <row r="203" spans="1:15" x14ac:dyDescent="0.3">
      <c r="A203" s="26" t="s">
        <v>329</v>
      </c>
      <c r="B203" s="28" t="s">
        <v>78</v>
      </c>
      <c r="C203" s="28" t="s">
        <v>12</v>
      </c>
      <c r="D203" s="26" t="s">
        <v>435</v>
      </c>
      <c r="E203" s="26" t="s">
        <v>436</v>
      </c>
      <c r="F203" s="52">
        <v>43990</v>
      </c>
      <c r="G203" s="52">
        <v>44050</v>
      </c>
      <c r="H203" s="32" t="str">
        <f t="shared" si="5"/>
        <v>EVEN</v>
      </c>
      <c r="I203" s="103">
        <v>0</v>
      </c>
      <c r="J203" s="32" t="str">
        <f>UPPER(TEXT(F203,"mmm")) &amp; " - " &amp; UPPER(TEXT(G203,"mmm"))</f>
        <v>JUN - AUG</v>
      </c>
      <c r="K203" s="3" t="s">
        <v>563</v>
      </c>
      <c r="L203" s="99" t="s">
        <v>3895</v>
      </c>
      <c r="M203" s="32" t="str">
        <f t="shared" si="6"/>
        <v>No</v>
      </c>
      <c r="N203" s="32">
        <f>G203 - F203</f>
        <v>60</v>
      </c>
      <c r="O203">
        <v>1</v>
      </c>
    </row>
    <row r="204" spans="1:15" ht="27" x14ac:dyDescent="0.3">
      <c r="A204" s="27" t="s">
        <v>330</v>
      </c>
      <c r="B204" s="29" t="s">
        <v>66</v>
      </c>
      <c r="C204" s="29" t="s">
        <v>12</v>
      </c>
      <c r="D204" s="30" t="s">
        <v>437</v>
      </c>
      <c r="E204" s="1" t="s">
        <v>438</v>
      </c>
      <c r="F204" s="52">
        <v>43808</v>
      </c>
      <c r="G204" s="52">
        <v>43833</v>
      </c>
      <c r="H204" s="32" t="str">
        <f t="shared" si="5"/>
        <v>ODD</v>
      </c>
      <c r="I204" s="102">
        <v>0</v>
      </c>
      <c r="J204" s="32" t="str">
        <f>UPPER(TEXT(F204,"mmm")) &amp; " - " &amp; UPPER(TEXT(G204,"mmm"))</f>
        <v>DEC - JAN</v>
      </c>
      <c r="K204" s="3" t="s">
        <v>563</v>
      </c>
      <c r="L204" s="99" t="s">
        <v>3895</v>
      </c>
      <c r="M204" s="32" t="str">
        <f t="shared" si="6"/>
        <v>No</v>
      </c>
      <c r="N204" s="32">
        <f>G204 - F204</f>
        <v>25</v>
      </c>
      <c r="O204">
        <v>1</v>
      </c>
    </row>
    <row r="205" spans="1:15" x14ac:dyDescent="0.3">
      <c r="A205" s="26" t="s">
        <v>331</v>
      </c>
      <c r="B205" s="28" t="s">
        <v>66</v>
      </c>
      <c r="C205" s="28" t="s">
        <v>12</v>
      </c>
      <c r="D205" s="26" t="s">
        <v>394</v>
      </c>
      <c r="E205" s="26" t="s">
        <v>395</v>
      </c>
      <c r="F205" s="52">
        <v>43997</v>
      </c>
      <c r="G205" s="52">
        <v>44021</v>
      </c>
      <c r="H205" s="32" t="str">
        <f t="shared" si="5"/>
        <v>EVEN</v>
      </c>
      <c r="I205" s="103">
        <v>0</v>
      </c>
      <c r="J205" s="32" t="str">
        <f>UPPER(TEXT(F205,"mmm")) &amp; " - " &amp; UPPER(TEXT(G205,"mmm"))</f>
        <v>JUN - JUL</v>
      </c>
      <c r="K205" s="3" t="s">
        <v>563</v>
      </c>
      <c r="L205" s="99" t="s">
        <v>3895</v>
      </c>
      <c r="M205" s="32" t="str">
        <f t="shared" si="6"/>
        <v>No</v>
      </c>
      <c r="N205" s="32">
        <f>G205 - F205</f>
        <v>24</v>
      </c>
      <c r="O205">
        <v>1</v>
      </c>
    </row>
    <row r="206" spans="1:15" x14ac:dyDescent="0.3">
      <c r="A206" s="26" t="s">
        <v>332</v>
      </c>
      <c r="B206" s="28" t="s">
        <v>66</v>
      </c>
      <c r="C206" s="28" t="s">
        <v>12</v>
      </c>
      <c r="D206" s="26" t="s">
        <v>439</v>
      </c>
      <c r="E206" s="26" t="s">
        <v>440</v>
      </c>
      <c r="F206" s="52">
        <v>43922</v>
      </c>
      <c r="G206" s="52">
        <v>43992</v>
      </c>
      <c r="H206" s="32" t="str">
        <f t="shared" si="5"/>
        <v>EVEN</v>
      </c>
      <c r="I206" s="103">
        <v>0</v>
      </c>
      <c r="J206" s="32" t="str">
        <f>UPPER(TEXT(F206,"mmm")) &amp; " - " &amp; UPPER(TEXT(G206,"mmm"))</f>
        <v>APR - JUN</v>
      </c>
      <c r="K206" s="3" t="s">
        <v>563</v>
      </c>
      <c r="L206" s="99" t="s">
        <v>3895</v>
      </c>
      <c r="M206" s="32" t="str">
        <f t="shared" si="6"/>
        <v>No</v>
      </c>
      <c r="N206" s="32">
        <f>G206 - F206</f>
        <v>70</v>
      </c>
      <c r="O206">
        <v>1</v>
      </c>
    </row>
    <row r="207" spans="1:15" x14ac:dyDescent="0.3">
      <c r="A207" s="26" t="s">
        <v>333</v>
      </c>
      <c r="B207" s="28" t="s">
        <v>78</v>
      </c>
      <c r="C207" s="28" t="s">
        <v>12</v>
      </c>
      <c r="D207" s="26" t="s">
        <v>441</v>
      </c>
      <c r="E207" s="26" t="s">
        <v>442</v>
      </c>
      <c r="F207" s="52">
        <v>43922</v>
      </c>
      <c r="G207" s="52">
        <v>43951</v>
      </c>
      <c r="H207" s="32" t="str">
        <f t="shared" si="5"/>
        <v>EVEN</v>
      </c>
      <c r="I207" s="103">
        <v>0</v>
      </c>
      <c r="J207" s="32" t="str">
        <f>UPPER(TEXT(F207,"mmm")) &amp; " - " &amp; UPPER(TEXT(G207,"mmm"))</f>
        <v>APR - APR</v>
      </c>
      <c r="K207" s="3" t="s">
        <v>563</v>
      </c>
      <c r="L207" s="99" t="s">
        <v>3895</v>
      </c>
      <c r="M207" s="32" t="str">
        <f t="shared" si="6"/>
        <v>No</v>
      </c>
      <c r="N207" s="32">
        <f>G207 - F207</f>
        <v>29</v>
      </c>
      <c r="O207">
        <v>1</v>
      </c>
    </row>
    <row r="208" spans="1:15" x14ac:dyDescent="0.3">
      <c r="A208" s="26" t="s">
        <v>334</v>
      </c>
      <c r="B208" s="28" t="s">
        <v>66</v>
      </c>
      <c r="C208" s="28" t="s">
        <v>12</v>
      </c>
      <c r="D208" s="26" t="s">
        <v>443</v>
      </c>
      <c r="E208" s="26" t="s">
        <v>444</v>
      </c>
      <c r="F208" s="52">
        <v>43800</v>
      </c>
      <c r="G208" s="52">
        <v>43832</v>
      </c>
      <c r="H208" s="32" t="str">
        <f t="shared" si="5"/>
        <v>ODD</v>
      </c>
      <c r="I208" s="103">
        <v>0</v>
      </c>
      <c r="J208" s="32" t="str">
        <f>UPPER(TEXT(F208,"mmm")) &amp; " - " &amp; UPPER(TEXT(G208,"mmm"))</f>
        <v>DEC - JAN</v>
      </c>
      <c r="K208" s="3" t="s">
        <v>563</v>
      </c>
      <c r="L208" s="99" t="s">
        <v>3895</v>
      </c>
      <c r="M208" s="32" t="str">
        <f t="shared" si="6"/>
        <v>No</v>
      </c>
      <c r="N208" s="32">
        <f>G208 - F208</f>
        <v>32</v>
      </c>
      <c r="O208">
        <v>1</v>
      </c>
    </row>
    <row r="209" spans="1:15" x14ac:dyDescent="0.3">
      <c r="A209" s="26" t="s">
        <v>334</v>
      </c>
      <c r="B209" s="28" t="s">
        <v>66</v>
      </c>
      <c r="C209" s="28" t="s">
        <v>12</v>
      </c>
      <c r="D209" s="26" t="s">
        <v>443</v>
      </c>
      <c r="E209" s="26" t="s">
        <v>445</v>
      </c>
      <c r="F209" s="52">
        <v>43952</v>
      </c>
      <c r="G209" s="52">
        <v>43981</v>
      </c>
      <c r="H209" s="32" t="str">
        <f t="shared" si="5"/>
        <v>EVEN</v>
      </c>
      <c r="I209" s="103">
        <v>0</v>
      </c>
      <c r="J209" s="32" t="str">
        <f>UPPER(TEXT(F209,"mmm")) &amp; " - " &amp; UPPER(TEXT(G209,"mmm"))</f>
        <v>MAY - MAY</v>
      </c>
      <c r="K209" s="3" t="s">
        <v>563</v>
      </c>
      <c r="L209" s="99" t="s">
        <v>3895</v>
      </c>
      <c r="M209" s="32" t="str">
        <f t="shared" si="6"/>
        <v>No</v>
      </c>
      <c r="N209" s="32">
        <f>G209 - F209</f>
        <v>29</v>
      </c>
      <c r="O209">
        <v>1</v>
      </c>
    </row>
    <row r="210" spans="1:15" x14ac:dyDescent="0.3">
      <c r="A210" s="26" t="s">
        <v>334</v>
      </c>
      <c r="B210" s="28" t="s">
        <v>66</v>
      </c>
      <c r="C210" s="28" t="s">
        <v>12</v>
      </c>
      <c r="D210" s="26" t="s">
        <v>446</v>
      </c>
      <c r="E210" s="26" t="s">
        <v>447</v>
      </c>
      <c r="F210" s="52">
        <v>44027</v>
      </c>
      <c r="G210" s="52">
        <v>44034</v>
      </c>
      <c r="H210" s="32" t="str">
        <f t="shared" si="5"/>
        <v>EVEN</v>
      </c>
      <c r="I210" s="103">
        <v>0</v>
      </c>
      <c r="J210" s="32" t="str">
        <f>UPPER(TEXT(F210,"mmm")) &amp; " - " &amp; UPPER(TEXT(G210,"mmm"))</f>
        <v>JUL - JUL</v>
      </c>
      <c r="K210" s="3" t="s">
        <v>563</v>
      </c>
      <c r="L210" s="99" t="s">
        <v>3895</v>
      </c>
      <c r="M210" s="32" t="str">
        <f t="shared" si="6"/>
        <v>No</v>
      </c>
      <c r="N210" s="32">
        <f>G210 - F210</f>
        <v>7</v>
      </c>
      <c r="O210">
        <v>1</v>
      </c>
    </row>
    <row r="211" spans="1:15" x14ac:dyDescent="0.3">
      <c r="A211" s="26" t="s">
        <v>334</v>
      </c>
      <c r="B211" s="28" t="s">
        <v>66</v>
      </c>
      <c r="C211" s="28" t="s">
        <v>12</v>
      </c>
      <c r="D211" s="26" t="s">
        <v>448</v>
      </c>
      <c r="E211" s="26" t="s">
        <v>449</v>
      </c>
      <c r="F211" s="52">
        <v>43997</v>
      </c>
      <c r="G211" s="52">
        <v>44021</v>
      </c>
      <c r="H211" s="32" t="str">
        <f t="shared" si="5"/>
        <v>EVEN</v>
      </c>
      <c r="I211" s="103">
        <v>0</v>
      </c>
      <c r="J211" s="32" t="str">
        <f>UPPER(TEXT(F211,"mmm")) &amp; " - " &amp; UPPER(TEXT(G211,"mmm"))</f>
        <v>JUN - JUL</v>
      </c>
      <c r="K211" s="3" t="s">
        <v>563</v>
      </c>
      <c r="L211" s="99" t="s">
        <v>3895</v>
      </c>
      <c r="M211" s="32" t="str">
        <f t="shared" si="6"/>
        <v>No</v>
      </c>
      <c r="N211" s="32">
        <f>G211 - F211</f>
        <v>24</v>
      </c>
      <c r="O211">
        <v>1</v>
      </c>
    </row>
    <row r="212" spans="1:15" x14ac:dyDescent="0.3">
      <c r="A212" s="26" t="s">
        <v>149</v>
      </c>
      <c r="B212" s="28" t="s">
        <v>66</v>
      </c>
      <c r="C212" s="28" t="s">
        <v>12</v>
      </c>
      <c r="D212" s="26" t="s">
        <v>450</v>
      </c>
      <c r="E212" s="26" t="s">
        <v>451</v>
      </c>
      <c r="F212" s="52">
        <v>43808</v>
      </c>
      <c r="G212" s="52">
        <v>43843</v>
      </c>
      <c r="H212" s="32" t="str">
        <f t="shared" si="5"/>
        <v>ODD</v>
      </c>
      <c r="I212" s="103">
        <v>6000</v>
      </c>
      <c r="J212" s="32" t="str">
        <f>UPPER(TEXT(F212,"mmm")) &amp; " - " &amp; UPPER(TEXT(G212,"mmm"))</f>
        <v>DEC - JAN</v>
      </c>
      <c r="K212" s="3" t="s">
        <v>563</v>
      </c>
      <c r="L212" s="99" t="s">
        <v>3895</v>
      </c>
      <c r="M212" s="32" t="str">
        <f t="shared" si="6"/>
        <v>Yes</v>
      </c>
      <c r="N212" s="32">
        <f>G212 - F212</f>
        <v>35</v>
      </c>
      <c r="O212">
        <v>1</v>
      </c>
    </row>
    <row r="213" spans="1:15" x14ac:dyDescent="0.3">
      <c r="A213" s="26" t="s">
        <v>335</v>
      </c>
      <c r="B213" s="28" t="s">
        <v>78</v>
      </c>
      <c r="C213" s="28" t="s">
        <v>12</v>
      </c>
      <c r="D213" s="26" t="s">
        <v>452</v>
      </c>
      <c r="E213" s="26" t="s">
        <v>408</v>
      </c>
      <c r="F213" s="52">
        <v>44007</v>
      </c>
      <c r="G213" s="52">
        <v>44037</v>
      </c>
      <c r="H213" s="32" t="str">
        <f t="shared" si="5"/>
        <v>EVEN</v>
      </c>
      <c r="I213" s="103">
        <v>0</v>
      </c>
      <c r="J213" s="32" t="str">
        <f>UPPER(TEXT(F213,"mmm")) &amp; " - " &amp; UPPER(TEXT(G213,"mmm"))</f>
        <v>JUN - JUL</v>
      </c>
      <c r="K213" s="3" t="s">
        <v>563</v>
      </c>
      <c r="L213" s="99" t="s">
        <v>3895</v>
      </c>
      <c r="M213" s="32" t="str">
        <f t="shared" si="6"/>
        <v>No</v>
      </c>
      <c r="N213" s="32">
        <f>G213 - F213</f>
        <v>30</v>
      </c>
      <c r="O213">
        <v>1</v>
      </c>
    </row>
    <row r="214" spans="1:15" x14ac:dyDescent="0.3">
      <c r="A214" s="26" t="s">
        <v>336</v>
      </c>
      <c r="B214" s="28" t="s">
        <v>66</v>
      </c>
      <c r="C214" s="28" t="s">
        <v>12</v>
      </c>
      <c r="D214" s="26" t="s">
        <v>453</v>
      </c>
      <c r="E214" s="26" t="s">
        <v>454</v>
      </c>
      <c r="F214" s="52">
        <v>43919</v>
      </c>
      <c r="G214" s="52">
        <v>43934</v>
      </c>
      <c r="H214" s="32" t="str">
        <f t="shared" si="5"/>
        <v>EVEN</v>
      </c>
      <c r="I214" s="103">
        <v>0</v>
      </c>
      <c r="J214" s="32" t="str">
        <f>UPPER(TEXT(F214,"mmm")) &amp; " - " &amp; UPPER(TEXT(G214,"mmm"))</f>
        <v>MAR - APR</v>
      </c>
      <c r="K214" s="3" t="s">
        <v>563</v>
      </c>
      <c r="L214" s="99" t="s">
        <v>3895</v>
      </c>
      <c r="M214" s="32" t="str">
        <f t="shared" si="6"/>
        <v>No</v>
      </c>
      <c r="N214" s="32">
        <f>G214 - F214</f>
        <v>15</v>
      </c>
      <c r="O214">
        <v>1</v>
      </c>
    </row>
    <row r="215" spans="1:15" x14ac:dyDescent="0.3">
      <c r="A215" s="26" t="s">
        <v>337</v>
      </c>
      <c r="B215" s="28" t="s">
        <v>66</v>
      </c>
      <c r="C215" s="28" t="s">
        <v>12</v>
      </c>
      <c r="D215" s="26" t="s">
        <v>455</v>
      </c>
      <c r="E215" s="26" t="s">
        <v>456</v>
      </c>
      <c r="F215" s="52">
        <v>43990</v>
      </c>
      <c r="G215" s="52">
        <v>44019</v>
      </c>
      <c r="H215" s="32" t="str">
        <f t="shared" si="5"/>
        <v>EVEN</v>
      </c>
      <c r="I215" s="103">
        <v>0</v>
      </c>
      <c r="J215" s="32" t="str">
        <f>UPPER(TEXT(F215,"mmm")) &amp; " - " &amp; UPPER(TEXT(G215,"mmm"))</f>
        <v>JUN - JUL</v>
      </c>
      <c r="K215" s="3" t="s">
        <v>563</v>
      </c>
      <c r="L215" s="99" t="s">
        <v>3895</v>
      </c>
      <c r="M215" s="32" t="str">
        <f t="shared" si="6"/>
        <v>No</v>
      </c>
      <c r="N215" s="32">
        <f>G215 - F215</f>
        <v>29</v>
      </c>
      <c r="O215">
        <v>1</v>
      </c>
    </row>
    <row r="216" spans="1:15" ht="26.4" x14ac:dyDescent="0.3">
      <c r="A216" s="27" t="s">
        <v>338</v>
      </c>
      <c r="B216" s="29" t="s">
        <v>78</v>
      </c>
      <c r="C216" s="29" t="s">
        <v>12</v>
      </c>
      <c r="D216" s="30" t="s">
        <v>457</v>
      </c>
      <c r="E216" s="1"/>
      <c r="F216" s="52">
        <v>43808</v>
      </c>
      <c r="G216" s="52">
        <v>43839</v>
      </c>
      <c r="H216" s="32" t="str">
        <f t="shared" si="5"/>
        <v>ODD</v>
      </c>
      <c r="I216" s="102">
        <v>0</v>
      </c>
      <c r="J216" s="32" t="str">
        <f>UPPER(TEXT(F216,"mmm")) &amp; " - " &amp; UPPER(TEXT(G216,"mmm"))</f>
        <v>DEC - JAN</v>
      </c>
      <c r="K216" s="3" t="s">
        <v>563</v>
      </c>
      <c r="L216" s="99" t="s">
        <v>3895</v>
      </c>
      <c r="M216" s="32" t="str">
        <f t="shared" si="6"/>
        <v>No</v>
      </c>
      <c r="N216" s="32">
        <f>G216 - F216</f>
        <v>31</v>
      </c>
      <c r="O216">
        <v>1</v>
      </c>
    </row>
    <row r="217" spans="1:15" x14ac:dyDescent="0.3">
      <c r="A217" s="26" t="s">
        <v>339</v>
      </c>
      <c r="B217" s="28" t="s">
        <v>11</v>
      </c>
      <c r="C217" s="28" t="s">
        <v>12</v>
      </c>
      <c r="D217" s="26" t="s">
        <v>458</v>
      </c>
      <c r="E217" s="26" t="s">
        <v>459</v>
      </c>
      <c r="F217" s="52">
        <v>43907</v>
      </c>
      <c r="G217" s="52">
        <v>43942</v>
      </c>
      <c r="H217" s="32" t="str">
        <f t="shared" si="5"/>
        <v>EVEN</v>
      </c>
      <c r="I217" s="103">
        <v>0</v>
      </c>
      <c r="J217" s="32" t="str">
        <f>UPPER(TEXT(F217,"mmm")) &amp; " - " &amp; UPPER(TEXT(G217,"mmm"))</f>
        <v>MAR - APR</v>
      </c>
      <c r="K217" s="3" t="s">
        <v>563</v>
      </c>
      <c r="L217" s="99" t="s">
        <v>3895</v>
      </c>
      <c r="M217" s="32" t="str">
        <f t="shared" si="6"/>
        <v>No</v>
      </c>
      <c r="N217" s="32">
        <f>G217 - F217</f>
        <v>35</v>
      </c>
      <c r="O217">
        <v>1</v>
      </c>
    </row>
    <row r="218" spans="1:15" x14ac:dyDescent="0.3">
      <c r="A218" s="27" t="s">
        <v>340</v>
      </c>
      <c r="B218" s="29" t="s">
        <v>78</v>
      </c>
      <c r="C218" s="29" t="s">
        <v>12</v>
      </c>
      <c r="D218" s="30" t="s">
        <v>460</v>
      </c>
      <c r="E218" s="1" t="s">
        <v>461</v>
      </c>
      <c r="F218" s="52">
        <v>43656</v>
      </c>
      <c r="G218" s="52">
        <v>43713</v>
      </c>
      <c r="H218" s="32" t="str">
        <f t="shared" si="5"/>
        <v>ODD</v>
      </c>
      <c r="I218" s="102">
        <v>0</v>
      </c>
      <c r="J218" s="32" t="str">
        <f>UPPER(TEXT(F218,"mmm")) &amp; " - " &amp; UPPER(TEXT(G218,"mmm"))</f>
        <v>JUL - SEP</v>
      </c>
      <c r="K218" s="3" t="s">
        <v>563</v>
      </c>
      <c r="L218" s="99" t="s">
        <v>3895</v>
      </c>
      <c r="M218" s="32" t="str">
        <f t="shared" si="6"/>
        <v>No</v>
      </c>
      <c r="N218" s="32">
        <f>G218 - F218</f>
        <v>57</v>
      </c>
      <c r="O218">
        <v>1</v>
      </c>
    </row>
    <row r="219" spans="1:15" x14ac:dyDescent="0.3">
      <c r="A219" s="26" t="s">
        <v>340</v>
      </c>
      <c r="B219" s="28" t="s">
        <v>78</v>
      </c>
      <c r="C219" s="28" t="s">
        <v>12</v>
      </c>
      <c r="D219" s="26" t="s">
        <v>462</v>
      </c>
      <c r="E219" s="26" t="s">
        <v>463</v>
      </c>
      <c r="F219" s="52">
        <v>43927</v>
      </c>
      <c r="G219" s="52">
        <v>43961</v>
      </c>
      <c r="H219" s="32" t="str">
        <f t="shared" si="5"/>
        <v>EVEN</v>
      </c>
      <c r="I219" s="103">
        <v>0</v>
      </c>
      <c r="J219" s="32" t="str">
        <f>UPPER(TEXT(F219,"mmm")) &amp; " - " &amp; UPPER(TEXT(G219,"mmm"))</f>
        <v>APR - MAY</v>
      </c>
      <c r="K219" s="3" t="s">
        <v>563</v>
      </c>
      <c r="L219" s="99" t="s">
        <v>3895</v>
      </c>
      <c r="M219" s="32" t="str">
        <f t="shared" si="6"/>
        <v>No</v>
      </c>
      <c r="N219" s="32">
        <f>G219 - F219</f>
        <v>34</v>
      </c>
      <c r="O219">
        <v>1</v>
      </c>
    </row>
    <row r="220" spans="1:15" x14ac:dyDescent="0.3">
      <c r="A220" s="26" t="s">
        <v>340</v>
      </c>
      <c r="B220" s="28" t="s">
        <v>78</v>
      </c>
      <c r="C220" s="28" t="s">
        <v>12</v>
      </c>
      <c r="D220" s="26" t="s">
        <v>464</v>
      </c>
      <c r="E220" s="26" t="s">
        <v>465</v>
      </c>
      <c r="F220" s="52">
        <v>43987</v>
      </c>
      <c r="G220" s="52">
        <v>44022</v>
      </c>
      <c r="H220" s="32" t="str">
        <f t="shared" si="5"/>
        <v>EVEN</v>
      </c>
      <c r="I220" s="103">
        <v>0</v>
      </c>
      <c r="J220" s="32" t="str">
        <f>UPPER(TEXT(F220,"mmm")) &amp; " - " &amp; UPPER(TEXT(G220,"mmm"))</f>
        <v>JUN - JUL</v>
      </c>
      <c r="K220" s="3" t="s">
        <v>563</v>
      </c>
      <c r="L220" s="99" t="s">
        <v>3895</v>
      </c>
      <c r="M220" s="32" t="str">
        <f t="shared" si="6"/>
        <v>No</v>
      </c>
      <c r="N220" s="32">
        <f>G220 - F220</f>
        <v>35</v>
      </c>
      <c r="O220">
        <v>1</v>
      </c>
    </row>
    <row r="221" spans="1:15" x14ac:dyDescent="0.3">
      <c r="A221" s="26" t="s">
        <v>340</v>
      </c>
      <c r="B221" s="28" t="s">
        <v>78</v>
      </c>
      <c r="C221" s="28" t="s">
        <v>12</v>
      </c>
      <c r="D221" s="26" t="s">
        <v>466</v>
      </c>
      <c r="E221" s="26" t="s">
        <v>467</v>
      </c>
      <c r="F221" s="52">
        <v>43891</v>
      </c>
      <c r="G221" s="52">
        <v>44043</v>
      </c>
      <c r="H221" s="32" t="str">
        <f t="shared" si="5"/>
        <v>EVEN</v>
      </c>
      <c r="I221" s="103">
        <v>0</v>
      </c>
      <c r="J221" s="32" t="str">
        <f>UPPER(TEXT(F221,"mmm")) &amp; " - " &amp; UPPER(TEXT(G221,"mmm"))</f>
        <v>MAR - JUL</v>
      </c>
      <c r="K221" s="3" t="s">
        <v>563</v>
      </c>
      <c r="L221" s="99" t="s">
        <v>3895</v>
      </c>
      <c r="M221" s="32" t="str">
        <f t="shared" si="6"/>
        <v>No</v>
      </c>
      <c r="N221" s="32">
        <f>G221 - F221</f>
        <v>152</v>
      </c>
      <c r="O221">
        <v>1</v>
      </c>
    </row>
    <row r="222" spans="1:15" x14ac:dyDescent="0.3">
      <c r="A222" s="26" t="s">
        <v>341</v>
      </c>
      <c r="B222" s="28" t="s">
        <v>78</v>
      </c>
      <c r="C222" s="28" t="s">
        <v>12</v>
      </c>
      <c r="D222" s="26" t="s">
        <v>468</v>
      </c>
      <c r="E222" s="26" t="s">
        <v>469</v>
      </c>
      <c r="F222" s="52">
        <v>43950</v>
      </c>
      <c r="G222" s="52">
        <v>44043</v>
      </c>
      <c r="H222" s="32" t="str">
        <f t="shared" si="5"/>
        <v>EVEN</v>
      </c>
      <c r="I222" s="103">
        <v>0</v>
      </c>
      <c r="J222" s="32" t="str">
        <f>UPPER(TEXT(F222,"mmm")) &amp; " - " &amp; UPPER(TEXT(G222,"mmm"))</f>
        <v>APR - JUL</v>
      </c>
      <c r="K222" s="3" t="s">
        <v>563</v>
      </c>
      <c r="L222" s="99" t="s">
        <v>3895</v>
      </c>
      <c r="M222" s="32" t="str">
        <f t="shared" si="6"/>
        <v>No</v>
      </c>
      <c r="N222" s="32">
        <f>G222 - F222</f>
        <v>93</v>
      </c>
      <c r="O222">
        <v>1</v>
      </c>
    </row>
    <row r="223" spans="1:15" x14ac:dyDescent="0.3">
      <c r="A223" s="26" t="s">
        <v>342</v>
      </c>
      <c r="B223" s="28" t="s">
        <v>66</v>
      </c>
      <c r="C223" s="28" t="s">
        <v>12</v>
      </c>
      <c r="D223" s="26" t="s">
        <v>470</v>
      </c>
      <c r="E223" s="26" t="s">
        <v>471</v>
      </c>
      <c r="F223" s="52">
        <v>43857</v>
      </c>
      <c r="G223" s="52">
        <v>43888</v>
      </c>
      <c r="H223" s="32" t="str">
        <f t="shared" si="5"/>
        <v>EVEN</v>
      </c>
      <c r="I223" s="103">
        <v>0</v>
      </c>
      <c r="J223" s="32" t="str">
        <f>UPPER(TEXT(F223,"mmm")) &amp; " - " &amp; UPPER(TEXT(G223,"mmm"))</f>
        <v>JAN - FEB</v>
      </c>
      <c r="K223" s="3" t="s">
        <v>563</v>
      </c>
      <c r="L223" s="99" t="s">
        <v>3895</v>
      </c>
      <c r="M223" s="32" t="str">
        <f t="shared" si="6"/>
        <v>No</v>
      </c>
      <c r="N223" s="32">
        <f>G223 - F223</f>
        <v>31</v>
      </c>
      <c r="O223">
        <v>1</v>
      </c>
    </row>
    <row r="224" spans="1:15" x14ac:dyDescent="0.3">
      <c r="A224" s="26" t="s">
        <v>343</v>
      </c>
      <c r="B224" s="28" t="s">
        <v>78</v>
      </c>
      <c r="C224" s="28" t="s">
        <v>12</v>
      </c>
      <c r="D224" s="26" t="s">
        <v>472</v>
      </c>
      <c r="E224" s="26" t="s">
        <v>393</v>
      </c>
      <c r="F224" s="52">
        <v>43985</v>
      </c>
      <c r="G224" s="52">
        <v>44013</v>
      </c>
      <c r="H224" s="32" t="str">
        <f t="shared" si="5"/>
        <v>EVEN</v>
      </c>
      <c r="I224" s="103">
        <v>0</v>
      </c>
      <c r="J224" s="32" t="str">
        <f>UPPER(TEXT(F224,"mmm")) &amp; " - " &amp; UPPER(TEXT(G224,"mmm"))</f>
        <v>JUN - JUL</v>
      </c>
      <c r="K224" s="3" t="s">
        <v>563</v>
      </c>
      <c r="L224" s="99" t="s">
        <v>3895</v>
      </c>
      <c r="M224" s="32" t="str">
        <f t="shared" si="6"/>
        <v>No</v>
      </c>
      <c r="N224" s="32">
        <f>G224 - F224</f>
        <v>28</v>
      </c>
      <c r="O224">
        <v>1</v>
      </c>
    </row>
    <row r="225" spans="1:15" ht="26.4" x14ac:dyDescent="0.3">
      <c r="A225" s="27" t="s">
        <v>344</v>
      </c>
      <c r="B225" s="29" t="s">
        <v>78</v>
      </c>
      <c r="C225" s="29" t="s">
        <v>12</v>
      </c>
      <c r="D225" s="30" t="s">
        <v>473</v>
      </c>
      <c r="E225" s="1"/>
      <c r="F225" s="52">
        <v>43794</v>
      </c>
      <c r="G225" s="52">
        <v>43826</v>
      </c>
      <c r="H225" s="32" t="str">
        <f t="shared" si="5"/>
        <v>ODD</v>
      </c>
      <c r="I225" s="102">
        <v>0</v>
      </c>
      <c r="J225" s="32" t="str">
        <f>UPPER(TEXT(F225,"mmm")) &amp; " - " &amp; UPPER(TEXT(G225,"mmm"))</f>
        <v>NOV - DEC</v>
      </c>
      <c r="K225" s="3" t="s">
        <v>563</v>
      </c>
      <c r="L225" s="99" t="s">
        <v>3895</v>
      </c>
      <c r="M225" s="32" t="str">
        <f t="shared" si="6"/>
        <v>No</v>
      </c>
      <c r="N225" s="32">
        <f>G225 - F225</f>
        <v>32</v>
      </c>
      <c r="O225">
        <v>1</v>
      </c>
    </row>
    <row r="226" spans="1:15" x14ac:dyDescent="0.3">
      <c r="A226" s="26" t="s">
        <v>345</v>
      </c>
      <c r="B226" s="28" t="s">
        <v>11</v>
      </c>
      <c r="C226" s="28" t="s">
        <v>12</v>
      </c>
      <c r="D226" s="26" t="s">
        <v>474</v>
      </c>
      <c r="E226" s="26" t="s">
        <v>475</v>
      </c>
      <c r="F226" s="52">
        <v>43983</v>
      </c>
      <c r="G226" s="52">
        <v>44043</v>
      </c>
      <c r="H226" s="32" t="str">
        <f t="shared" si="5"/>
        <v>EVEN</v>
      </c>
      <c r="I226" s="103">
        <v>0</v>
      </c>
      <c r="J226" s="32" t="str">
        <f>UPPER(TEXT(F226,"mmm")) &amp; " - " &amp; UPPER(TEXT(G226,"mmm"))</f>
        <v>JUN - JUL</v>
      </c>
      <c r="K226" s="3" t="s">
        <v>563</v>
      </c>
      <c r="L226" s="99" t="s">
        <v>3895</v>
      </c>
      <c r="M226" s="32" t="str">
        <f t="shared" si="6"/>
        <v>No</v>
      </c>
      <c r="N226" s="32">
        <f>G226 - F226</f>
        <v>60</v>
      </c>
      <c r="O226">
        <v>1</v>
      </c>
    </row>
    <row r="227" spans="1:15" x14ac:dyDescent="0.3">
      <c r="A227" s="26" t="s">
        <v>346</v>
      </c>
      <c r="B227" s="28" t="s">
        <v>78</v>
      </c>
      <c r="C227" s="28" t="s">
        <v>12</v>
      </c>
      <c r="D227" s="26" t="s">
        <v>466</v>
      </c>
      <c r="E227" s="26" t="s">
        <v>476</v>
      </c>
      <c r="F227" s="52">
        <v>43937</v>
      </c>
      <c r="G227" s="52">
        <v>44058</v>
      </c>
      <c r="H227" s="32" t="str">
        <f t="shared" si="5"/>
        <v>EVEN</v>
      </c>
      <c r="I227" s="103">
        <v>0</v>
      </c>
      <c r="J227" s="32" t="str">
        <f>UPPER(TEXT(F227,"mmm")) &amp; " - " &amp; UPPER(TEXT(G227,"mmm"))</f>
        <v>APR - AUG</v>
      </c>
      <c r="K227" s="3" t="s">
        <v>563</v>
      </c>
      <c r="L227" s="99" t="s">
        <v>3895</v>
      </c>
      <c r="M227" s="32" t="str">
        <f t="shared" si="6"/>
        <v>No</v>
      </c>
      <c r="N227" s="32">
        <f>G227 - F227</f>
        <v>121</v>
      </c>
      <c r="O227">
        <v>1</v>
      </c>
    </row>
    <row r="228" spans="1:15" x14ac:dyDescent="0.3">
      <c r="A228" s="26" t="s">
        <v>346</v>
      </c>
      <c r="B228" s="28" t="s">
        <v>78</v>
      </c>
      <c r="C228" s="28" t="s">
        <v>12</v>
      </c>
      <c r="D228" s="26" t="s">
        <v>477</v>
      </c>
      <c r="E228" s="26" t="s">
        <v>478</v>
      </c>
      <c r="F228" s="52">
        <v>43815</v>
      </c>
      <c r="G228" s="52">
        <v>43835</v>
      </c>
      <c r="H228" s="32" t="str">
        <f t="shared" si="5"/>
        <v>ODD</v>
      </c>
      <c r="I228" s="103">
        <v>0</v>
      </c>
      <c r="J228" s="32" t="str">
        <f>UPPER(TEXT(F228,"mmm")) &amp; " - " &amp; UPPER(TEXT(G228,"mmm"))</f>
        <v>DEC - JAN</v>
      </c>
      <c r="K228" s="3" t="s">
        <v>563</v>
      </c>
      <c r="L228" s="99" t="s">
        <v>3895</v>
      </c>
      <c r="M228" s="32" t="str">
        <f t="shared" si="6"/>
        <v>No</v>
      </c>
      <c r="N228" s="32">
        <f>G228 - F228</f>
        <v>20</v>
      </c>
      <c r="O228">
        <v>1</v>
      </c>
    </row>
    <row r="229" spans="1:15" x14ac:dyDescent="0.3">
      <c r="A229" s="26" t="s">
        <v>347</v>
      </c>
      <c r="B229" s="28" t="s">
        <v>78</v>
      </c>
      <c r="C229" s="28" t="s">
        <v>12</v>
      </c>
      <c r="D229" s="26" t="s">
        <v>479</v>
      </c>
      <c r="E229" s="26" t="s">
        <v>480</v>
      </c>
      <c r="F229" s="52">
        <v>43647</v>
      </c>
      <c r="G229" s="52">
        <v>43983</v>
      </c>
      <c r="H229" s="32" t="str">
        <f t="shared" si="5"/>
        <v>ODD</v>
      </c>
      <c r="I229" s="103">
        <v>0</v>
      </c>
      <c r="J229" s="32" t="str">
        <f>UPPER(TEXT(F229,"mmm")) &amp; " - " &amp; UPPER(TEXT(G229,"mmm"))</f>
        <v>JUL - JUN</v>
      </c>
      <c r="K229" s="3" t="s">
        <v>563</v>
      </c>
      <c r="L229" s="99" t="s">
        <v>3895</v>
      </c>
      <c r="M229" s="32" t="str">
        <f t="shared" si="6"/>
        <v>No</v>
      </c>
      <c r="N229" s="32">
        <f>G229 - F229</f>
        <v>336</v>
      </c>
      <c r="O229">
        <v>1</v>
      </c>
    </row>
    <row r="230" spans="1:15" x14ac:dyDescent="0.3">
      <c r="A230" s="26" t="s">
        <v>348</v>
      </c>
      <c r="B230" s="28" t="s">
        <v>66</v>
      </c>
      <c r="C230" s="28" t="s">
        <v>12</v>
      </c>
      <c r="D230" s="26" t="s">
        <v>481</v>
      </c>
      <c r="E230" s="26" t="s">
        <v>420</v>
      </c>
      <c r="F230" s="52">
        <v>43993</v>
      </c>
      <c r="G230" s="52">
        <v>44058</v>
      </c>
      <c r="H230" s="32" t="str">
        <f t="shared" si="5"/>
        <v>EVEN</v>
      </c>
      <c r="I230" s="103">
        <v>10000</v>
      </c>
      <c r="J230" s="32" t="str">
        <f>UPPER(TEXT(F230,"mmm")) &amp; " - " &amp; UPPER(TEXT(G230,"mmm"))</f>
        <v>JUN - AUG</v>
      </c>
      <c r="K230" s="3" t="s">
        <v>563</v>
      </c>
      <c r="L230" s="99" t="s">
        <v>3895</v>
      </c>
      <c r="M230" s="32" t="str">
        <f t="shared" si="6"/>
        <v>Yes</v>
      </c>
      <c r="N230" s="32">
        <f>G230 - F230</f>
        <v>65</v>
      </c>
      <c r="O230">
        <v>1</v>
      </c>
    </row>
    <row r="231" spans="1:15" x14ac:dyDescent="0.3">
      <c r="A231" s="26" t="s">
        <v>349</v>
      </c>
      <c r="B231" s="28" t="s">
        <v>66</v>
      </c>
      <c r="C231" s="28" t="s">
        <v>12</v>
      </c>
      <c r="D231" s="26" t="s">
        <v>482</v>
      </c>
      <c r="E231" s="26" t="s">
        <v>483</v>
      </c>
      <c r="F231" s="52">
        <v>43819</v>
      </c>
      <c r="G231" s="52">
        <v>43845</v>
      </c>
      <c r="H231" s="32" t="str">
        <f t="shared" si="5"/>
        <v>ODD</v>
      </c>
      <c r="I231" s="103">
        <v>5000</v>
      </c>
      <c r="J231" s="32" t="str">
        <f>UPPER(TEXT(F231,"mmm")) &amp; " - " &amp; UPPER(TEXT(G231,"mmm"))</f>
        <v>DEC - JAN</v>
      </c>
      <c r="K231" s="3" t="s">
        <v>563</v>
      </c>
      <c r="L231" s="99" t="s">
        <v>3895</v>
      </c>
      <c r="M231" s="32" t="str">
        <f t="shared" si="6"/>
        <v>Yes</v>
      </c>
      <c r="N231" s="32">
        <f>G231 - F231</f>
        <v>26</v>
      </c>
      <c r="O231">
        <v>1</v>
      </c>
    </row>
    <row r="232" spans="1:15" x14ac:dyDescent="0.3">
      <c r="A232" s="26" t="s">
        <v>350</v>
      </c>
      <c r="B232" s="28" t="s">
        <v>66</v>
      </c>
      <c r="C232" s="28" t="s">
        <v>12</v>
      </c>
      <c r="D232" s="26" t="s">
        <v>484</v>
      </c>
      <c r="E232" s="26" t="s">
        <v>485</v>
      </c>
      <c r="F232" s="52">
        <v>43966</v>
      </c>
      <c r="G232" s="52">
        <v>44021</v>
      </c>
      <c r="H232" s="32" t="str">
        <f t="shared" si="5"/>
        <v>EVEN</v>
      </c>
      <c r="I232" s="103">
        <v>0</v>
      </c>
      <c r="J232" s="32" t="str">
        <f>UPPER(TEXT(F232,"mmm")) &amp; " - " &amp; UPPER(TEXT(G232,"mmm"))</f>
        <v>MAY - JUL</v>
      </c>
      <c r="K232" s="3" t="s">
        <v>563</v>
      </c>
      <c r="L232" s="99" t="s">
        <v>3895</v>
      </c>
      <c r="M232" s="32" t="str">
        <f t="shared" si="6"/>
        <v>No</v>
      </c>
      <c r="N232" s="32">
        <f>G232 - F232</f>
        <v>55</v>
      </c>
      <c r="O232">
        <v>1</v>
      </c>
    </row>
    <row r="233" spans="1:15" x14ac:dyDescent="0.3">
      <c r="A233" s="26" t="s">
        <v>350</v>
      </c>
      <c r="B233" s="28" t="s">
        <v>66</v>
      </c>
      <c r="C233" s="28" t="s">
        <v>12</v>
      </c>
      <c r="D233" s="26" t="s">
        <v>486</v>
      </c>
      <c r="E233" s="26" t="s">
        <v>289</v>
      </c>
      <c r="F233" s="52">
        <v>43931</v>
      </c>
      <c r="G233" s="52">
        <v>44022</v>
      </c>
      <c r="H233" s="32" t="str">
        <f t="shared" si="5"/>
        <v>EVEN</v>
      </c>
      <c r="I233" s="103">
        <v>0</v>
      </c>
      <c r="J233" s="32" t="str">
        <f>UPPER(TEXT(F233,"mmm")) &amp; " - " &amp; UPPER(TEXT(G233,"mmm"))</f>
        <v>APR - JUL</v>
      </c>
      <c r="K233" s="3" t="s">
        <v>563</v>
      </c>
      <c r="L233" s="99" t="s">
        <v>3895</v>
      </c>
      <c r="M233" s="32" t="str">
        <f t="shared" si="6"/>
        <v>No</v>
      </c>
      <c r="N233" s="32">
        <f>G233 - F233</f>
        <v>91</v>
      </c>
      <c r="O233">
        <v>1</v>
      </c>
    </row>
    <row r="234" spans="1:15" x14ac:dyDescent="0.3">
      <c r="A234" s="26" t="s">
        <v>350</v>
      </c>
      <c r="B234" s="28" t="s">
        <v>66</v>
      </c>
      <c r="C234" s="28" t="s">
        <v>12</v>
      </c>
      <c r="D234" s="26" t="s">
        <v>487</v>
      </c>
      <c r="E234" s="26" t="s">
        <v>488</v>
      </c>
      <c r="F234" s="52">
        <v>43985</v>
      </c>
      <c r="G234" s="52">
        <v>44026</v>
      </c>
      <c r="H234" s="32" t="str">
        <f t="shared" si="5"/>
        <v>EVEN</v>
      </c>
      <c r="I234" s="103">
        <v>0</v>
      </c>
      <c r="J234" s="32" t="str">
        <f>UPPER(TEXT(F234,"mmm")) &amp; " - " &amp; UPPER(TEXT(G234,"mmm"))</f>
        <v>JUN - JUL</v>
      </c>
      <c r="K234" s="3" t="s">
        <v>563</v>
      </c>
      <c r="L234" s="99" t="s">
        <v>3895</v>
      </c>
      <c r="M234" s="32" t="str">
        <f t="shared" si="6"/>
        <v>No</v>
      </c>
      <c r="N234" s="32">
        <f>G234 - F234</f>
        <v>41</v>
      </c>
      <c r="O234">
        <v>1</v>
      </c>
    </row>
    <row r="235" spans="1:15" x14ac:dyDescent="0.3">
      <c r="A235" s="26" t="s">
        <v>351</v>
      </c>
      <c r="B235" s="28" t="s">
        <v>11</v>
      </c>
      <c r="C235" s="28" t="s">
        <v>12</v>
      </c>
      <c r="D235" s="26" t="s">
        <v>489</v>
      </c>
      <c r="E235" s="26" t="s">
        <v>490</v>
      </c>
      <c r="F235" s="52">
        <v>43988</v>
      </c>
      <c r="G235" s="52">
        <v>44080</v>
      </c>
      <c r="H235" s="32" t="str">
        <f t="shared" si="5"/>
        <v>EVEN</v>
      </c>
      <c r="I235" s="103">
        <v>5000</v>
      </c>
      <c r="J235" s="32" t="str">
        <f>UPPER(TEXT(F235,"mmm")) &amp; " - " &amp; UPPER(TEXT(G235,"mmm"))</f>
        <v>JUN - SEP</v>
      </c>
      <c r="K235" s="3" t="s">
        <v>563</v>
      </c>
      <c r="L235" s="99" t="s">
        <v>3895</v>
      </c>
      <c r="M235" s="32" t="str">
        <f t="shared" si="6"/>
        <v>Yes</v>
      </c>
      <c r="N235" s="32">
        <f>G235 - F235</f>
        <v>92</v>
      </c>
      <c r="O235">
        <v>1</v>
      </c>
    </row>
    <row r="236" spans="1:15" x14ac:dyDescent="0.3">
      <c r="A236" s="26" t="s">
        <v>352</v>
      </c>
      <c r="B236" s="28" t="s">
        <v>11</v>
      </c>
      <c r="C236" s="28" t="s">
        <v>12</v>
      </c>
      <c r="D236" s="26" t="s">
        <v>491</v>
      </c>
      <c r="E236" s="26" t="s">
        <v>492</v>
      </c>
      <c r="F236" s="52">
        <v>43831</v>
      </c>
      <c r="G236" s="52">
        <v>43890</v>
      </c>
      <c r="H236" s="32" t="str">
        <f t="shared" si="5"/>
        <v>EVEN</v>
      </c>
      <c r="I236" s="103">
        <v>0</v>
      </c>
      <c r="J236" s="32" t="str">
        <f>UPPER(TEXT(F236,"mmm")) &amp; " - " &amp; UPPER(TEXT(G236,"mmm"))</f>
        <v>JAN - FEB</v>
      </c>
      <c r="K236" s="3" t="s">
        <v>563</v>
      </c>
      <c r="L236" s="99" t="s">
        <v>3895</v>
      </c>
      <c r="M236" s="32" t="str">
        <f t="shared" si="6"/>
        <v>No</v>
      </c>
      <c r="N236" s="32">
        <f>G236 - F236</f>
        <v>59</v>
      </c>
      <c r="O236">
        <v>1</v>
      </c>
    </row>
    <row r="237" spans="1:15" x14ac:dyDescent="0.3">
      <c r="A237" s="26" t="s">
        <v>353</v>
      </c>
      <c r="B237" s="28" t="s">
        <v>66</v>
      </c>
      <c r="C237" s="28" t="s">
        <v>12</v>
      </c>
      <c r="D237" s="26" t="s">
        <v>493</v>
      </c>
      <c r="E237" s="26" t="s">
        <v>494</v>
      </c>
      <c r="F237" s="52">
        <v>43997</v>
      </c>
      <c r="G237" s="52">
        <v>44021</v>
      </c>
      <c r="H237" s="32" t="str">
        <f t="shared" si="5"/>
        <v>EVEN</v>
      </c>
      <c r="I237" s="103">
        <v>0</v>
      </c>
      <c r="J237" s="32" t="str">
        <f>UPPER(TEXT(F237,"mmm")) &amp; " - " &amp; UPPER(TEXT(G237,"mmm"))</f>
        <v>JUN - JUL</v>
      </c>
      <c r="K237" s="3" t="s">
        <v>563</v>
      </c>
      <c r="L237" s="99" t="s">
        <v>3895</v>
      </c>
      <c r="M237" s="32" t="str">
        <f t="shared" si="6"/>
        <v>No</v>
      </c>
      <c r="N237" s="32">
        <f>G237 - F237</f>
        <v>24</v>
      </c>
      <c r="O237">
        <v>1</v>
      </c>
    </row>
    <row r="238" spans="1:15" x14ac:dyDescent="0.3">
      <c r="A238" s="26" t="s">
        <v>353</v>
      </c>
      <c r="B238" s="28" t="s">
        <v>66</v>
      </c>
      <c r="C238" s="28" t="s">
        <v>12</v>
      </c>
      <c r="D238" s="26" t="s">
        <v>486</v>
      </c>
      <c r="E238" s="26" t="s">
        <v>495</v>
      </c>
      <c r="F238" s="52">
        <v>43931</v>
      </c>
      <c r="G238" s="52">
        <v>44022</v>
      </c>
      <c r="H238" s="32" t="str">
        <f t="shared" si="5"/>
        <v>EVEN</v>
      </c>
      <c r="I238" s="103">
        <v>0</v>
      </c>
      <c r="J238" s="32" t="str">
        <f>UPPER(TEXT(F238,"mmm")) &amp; " - " &amp; UPPER(TEXT(G238,"mmm"))</f>
        <v>APR - JUL</v>
      </c>
      <c r="K238" s="3" t="s">
        <v>563</v>
      </c>
      <c r="L238" s="99" t="s">
        <v>3895</v>
      </c>
      <c r="M238" s="32" t="str">
        <f t="shared" si="6"/>
        <v>No</v>
      </c>
      <c r="N238" s="32">
        <f>G238 - F238</f>
        <v>91</v>
      </c>
      <c r="O238">
        <v>1</v>
      </c>
    </row>
    <row r="239" spans="1:15" x14ac:dyDescent="0.3">
      <c r="A239" s="26" t="s">
        <v>237</v>
      </c>
      <c r="B239" s="28" t="s">
        <v>78</v>
      </c>
      <c r="C239" s="28" t="s">
        <v>12</v>
      </c>
      <c r="D239" s="26" t="s">
        <v>496</v>
      </c>
      <c r="E239" s="26" t="s">
        <v>497</v>
      </c>
      <c r="F239" s="52">
        <v>44003</v>
      </c>
      <c r="G239" s="52">
        <v>44033</v>
      </c>
      <c r="H239" s="32" t="str">
        <f t="shared" ref="H239:H285" si="7">IF((AND(F239&gt;=DATE(2019,7,1),F239&lt;=DATE(2019,12,31))),"ODD", "EVEN")</f>
        <v>EVEN</v>
      </c>
      <c r="I239" s="103">
        <v>0</v>
      </c>
      <c r="J239" s="32" t="str">
        <f>UPPER(TEXT(F239,"mmm")) &amp; " - " &amp; UPPER(TEXT(G239,"mmm"))</f>
        <v>JUN - JUL</v>
      </c>
      <c r="K239" s="3" t="s">
        <v>563</v>
      </c>
      <c r="L239" s="99" t="s">
        <v>3895</v>
      </c>
      <c r="M239" s="32" t="str">
        <f t="shared" si="6"/>
        <v>No</v>
      </c>
      <c r="N239" s="32">
        <f>G239 - F239</f>
        <v>30</v>
      </c>
      <c r="O239">
        <v>1</v>
      </c>
    </row>
    <row r="240" spans="1:15" x14ac:dyDescent="0.3">
      <c r="A240" s="26" t="s">
        <v>237</v>
      </c>
      <c r="B240" s="28" t="s">
        <v>78</v>
      </c>
      <c r="C240" s="28" t="s">
        <v>12</v>
      </c>
      <c r="D240" s="26" t="s">
        <v>498</v>
      </c>
      <c r="E240" s="26" t="s">
        <v>499</v>
      </c>
      <c r="F240" s="52">
        <v>43997</v>
      </c>
      <c r="G240" s="52">
        <v>44035</v>
      </c>
      <c r="H240" s="32" t="str">
        <f t="shared" si="7"/>
        <v>EVEN</v>
      </c>
      <c r="I240" s="103">
        <v>0</v>
      </c>
      <c r="J240" s="32" t="str">
        <f>UPPER(TEXT(F240,"mmm")) &amp; " - " &amp; UPPER(TEXT(G240,"mmm"))</f>
        <v>JUN - JUL</v>
      </c>
      <c r="K240" s="3" t="s">
        <v>563</v>
      </c>
      <c r="L240" s="99" t="s">
        <v>3895</v>
      </c>
      <c r="M240" s="32" t="str">
        <f t="shared" si="6"/>
        <v>No</v>
      </c>
      <c r="N240" s="32">
        <f>G240 - F240</f>
        <v>38</v>
      </c>
      <c r="O240">
        <v>1</v>
      </c>
    </row>
    <row r="241" spans="1:15" x14ac:dyDescent="0.3">
      <c r="A241" s="26" t="s">
        <v>354</v>
      </c>
      <c r="B241" s="28" t="s">
        <v>66</v>
      </c>
      <c r="C241" s="28" t="s">
        <v>12</v>
      </c>
      <c r="D241" s="26" t="s">
        <v>500</v>
      </c>
      <c r="E241" s="26" t="s">
        <v>501</v>
      </c>
      <c r="F241" s="52">
        <v>43811</v>
      </c>
      <c r="G241" s="52">
        <v>43982</v>
      </c>
      <c r="H241" s="32" t="str">
        <f t="shared" si="7"/>
        <v>ODD</v>
      </c>
      <c r="I241" s="103">
        <v>0</v>
      </c>
      <c r="J241" s="32" t="str">
        <f>UPPER(TEXT(F241,"mmm")) &amp; " - " &amp; UPPER(TEXT(G241,"mmm"))</f>
        <v>DEC - MAY</v>
      </c>
      <c r="K241" s="3" t="s">
        <v>563</v>
      </c>
      <c r="L241" s="99" t="s">
        <v>3895</v>
      </c>
      <c r="M241" s="32" t="str">
        <f t="shared" si="6"/>
        <v>No</v>
      </c>
      <c r="N241" s="32">
        <f>G241 - F241</f>
        <v>171</v>
      </c>
      <c r="O241">
        <v>1</v>
      </c>
    </row>
    <row r="242" spans="1:15" x14ac:dyDescent="0.3">
      <c r="A242" s="26" t="s">
        <v>355</v>
      </c>
      <c r="B242" s="28" t="s">
        <v>78</v>
      </c>
      <c r="C242" s="28" t="s">
        <v>12</v>
      </c>
      <c r="D242" s="26" t="s">
        <v>502</v>
      </c>
      <c r="E242" s="26" t="s">
        <v>503</v>
      </c>
      <c r="F242" s="52">
        <v>43955</v>
      </c>
      <c r="G242" s="52">
        <v>44047</v>
      </c>
      <c r="H242" s="32" t="str">
        <f t="shared" si="7"/>
        <v>EVEN</v>
      </c>
      <c r="I242" s="103">
        <v>0</v>
      </c>
      <c r="J242" s="32" t="str">
        <f>UPPER(TEXT(F242,"mmm")) &amp; " - " &amp; UPPER(TEXT(G242,"mmm"))</f>
        <v>MAY - AUG</v>
      </c>
      <c r="K242" s="3" t="s">
        <v>563</v>
      </c>
      <c r="L242" s="99" t="s">
        <v>3895</v>
      </c>
      <c r="M242" s="32" t="str">
        <f t="shared" si="6"/>
        <v>No</v>
      </c>
      <c r="N242" s="32">
        <f>G242 - F242</f>
        <v>92</v>
      </c>
      <c r="O242">
        <v>1</v>
      </c>
    </row>
    <row r="243" spans="1:15" x14ac:dyDescent="0.3">
      <c r="A243" s="26" t="s">
        <v>356</v>
      </c>
      <c r="B243" s="28" t="s">
        <v>66</v>
      </c>
      <c r="C243" s="28" t="s">
        <v>12</v>
      </c>
      <c r="D243" s="26" t="s">
        <v>504</v>
      </c>
      <c r="E243" s="26" t="s">
        <v>408</v>
      </c>
      <c r="F243" s="52">
        <v>43810</v>
      </c>
      <c r="G243" s="52">
        <v>43957</v>
      </c>
      <c r="H243" s="32" t="str">
        <f t="shared" si="7"/>
        <v>ODD</v>
      </c>
      <c r="I243" s="103">
        <v>0</v>
      </c>
      <c r="J243" s="32" t="str">
        <f>UPPER(TEXT(F243,"mmm")) &amp; " - " &amp; UPPER(TEXT(G243,"mmm"))</f>
        <v>DEC - MAY</v>
      </c>
      <c r="K243" s="3" t="s">
        <v>563</v>
      </c>
      <c r="L243" s="99" t="s">
        <v>3895</v>
      </c>
      <c r="M243" s="32" t="str">
        <f t="shared" si="6"/>
        <v>No</v>
      </c>
      <c r="N243" s="32">
        <f>G243 - F243</f>
        <v>147</v>
      </c>
      <c r="O243">
        <v>1</v>
      </c>
    </row>
    <row r="244" spans="1:15" ht="26.4" x14ac:dyDescent="0.3">
      <c r="A244" s="27" t="s">
        <v>357</v>
      </c>
      <c r="B244" s="29" t="s">
        <v>11</v>
      </c>
      <c r="C244" s="29" t="s">
        <v>12</v>
      </c>
      <c r="D244" s="30" t="s">
        <v>505</v>
      </c>
      <c r="E244" s="30"/>
      <c r="F244" s="52">
        <v>43823</v>
      </c>
      <c r="G244" s="52">
        <v>43834</v>
      </c>
      <c r="H244" s="32" t="str">
        <f t="shared" si="7"/>
        <v>ODD</v>
      </c>
      <c r="I244" s="102">
        <v>0</v>
      </c>
      <c r="J244" s="32" t="str">
        <f>UPPER(TEXT(F244,"mmm")) &amp; " - " &amp; UPPER(TEXT(G244,"mmm"))</f>
        <v>DEC - JAN</v>
      </c>
      <c r="K244" s="3" t="s">
        <v>563</v>
      </c>
      <c r="L244" s="99" t="s">
        <v>3895</v>
      </c>
      <c r="M244" s="32" t="str">
        <f t="shared" si="6"/>
        <v>No</v>
      </c>
      <c r="N244" s="32">
        <f>G244 - F244</f>
        <v>11</v>
      </c>
      <c r="O244">
        <v>1</v>
      </c>
    </row>
    <row r="245" spans="1:15" x14ac:dyDescent="0.3">
      <c r="A245" s="26" t="s">
        <v>358</v>
      </c>
      <c r="B245" s="28" t="s">
        <v>66</v>
      </c>
      <c r="C245" s="28" t="s">
        <v>12</v>
      </c>
      <c r="D245" s="26" t="s">
        <v>506</v>
      </c>
      <c r="E245" s="26" t="s">
        <v>507</v>
      </c>
      <c r="F245" s="52">
        <v>43922</v>
      </c>
      <c r="G245" s="52">
        <v>43951</v>
      </c>
      <c r="H245" s="32" t="str">
        <f t="shared" si="7"/>
        <v>EVEN</v>
      </c>
      <c r="I245" s="103">
        <v>0</v>
      </c>
      <c r="J245" s="32" t="str">
        <f>UPPER(TEXT(F245,"mmm")) &amp; " - " &amp; UPPER(TEXT(G245,"mmm"))</f>
        <v>APR - APR</v>
      </c>
      <c r="K245" s="3" t="s">
        <v>563</v>
      </c>
      <c r="L245" s="99" t="s">
        <v>3895</v>
      </c>
      <c r="M245" s="32" t="str">
        <f t="shared" si="6"/>
        <v>No</v>
      </c>
      <c r="N245" s="32">
        <f>G245 - F245</f>
        <v>29</v>
      </c>
      <c r="O245">
        <v>1</v>
      </c>
    </row>
    <row r="246" spans="1:15" x14ac:dyDescent="0.3">
      <c r="A246" s="26" t="s">
        <v>358</v>
      </c>
      <c r="B246" s="28" t="s">
        <v>66</v>
      </c>
      <c r="C246" s="28" t="s">
        <v>12</v>
      </c>
      <c r="D246" s="26" t="s">
        <v>506</v>
      </c>
      <c r="E246" s="26" t="s">
        <v>508</v>
      </c>
      <c r="F246" s="52">
        <v>43980</v>
      </c>
      <c r="G246" s="52">
        <v>44010</v>
      </c>
      <c r="H246" s="32" t="str">
        <f t="shared" si="7"/>
        <v>EVEN</v>
      </c>
      <c r="I246" s="103">
        <v>0</v>
      </c>
      <c r="J246" s="32" t="str">
        <f>UPPER(TEXT(F246,"mmm")) &amp; " - " &amp; UPPER(TEXT(G246,"mmm"))</f>
        <v>MAY - JUN</v>
      </c>
      <c r="K246" s="3" t="s">
        <v>563</v>
      </c>
      <c r="L246" s="99" t="s">
        <v>3895</v>
      </c>
      <c r="M246" s="32" t="str">
        <f t="shared" si="6"/>
        <v>No</v>
      </c>
      <c r="N246" s="32">
        <f>G246 - F246</f>
        <v>30</v>
      </c>
      <c r="O246">
        <v>1</v>
      </c>
    </row>
    <row r="247" spans="1:15" x14ac:dyDescent="0.3">
      <c r="A247" s="26" t="s">
        <v>219</v>
      </c>
      <c r="B247" s="28" t="s">
        <v>70</v>
      </c>
      <c r="C247" s="28" t="s">
        <v>12</v>
      </c>
      <c r="D247" s="26" t="s">
        <v>509</v>
      </c>
      <c r="E247" s="26" t="s">
        <v>510</v>
      </c>
      <c r="F247" s="52">
        <v>43770</v>
      </c>
      <c r="G247" s="52">
        <v>44036</v>
      </c>
      <c r="H247" s="32" t="str">
        <f t="shared" si="7"/>
        <v>ODD</v>
      </c>
      <c r="I247" s="103">
        <v>25000</v>
      </c>
      <c r="J247" s="32" t="str">
        <f>UPPER(TEXT(F247,"mmm")) &amp; " - " &amp; UPPER(TEXT(G247,"mmm"))</f>
        <v>NOV - JUL</v>
      </c>
      <c r="K247" s="3" t="s">
        <v>563</v>
      </c>
      <c r="L247" s="99" t="s">
        <v>3895</v>
      </c>
      <c r="M247" s="32" t="str">
        <f t="shared" si="6"/>
        <v>Yes</v>
      </c>
      <c r="N247" s="32">
        <f>G247 - F247</f>
        <v>266</v>
      </c>
      <c r="O247">
        <v>1</v>
      </c>
    </row>
    <row r="248" spans="1:15" x14ac:dyDescent="0.3">
      <c r="A248" s="26" t="s">
        <v>359</v>
      </c>
      <c r="B248" s="28" t="s">
        <v>70</v>
      </c>
      <c r="C248" s="28" t="s">
        <v>12</v>
      </c>
      <c r="D248" s="26" t="s">
        <v>511</v>
      </c>
      <c r="E248" s="26" t="s">
        <v>512</v>
      </c>
      <c r="F248" s="52">
        <v>43922</v>
      </c>
      <c r="G248" s="52">
        <v>43982</v>
      </c>
      <c r="H248" s="32" t="str">
        <f t="shared" si="7"/>
        <v>EVEN</v>
      </c>
      <c r="I248" s="103">
        <v>0</v>
      </c>
      <c r="J248" s="32" t="str">
        <f>UPPER(TEXT(F248,"mmm")) &amp; " - " &amp; UPPER(TEXT(G248,"mmm"))</f>
        <v>APR - MAY</v>
      </c>
      <c r="K248" s="3" t="s">
        <v>563</v>
      </c>
      <c r="L248" s="99" t="s">
        <v>3895</v>
      </c>
      <c r="M248" s="32" t="str">
        <f t="shared" si="6"/>
        <v>No</v>
      </c>
      <c r="N248" s="32">
        <f>G248 - F248</f>
        <v>60</v>
      </c>
      <c r="O248">
        <v>1</v>
      </c>
    </row>
    <row r="249" spans="1:15" x14ac:dyDescent="0.3">
      <c r="A249" s="26" t="s">
        <v>10</v>
      </c>
      <c r="B249" s="28" t="s">
        <v>78</v>
      </c>
      <c r="C249" s="28" t="s">
        <v>12</v>
      </c>
      <c r="D249" s="26" t="s">
        <v>513</v>
      </c>
      <c r="E249" s="26" t="s">
        <v>514</v>
      </c>
      <c r="F249" s="52">
        <v>43990</v>
      </c>
      <c r="G249" s="52">
        <v>44051</v>
      </c>
      <c r="H249" s="32" t="str">
        <f t="shared" si="7"/>
        <v>EVEN</v>
      </c>
      <c r="I249" s="103">
        <v>5000</v>
      </c>
      <c r="J249" s="32" t="str">
        <f>UPPER(TEXT(F249,"mmm")) &amp; " - " &amp; UPPER(TEXT(G249,"mmm"))</f>
        <v>JUN - AUG</v>
      </c>
      <c r="K249" s="3" t="s">
        <v>563</v>
      </c>
      <c r="L249" s="99" t="s">
        <v>3895</v>
      </c>
      <c r="M249" s="32" t="str">
        <f t="shared" si="6"/>
        <v>Yes</v>
      </c>
      <c r="N249" s="32">
        <f>G249 - F249</f>
        <v>61</v>
      </c>
      <c r="O249">
        <v>1</v>
      </c>
    </row>
    <row r="250" spans="1:15" x14ac:dyDescent="0.3">
      <c r="A250" s="26" t="s">
        <v>360</v>
      </c>
      <c r="B250" s="28" t="s">
        <v>78</v>
      </c>
      <c r="C250" s="28" t="s">
        <v>12</v>
      </c>
      <c r="D250" s="26" t="s">
        <v>515</v>
      </c>
      <c r="E250" s="26" t="s">
        <v>516</v>
      </c>
      <c r="F250" s="52">
        <v>43556</v>
      </c>
      <c r="G250" s="52">
        <v>43708</v>
      </c>
      <c r="H250" s="32" t="str">
        <f t="shared" si="7"/>
        <v>EVEN</v>
      </c>
      <c r="I250" s="103">
        <v>0</v>
      </c>
      <c r="J250" s="32" t="str">
        <f>UPPER(TEXT(F250,"mmm")) &amp; " - " &amp; UPPER(TEXT(G250,"mmm"))</f>
        <v>APR - AUG</v>
      </c>
      <c r="K250" s="3" t="s">
        <v>563</v>
      </c>
      <c r="L250" s="99" t="s">
        <v>3895</v>
      </c>
      <c r="M250" s="32" t="str">
        <f t="shared" si="6"/>
        <v>No</v>
      </c>
      <c r="N250" s="32">
        <f>G250 - F250</f>
        <v>152</v>
      </c>
      <c r="O250">
        <v>1</v>
      </c>
    </row>
    <row r="251" spans="1:15" x14ac:dyDescent="0.3">
      <c r="A251" s="26" t="s">
        <v>166</v>
      </c>
      <c r="B251" s="28" t="s">
        <v>66</v>
      </c>
      <c r="C251" s="28" t="s">
        <v>12</v>
      </c>
      <c r="D251" s="26" t="s">
        <v>517</v>
      </c>
      <c r="E251" s="26" t="s">
        <v>408</v>
      </c>
      <c r="F251" s="52">
        <v>43919</v>
      </c>
      <c r="G251" s="52">
        <v>43934</v>
      </c>
      <c r="H251" s="32" t="str">
        <f t="shared" si="7"/>
        <v>EVEN</v>
      </c>
      <c r="I251" s="103">
        <v>0</v>
      </c>
      <c r="J251" s="32" t="str">
        <f>UPPER(TEXT(F251,"mmm")) &amp; " - " &amp; UPPER(TEXT(G251,"mmm"))</f>
        <v>MAR - APR</v>
      </c>
      <c r="K251" s="3" t="s">
        <v>563</v>
      </c>
      <c r="L251" s="99" t="s">
        <v>3895</v>
      </c>
      <c r="M251" s="32" t="str">
        <f t="shared" si="6"/>
        <v>No</v>
      </c>
      <c r="N251" s="32">
        <f>G251 - F251</f>
        <v>15</v>
      </c>
      <c r="O251">
        <v>1</v>
      </c>
    </row>
    <row r="252" spans="1:15" x14ac:dyDescent="0.3">
      <c r="A252" s="27" t="s">
        <v>61</v>
      </c>
      <c r="B252" s="29" t="s">
        <v>78</v>
      </c>
      <c r="C252" s="29" t="s">
        <v>12</v>
      </c>
      <c r="D252" s="30" t="s">
        <v>518</v>
      </c>
      <c r="E252" s="1"/>
      <c r="F252" s="52">
        <v>43805</v>
      </c>
      <c r="G252" s="52">
        <v>43826</v>
      </c>
      <c r="H252" s="32" t="str">
        <f t="shared" si="7"/>
        <v>ODD</v>
      </c>
      <c r="I252" s="102">
        <v>0</v>
      </c>
      <c r="J252" s="32" t="str">
        <f>UPPER(TEXT(F252,"mmm")) &amp; " - " &amp; UPPER(TEXT(G252,"mmm"))</f>
        <v>DEC - DEC</v>
      </c>
      <c r="K252" s="3" t="s">
        <v>563</v>
      </c>
      <c r="L252" s="99" t="s">
        <v>3895</v>
      </c>
      <c r="M252" s="32" t="str">
        <f t="shared" si="6"/>
        <v>No</v>
      </c>
      <c r="N252" s="32">
        <f>G252 - F252</f>
        <v>21</v>
      </c>
      <c r="O252">
        <v>1</v>
      </c>
    </row>
    <row r="253" spans="1:15" x14ac:dyDescent="0.3">
      <c r="A253" s="26" t="s">
        <v>361</v>
      </c>
      <c r="B253" s="28" t="s">
        <v>11</v>
      </c>
      <c r="C253" s="28" t="s">
        <v>12</v>
      </c>
      <c r="D253" s="26" t="s">
        <v>519</v>
      </c>
      <c r="E253" s="26" t="s">
        <v>520</v>
      </c>
      <c r="F253" s="52">
        <v>43891</v>
      </c>
      <c r="G253" s="52">
        <v>43920</v>
      </c>
      <c r="H253" s="32" t="str">
        <f t="shared" si="7"/>
        <v>EVEN</v>
      </c>
      <c r="I253" s="103">
        <v>0</v>
      </c>
      <c r="J253" s="32" t="str">
        <f>UPPER(TEXT(F253,"mmm")) &amp; " - " &amp; UPPER(TEXT(G253,"mmm"))</f>
        <v>MAR - MAR</v>
      </c>
      <c r="K253" s="3" t="s">
        <v>563</v>
      </c>
      <c r="L253" s="99" t="s">
        <v>3895</v>
      </c>
      <c r="M253" s="32" t="str">
        <f t="shared" si="6"/>
        <v>No</v>
      </c>
      <c r="N253" s="32">
        <f>G253 - F253</f>
        <v>29</v>
      </c>
      <c r="O253">
        <v>1</v>
      </c>
    </row>
    <row r="254" spans="1:15" x14ac:dyDescent="0.3">
      <c r="A254" s="26" t="s">
        <v>137</v>
      </c>
      <c r="B254" s="28" t="s">
        <v>70</v>
      </c>
      <c r="C254" s="28" t="s">
        <v>12</v>
      </c>
      <c r="D254" s="26" t="s">
        <v>521</v>
      </c>
      <c r="E254" s="26" t="s">
        <v>522</v>
      </c>
      <c r="F254" s="52">
        <v>43836</v>
      </c>
      <c r="G254" s="52">
        <v>43952</v>
      </c>
      <c r="H254" s="32" t="str">
        <f t="shared" si="7"/>
        <v>EVEN</v>
      </c>
      <c r="I254" s="103">
        <v>12000</v>
      </c>
      <c r="J254" s="32" t="str">
        <f>UPPER(TEXT(F254,"mmm")) &amp; " - " &amp; UPPER(TEXT(G254,"mmm"))</f>
        <v>JAN - MAY</v>
      </c>
      <c r="K254" s="3" t="s">
        <v>563</v>
      </c>
      <c r="L254" s="99" t="s">
        <v>3895</v>
      </c>
      <c r="M254" s="32" t="str">
        <f t="shared" si="6"/>
        <v>Yes</v>
      </c>
      <c r="N254" s="32">
        <f>G254 - F254</f>
        <v>116</v>
      </c>
      <c r="O254">
        <v>1</v>
      </c>
    </row>
    <row r="255" spans="1:15" x14ac:dyDescent="0.3">
      <c r="A255" s="26" t="s">
        <v>362</v>
      </c>
      <c r="B255" s="28" t="s">
        <v>78</v>
      </c>
      <c r="C255" s="28" t="s">
        <v>12</v>
      </c>
      <c r="D255" s="26" t="s">
        <v>523</v>
      </c>
      <c r="E255" s="26" t="s">
        <v>524</v>
      </c>
      <c r="F255" s="52">
        <v>43840</v>
      </c>
      <c r="G255" s="52">
        <v>43992</v>
      </c>
      <c r="H255" s="32" t="str">
        <f t="shared" si="7"/>
        <v>EVEN</v>
      </c>
      <c r="I255" s="103">
        <v>0</v>
      </c>
      <c r="J255" s="32" t="str">
        <f>UPPER(TEXT(F255,"mmm")) &amp; " - " &amp; UPPER(TEXT(G255,"mmm"))</f>
        <v>JAN - JUN</v>
      </c>
      <c r="K255" s="3" t="s">
        <v>563</v>
      </c>
      <c r="L255" s="99" t="s">
        <v>3895</v>
      </c>
      <c r="M255" s="32" t="str">
        <f t="shared" si="6"/>
        <v>No</v>
      </c>
      <c r="N255" s="32">
        <f>G255 - F255</f>
        <v>152</v>
      </c>
      <c r="O255">
        <v>1</v>
      </c>
    </row>
    <row r="256" spans="1:15" x14ac:dyDescent="0.3">
      <c r="A256" s="26" t="s">
        <v>363</v>
      </c>
      <c r="B256" s="28" t="s">
        <v>11</v>
      </c>
      <c r="C256" s="28" t="s">
        <v>12</v>
      </c>
      <c r="D256" s="26" t="s">
        <v>525</v>
      </c>
      <c r="E256" s="26" t="s">
        <v>408</v>
      </c>
      <c r="F256" s="52">
        <v>43919</v>
      </c>
      <c r="G256" s="52">
        <v>44012</v>
      </c>
      <c r="H256" s="32" t="str">
        <f t="shared" si="7"/>
        <v>EVEN</v>
      </c>
      <c r="I256" s="103">
        <v>0</v>
      </c>
      <c r="J256" s="32" t="str">
        <f>UPPER(TEXT(F256,"mmm")) &amp; " - " &amp; UPPER(TEXT(G256,"mmm"))</f>
        <v>MAR - JUN</v>
      </c>
      <c r="K256" s="3" t="s">
        <v>563</v>
      </c>
      <c r="L256" s="99" t="s">
        <v>3895</v>
      </c>
      <c r="M256" s="32" t="str">
        <f t="shared" si="6"/>
        <v>No</v>
      </c>
      <c r="N256" s="32">
        <f>G256 - F256</f>
        <v>93</v>
      </c>
      <c r="O256">
        <v>1</v>
      </c>
    </row>
    <row r="257" spans="1:15" x14ac:dyDescent="0.3">
      <c r="A257" s="26" t="s">
        <v>364</v>
      </c>
      <c r="B257" s="28" t="s">
        <v>78</v>
      </c>
      <c r="C257" s="28" t="s">
        <v>12</v>
      </c>
      <c r="D257" s="26" t="s">
        <v>526</v>
      </c>
      <c r="E257" s="26" t="s">
        <v>310</v>
      </c>
      <c r="F257" s="52">
        <v>43993</v>
      </c>
      <c r="G257" s="52">
        <v>44058</v>
      </c>
      <c r="H257" s="32" t="str">
        <f t="shared" si="7"/>
        <v>EVEN</v>
      </c>
      <c r="I257" s="103">
        <v>10000</v>
      </c>
      <c r="J257" s="32" t="str">
        <f>UPPER(TEXT(F257,"mmm")) &amp; " - " &amp; UPPER(TEXT(G257,"mmm"))</f>
        <v>JUN - AUG</v>
      </c>
      <c r="K257" s="3" t="s">
        <v>563</v>
      </c>
      <c r="L257" s="99" t="s">
        <v>3895</v>
      </c>
      <c r="M257" s="32" t="str">
        <f t="shared" si="6"/>
        <v>Yes</v>
      </c>
      <c r="N257" s="32">
        <f>G257 - F257</f>
        <v>65</v>
      </c>
      <c r="O257">
        <v>1</v>
      </c>
    </row>
    <row r="258" spans="1:15" x14ac:dyDescent="0.3">
      <c r="A258" s="26" t="s">
        <v>365</v>
      </c>
      <c r="B258" s="28" t="s">
        <v>66</v>
      </c>
      <c r="C258" s="28" t="s">
        <v>12</v>
      </c>
      <c r="D258" s="26" t="s">
        <v>527</v>
      </c>
      <c r="E258" s="26" t="s">
        <v>528</v>
      </c>
      <c r="F258" s="52">
        <v>44000</v>
      </c>
      <c r="G258" s="52">
        <v>44045</v>
      </c>
      <c r="H258" s="32" t="str">
        <f t="shared" si="7"/>
        <v>EVEN</v>
      </c>
      <c r="I258" s="103">
        <v>0</v>
      </c>
      <c r="J258" s="32" t="str">
        <f>UPPER(TEXT(F258,"mmm")) &amp; " - " &amp; UPPER(TEXT(G258,"mmm"))</f>
        <v>JUN - AUG</v>
      </c>
      <c r="K258" s="3" t="s">
        <v>563</v>
      </c>
      <c r="L258" s="99" t="s">
        <v>3895</v>
      </c>
      <c r="M258" s="32" t="str">
        <f t="shared" si="6"/>
        <v>No</v>
      </c>
      <c r="N258" s="32">
        <f>G258 - F258</f>
        <v>45</v>
      </c>
      <c r="O258">
        <v>1</v>
      </c>
    </row>
    <row r="259" spans="1:15" x14ac:dyDescent="0.3">
      <c r="A259" s="26" t="s">
        <v>366</v>
      </c>
      <c r="B259" s="28" t="s">
        <v>66</v>
      </c>
      <c r="C259" s="28" t="s">
        <v>12</v>
      </c>
      <c r="D259" s="26" t="s">
        <v>443</v>
      </c>
      <c r="E259" s="26" t="s">
        <v>529</v>
      </c>
      <c r="F259" s="52">
        <v>43952</v>
      </c>
      <c r="G259" s="52">
        <v>43981</v>
      </c>
      <c r="H259" s="32" t="str">
        <f t="shared" si="7"/>
        <v>EVEN</v>
      </c>
      <c r="I259" s="103">
        <v>0</v>
      </c>
      <c r="J259" s="32" t="str">
        <f>UPPER(TEXT(F259,"mmm")) &amp; " - " &amp; UPPER(TEXT(G259,"mmm"))</f>
        <v>MAY - MAY</v>
      </c>
      <c r="K259" s="3" t="s">
        <v>563</v>
      </c>
      <c r="L259" s="99" t="s">
        <v>3895</v>
      </c>
      <c r="M259" s="32" t="str">
        <f t="shared" ref="M259:M322" si="8">IF(I259 &gt; 0, "Yes", "No")</f>
        <v>No</v>
      </c>
      <c r="N259" s="32">
        <f>G259 - F259</f>
        <v>29</v>
      </c>
      <c r="O259">
        <v>1</v>
      </c>
    </row>
    <row r="260" spans="1:15" x14ac:dyDescent="0.3">
      <c r="A260" s="26" t="s">
        <v>366</v>
      </c>
      <c r="B260" s="28" t="s">
        <v>66</v>
      </c>
      <c r="C260" s="28" t="s">
        <v>12</v>
      </c>
      <c r="D260" s="26" t="s">
        <v>530</v>
      </c>
      <c r="E260" s="26" t="s">
        <v>393</v>
      </c>
      <c r="F260" s="52">
        <v>43814</v>
      </c>
      <c r="G260" s="52">
        <v>43832</v>
      </c>
      <c r="H260" s="32" t="str">
        <f t="shared" si="7"/>
        <v>ODD</v>
      </c>
      <c r="I260" s="103">
        <v>0</v>
      </c>
      <c r="J260" s="32" t="str">
        <f>UPPER(TEXT(F260,"mmm")) &amp; " - " &amp; UPPER(TEXT(G260,"mmm"))</f>
        <v>DEC - JAN</v>
      </c>
      <c r="K260" s="3" t="s">
        <v>563</v>
      </c>
      <c r="L260" s="99" t="s">
        <v>3895</v>
      </c>
      <c r="M260" s="32" t="str">
        <f t="shared" si="8"/>
        <v>No</v>
      </c>
      <c r="N260" s="32">
        <f>G260 - F260</f>
        <v>18</v>
      </c>
      <c r="O260">
        <v>1</v>
      </c>
    </row>
    <row r="261" spans="1:15" x14ac:dyDescent="0.3">
      <c r="A261" s="26" t="s">
        <v>367</v>
      </c>
      <c r="B261" s="28" t="s">
        <v>66</v>
      </c>
      <c r="C261" s="28" t="s">
        <v>12</v>
      </c>
      <c r="D261" s="26" t="s">
        <v>531</v>
      </c>
      <c r="E261" s="26" t="s">
        <v>532</v>
      </c>
      <c r="F261" s="52">
        <v>43997</v>
      </c>
      <c r="G261" s="52">
        <v>44026</v>
      </c>
      <c r="H261" s="32" t="str">
        <f t="shared" si="7"/>
        <v>EVEN</v>
      </c>
      <c r="I261" s="103">
        <v>0</v>
      </c>
      <c r="J261" s="32" t="str">
        <f>UPPER(TEXT(F261,"mmm")) &amp; " - " &amp; UPPER(TEXT(G261,"mmm"))</f>
        <v>JUN - JUL</v>
      </c>
      <c r="K261" s="3" t="s">
        <v>563</v>
      </c>
      <c r="L261" s="99" t="s">
        <v>3895</v>
      </c>
      <c r="M261" s="32" t="str">
        <f t="shared" si="8"/>
        <v>No</v>
      </c>
      <c r="N261" s="32">
        <f>G261 - F261</f>
        <v>29</v>
      </c>
      <c r="O261">
        <v>1</v>
      </c>
    </row>
    <row r="262" spans="1:15" x14ac:dyDescent="0.3">
      <c r="A262" s="26" t="s">
        <v>368</v>
      </c>
      <c r="B262" s="28" t="s">
        <v>78</v>
      </c>
      <c r="C262" s="28" t="s">
        <v>12</v>
      </c>
      <c r="D262" s="26" t="s">
        <v>423</v>
      </c>
      <c r="E262" s="26" t="s">
        <v>533</v>
      </c>
      <c r="F262" s="52">
        <v>43952</v>
      </c>
      <c r="G262" s="52">
        <v>44042</v>
      </c>
      <c r="H262" s="32" t="str">
        <f t="shared" si="7"/>
        <v>EVEN</v>
      </c>
      <c r="I262" s="103">
        <v>3333</v>
      </c>
      <c r="J262" s="32" t="str">
        <f>UPPER(TEXT(F262,"mmm")) &amp; " - " &amp; UPPER(TEXT(G262,"mmm"))</f>
        <v>MAY - JUL</v>
      </c>
      <c r="K262" s="3" t="s">
        <v>563</v>
      </c>
      <c r="L262" s="99" t="s">
        <v>3895</v>
      </c>
      <c r="M262" s="32" t="str">
        <f t="shared" si="8"/>
        <v>Yes</v>
      </c>
      <c r="N262" s="32">
        <f>G262 - F262</f>
        <v>90</v>
      </c>
      <c r="O262">
        <v>1</v>
      </c>
    </row>
    <row r="263" spans="1:15" x14ac:dyDescent="0.3">
      <c r="A263" s="26" t="s">
        <v>369</v>
      </c>
      <c r="B263" s="28" t="s">
        <v>78</v>
      </c>
      <c r="C263" s="28" t="s">
        <v>12</v>
      </c>
      <c r="D263" s="26" t="s">
        <v>417</v>
      </c>
      <c r="E263" s="26" t="s">
        <v>534</v>
      </c>
      <c r="F263" s="52">
        <v>43983</v>
      </c>
      <c r="G263" s="52">
        <v>44013</v>
      </c>
      <c r="H263" s="32" t="str">
        <f t="shared" si="7"/>
        <v>EVEN</v>
      </c>
      <c r="I263" s="103">
        <v>0</v>
      </c>
      <c r="J263" s="32" t="str">
        <f>UPPER(TEXT(F263,"mmm")) &amp; " - " &amp; UPPER(TEXT(G263,"mmm"))</f>
        <v>JUN - JUL</v>
      </c>
      <c r="K263" s="3" t="s">
        <v>563</v>
      </c>
      <c r="L263" s="99" t="s">
        <v>3895</v>
      </c>
      <c r="M263" s="32" t="str">
        <f t="shared" si="8"/>
        <v>No</v>
      </c>
      <c r="N263" s="32">
        <f>G263 - F263</f>
        <v>30</v>
      </c>
      <c r="O263">
        <v>1</v>
      </c>
    </row>
    <row r="264" spans="1:15" ht="26.4" x14ac:dyDescent="0.3">
      <c r="A264" s="27" t="s">
        <v>370</v>
      </c>
      <c r="B264" s="29" t="s">
        <v>78</v>
      </c>
      <c r="C264" s="29" t="s">
        <v>12</v>
      </c>
      <c r="D264" s="30" t="s">
        <v>409</v>
      </c>
      <c r="E264" s="1"/>
      <c r="F264" s="52">
        <v>43815</v>
      </c>
      <c r="G264" s="52">
        <v>43833</v>
      </c>
      <c r="H264" s="32" t="str">
        <f t="shared" si="7"/>
        <v>ODD</v>
      </c>
      <c r="I264" s="102">
        <v>0</v>
      </c>
      <c r="J264" s="32" t="str">
        <f>UPPER(TEXT(F264,"mmm")) &amp; " - " &amp; UPPER(TEXT(G264,"mmm"))</f>
        <v>DEC - JAN</v>
      </c>
      <c r="K264" s="3" t="s">
        <v>563</v>
      </c>
      <c r="L264" s="99" t="s">
        <v>3895</v>
      </c>
      <c r="M264" s="32" t="str">
        <f t="shared" si="8"/>
        <v>No</v>
      </c>
      <c r="N264" s="32">
        <f>G264 - F264</f>
        <v>18</v>
      </c>
      <c r="O264">
        <v>1</v>
      </c>
    </row>
    <row r="265" spans="1:15" x14ac:dyDescent="0.3">
      <c r="A265" s="26" t="s">
        <v>371</v>
      </c>
      <c r="B265" s="28" t="s">
        <v>66</v>
      </c>
      <c r="C265" s="28" t="s">
        <v>12</v>
      </c>
      <c r="D265" s="26" t="s">
        <v>535</v>
      </c>
      <c r="E265" s="26" t="s">
        <v>277</v>
      </c>
      <c r="F265" s="52">
        <v>43907</v>
      </c>
      <c r="G265" s="52">
        <v>44002</v>
      </c>
      <c r="H265" s="32" t="str">
        <f t="shared" si="7"/>
        <v>EVEN</v>
      </c>
      <c r="I265" s="103">
        <v>2000</v>
      </c>
      <c r="J265" s="32" t="str">
        <f>UPPER(TEXT(F265,"mmm")) &amp; " - " &amp; UPPER(TEXT(G265,"mmm"))</f>
        <v>MAR - JUN</v>
      </c>
      <c r="K265" s="3" t="s">
        <v>563</v>
      </c>
      <c r="L265" s="99" t="s">
        <v>3895</v>
      </c>
      <c r="M265" s="32" t="str">
        <f t="shared" si="8"/>
        <v>Yes</v>
      </c>
      <c r="N265" s="32">
        <f>G265 - F265</f>
        <v>95</v>
      </c>
      <c r="O265">
        <v>1</v>
      </c>
    </row>
    <row r="266" spans="1:15" x14ac:dyDescent="0.3">
      <c r="A266" s="26" t="s">
        <v>372</v>
      </c>
      <c r="B266" s="28" t="s">
        <v>66</v>
      </c>
      <c r="C266" s="28" t="s">
        <v>12</v>
      </c>
      <c r="D266" s="26" t="s">
        <v>536</v>
      </c>
      <c r="E266" s="26" t="s">
        <v>537</v>
      </c>
      <c r="F266" s="52">
        <v>43997</v>
      </c>
      <c r="G266" s="52">
        <v>44027</v>
      </c>
      <c r="H266" s="32" t="str">
        <f t="shared" si="7"/>
        <v>EVEN</v>
      </c>
      <c r="I266" s="103">
        <v>0</v>
      </c>
      <c r="J266" s="32" t="str">
        <f>UPPER(TEXT(F266,"mmm")) &amp; " - " &amp; UPPER(TEXT(G266,"mmm"))</f>
        <v>JUN - JUL</v>
      </c>
      <c r="K266" s="3" t="s">
        <v>563</v>
      </c>
      <c r="L266" s="99" t="s">
        <v>3895</v>
      </c>
      <c r="M266" s="32" t="str">
        <f t="shared" si="8"/>
        <v>No</v>
      </c>
      <c r="N266" s="32">
        <f>G266 - F266</f>
        <v>30</v>
      </c>
      <c r="O266">
        <v>1</v>
      </c>
    </row>
    <row r="267" spans="1:15" x14ac:dyDescent="0.3">
      <c r="A267" s="26" t="s">
        <v>373</v>
      </c>
      <c r="B267" s="28" t="s">
        <v>78</v>
      </c>
      <c r="C267" s="28" t="s">
        <v>12</v>
      </c>
      <c r="D267" s="26" t="s">
        <v>538</v>
      </c>
      <c r="E267" s="26" t="s">
        <v>539</v>
      </c>
      <c r="F267" s="52">
        <v>43970</v>
      </c>
      <c r="G267" s="52">
        <v>44000</v>
      </c>
      <c r="H267" s="32" t="str">
        <f t="shared" si="7"/>
        <v>EVEN</v>
      </c>
      <c r="I267" s="103">
        <v>0</v>
      </c>
      <c r="J267" s="32" t="str">
        <f>UPPER(TEXT(F267,"mmm")) &amp; " - " &amp; UPPER(TEXT(G267,"mmm"))</f>
        <v>MAY - JUN</v>
      </c>
      <c r="K267" s="3" t="s">
        <v>563</v>
      </c>
      <c r="L267" s="99" t="s">
        <v>3895</v>
      </c>
      <c r="M267" s="32" t="str">
        <f t="shared" si="8"/>
        <v>No</v>
      </c>
      <c r="N267" s="32">
        <f>G267 - F267</f>
        <v>30</v>
      </c>
      <c r="O267">
        <v>1</v>
      </c>
    </row>
    <row r="268" spans="1:15" x14ac:dyDescent="0.3">
      <c r="A268" s="26" t="s">
        <v>39</v>
      </c>
      <c r="B268" s="28" t="s">
        <v>78</v>
      </c>
      <c r="C268" s="28" t="s">
        <v>12</v>
      </c>
      <c r="D268" s="26" t="s">
        <v>540</v>
      </c>
      <c r="E268" s="26" t="s">
        <v>408</v>
      </c>
      <c r="F268" s="52">
        <v>43974</v>
      </c>
      <c r="G268" s="52">
        <v>44005</v>
      </c>
      <c r="H268" s="32" t="str">
        <f t="shared" si="7"/>
        <v>EVEN</v>
      </c>
      <c r="I268" s="103">
        <v>3000</v>
      </c>
      <c r="J268" s="32" t="str">
        <f>UPPER(TEXT(F268,"mmm")) &amp; " - " &amp; UPPER(TEXT(G268,"mmm"))</f>
        <v>MAY - JUN</v>
      </c>
      <c r="K268" s="3" t="s">
        <v>563</v>
      </c>
      <c r="L268" s="99" t="s">
        <v>3895</v>
      </c>
      <c r="M268" s="32" t="str">
        <f t="shared" si="8"/>
        <v>Yes</v>
      </c>
      <c r="N268" s="32">
        <f>G268 - F268</f>
        <v>31</v>
      </c>
      <c r="O268">
        <v>1</v>
      </c>
    </row>
    <row r="269" spans="1:15" x14ac:dyDescent="0.3">
      <c r="A269" s="26" t="s">
        <v>374</v>
      </c>
      <c r="B269" s="28" t="s">
        <v>78</v>
      </c>
      <c r="C269" s="28" t="s">
        <v>12</v>
      </c>
      <c r="D269" s="26" t="s">
        <v>541</v>
      </c>
      <c r="E269" s="26" t="s">
        <v>542</v>
      </c>
      <c r="F269" s="52">
        <v>44033</v>
      </c>
      <c r="G269" s="52">
        <v>44061</v>
      </c>
      <c r="H269" s="32" t="str">
        <f t="shared" si="7"/>
        <v>EVEN</v>
      </c>
      <c r="I269" s="103">
        <v>0</v>
      </c>
      <c r="J269" s="32" t="str">
        <f>UPPER(TEXT(F269,"mmm")) &amp; " - " &amp; UPPER(TEXT(G269,"mmm"))</f>
        <v>JUL - AUG</v>
      </c>
      <c r="K269" s="3" t="s">
        <v>563</v>
      </c>
      <c r="L269" s="99" t="s">
        <v>3895</v>
      </c>
      <c r="M269" s="32" t="str">
        <f t="shared" si="8"/>
        <v>No</v>
      </c>
      <c r="N269" s="32">
        <f>G269 - F269</f>
        <v>28</v>
      </c>
      <c r="O269">
        <v>1</v>
      </c>
    </row>
    <row r="270" spans="1:15" x14ac:dyDescent="0.3">
      <c r="A270" s="26" t="s">
        <v>53</v>
      </c>
      <c r="B270" s="28" t="s">
        <v>78</v>
      </c>
      <c r="C270" s="28" t="s">
        <v>12</v>
      </c>
      <c r="D270" s="26" t="s">
        <v>543</v>
      </c>
      <c r="E270" s="26" t="s">
        <v>544</v>
      </c>
      <c r="F270" s="52">
        <v>43812</v>
      </c>
      <c r="G270" s="52">
        <v>43823</v>
      </c>
      <c r="H270" s="32" t="str">
        <f t="shared" si="7"/>
        <v>ODD</v>
      </c>
      <c r="I270" s="103">
        <v>0</v>
      </c>
      <c r="J270" s="32" t="str">
        <f>UPPER(TEXT(F270,"mmm")) &amp; " - " &amp; UPPER(TEXT(G270,"mmm"))</f>
        <v>DEC - DEC</v>
      </c>
      <c r="K270" s="3" t="s">
        <v>563</v>
      </c>
      <c r="L270" s="99" t="s">
        <v>3895</v>
      </c>
      <c r="M270" s="32" t="str">
        <f t="shared" si="8"/>
        <v>No</v>
      </c>
      <c r="N270" s="32">
        <f>G270 - F270</f>
        <v>11</v>
      </c>
      <c r="O270">
        <v>1</v>
      </c>
    </row>
    <row r="271" spans="1:15" x14ac:dyDescent="0.3">
      <c r="A271" s="26" t="s">
        <v>375</v>
      </c>
      <c r="B271" s="28" t="s">
        <v>78</v>
      </c>
      <c r="C271" s="28" t="s">
        <v>12</v>
      </c>
      <c r="D271" s="26" t="s">
        <v>545</v>
      </c>
      <c r="E271" s="26" t="s">
        <v>469</v>
      </c>
      <c r="F271" s="52">
        <v>43990</v>
      </c>
      <c r="G271" s="52">
        <v>44057</v>
      </c>
      <c r="H271" s="32" t="str">
        <f t="shared" si="7"/>
        <v>EVEN</v>
      </c>
      <c r="I271" s="103">
        <v>0</v>
      </c>
      <c r="J271" s="32" t="str">
        <f>UPPER(TEXT(F271,"mmm")) &amp; " - " &amp; UPPER(TEXT(G271,"mmm"))</f>
        <v>JUN - AUG</v>
      </c>
      <c r="K271" s="3" t="s">
        <v>563</v>
      </c>
      <c r="L271" s="99" t="s">
        <v>3895</v>
      </c>
      <c r="M271" s="32" t="str">
        <f t="shared" si="8"/>
        <v>No</v>
      </c>
      <c r="N271" s="32">
        <f>G271 - F271</f>
        <v>67</v>
      </c>
      <c r="O271">
        <v>1</v>
      </c>
    </row>
    <row r="272" spans="1:15" x14ac:dyDescent="0.3">
      <c r="A272" s="27" t="s">
        <v>48</v>
      </c>
      <c r="B272" s="29" t="s">
        <v>78</v>
      </c>
      <c r="C272" s="29" t="s">
        <v>12</v>
      </c>
      <c r="D272" s="30" t="s">
        <v>546</v>
      </c>
      <c r="E272" s="1"/>
      <c r="F272" s="52">
        <v>43814</v>
      </c>
      <c r="G272" s="52">
        <v>43855</v>
      </c>
      <c r="H272" s="32" t="str">
        <f t="shared" si="7"/>
        <v>ODD</v>
      </c>
      <c r="I272" s="102">
        <v>0</v>
      </c>
      <c r="J272" s="32" t="str">
        <f>UPPER(TEXT(F272,"mmm")) &amp; " - " &amp; UPPER(TEXT(G272,"mmm"))</f>
        <v>DEC - JAN</v>
      </c>
      <c r="K272" s="3" t="s">
        <v>563</v>
      </c>
      <c r="L272" s="99" t="s">
        <v>3895</v>
      </c>
      <c r="M272" s="32" t="str">
        <f t="shared" si="8"/>
        <v>No</v>
      </c>
      <c r="N272" s="32">
        <f>G272 - F272</f>
        <v>41</v>
      </c>
      <c r="O272">
        <v>1</v>
      </c>
    </row>
    <row r="273" spans="1:15" x14ac:dyDescent="0.3">
      <c r="A273" s="26" t="s">
        <v>48</v>
      </c>
      <c r="B273" s="28" t="s">
        <v>78</v>
      </c>
      <c r="C273" s="28" t="s">
        <v>12</v>
      </c>
      <c r="D273" s="26" t="s">
        <v>547</v>
      </c>
      <c r="E273" s="26" t="s">
        <v>534</v>
      </c>
      <c r="F273" s="52">
        <v>43983</v>
      </c>
      <c r="G273" s="52">
        <v>44013</v>
      </c>
      <c r="H273" s="32" t="str">
        <f t="shared" si="7"/>
        <v>EVEN</v>
      </c>
      <c r="I273" s="103">
        <v>0</v>
      </c>
      <c r="J273" s="32" t="str">
        <f>UPPER(TEXT(F273,"mmm")) &amp; " - " &amp; UPPER(TEXT(G273,"mmm"))</f>
        <v>JUN - JUL</v>
      </c>
      <c r="K273" s="3" t="s">
        <v>563</v>
      </c>
      <c r="L273" s="99" t="s">
        <v>3895</v>
      </c>
      <c r="M273" s="32" t="str">
        <f t="shared" si="8"/>
        <v>No</v>
      </c>
      <c r="N273" s="32">
        <f>G273 - F273</f>
        <v>30</v>
      </c>
      <c r="O273">
        <v>1</v>
      </c>
    </row>
    <row r="274" spans="1:15" x14ac:dyDescent="0.3">
      <c r="A274" s="26" t="s">
        <v>48</v>
      </c>
      <c r="B274" s="28" t="s">
        <v>78</v>
      </c>
      <c r="C274" s="28" t="s">
        <v>12</v>
      </c>
      <c r="D274" s="26" t="s">
        <v>548</v>
      </c>
      <c r="E274" s="26" t="s">
        <v>420</v>
      </c>
      <c r="F274" s="52">
        <v>43993</v>
      </c>
      <c r="G274" s="52">
        <v>44058</v>
      </c>
      <c r="H274" s="32" t="str">
        <f t="shared" si="7"/>
        <v>EVEN</v>
      </c>
      <c r="I274" s="103">
        <v>10000</v>
      </c>
      <c r="J274" s="32" t="str">
        <f>UPPER(TEXT(F274,"mmm")) &amp; " - " &amp; UPPER(TEXT(G274,"mmm"))</f>
        <v>JUN - AUG</v>
      </c>
      <c r="K274" s="3" t="s">
        <v>563</v>
      </c>
      <c r="L274" s="99" t="s">
        <v>3895</v>
      </c>
      <c r="M274" s="32" t="str">
        <f t="shared" si="8"/>
        <v>Yes</v>
      </c>
      <c r="N274" s="32">
        <f>G274 - F274</f>
        <v>65</v>
      </c>
      <c r="O274">
        <v>1</v>
      </c>
    </row>
    <row r="275" spans="1:15" x14ac:dyDescent="0.3">
      <c r="A275" s="26" t="s">
        <v>376</v>
      </c>
      <c r="B275" s="28" t="s">
        <v>78</v>
      </c>
      <c r="C275" s="28" t="s">
        <v>12</v>
      </c>
      <c r="D275" s="26" t="s">
        <v>547</v>
      </c>
      <c r="E275" s="26" t="s">
        <v>534</v>
      </c>
      <c r="F275" s="52">
        <v>43836</v>
      </c>
      <c r="G275" s="52">
        <v>43837</v>
      </c>
      <c r="H275" s="32" t="str">
        <f t="shared" si="7"/>
        <v>EVEN</v>
      </c>
      <c r="I275" s="103">
        <v>0</v>
      </c>
      <c r="J275" s="32" t="str">
        <f>UPPER(TEXT(F275,"mmm")) &amp; " - " &amp; UPPER(TEXT(G275,"mmm"))</f>
        <v>JAN - JAN</v>
      </c>
      <c r="K275" s="3" t="s">
        <v>563</v>
      </c>
      <c r="L275" s="99" t="s">
        <v>3895</v>
      </c>
      <c r="M275" s="32" t="str">
        <f t="shared" si="8"/>
        <v>No</v>
      </c>
      <c r="N275" s="32">
        <f>G275 - F275</f>
        <v>1</v>
      </c>
      <c r="O275">
        <v>1</v>
      </c>
    </row>
    <row r="276" spans="1:15" x14ac:dyDescent="0.3">
      <c r="A276" s="26" t="s">
        <v>376</v>
      </c>
      <c r="B276" s="28" t="s">
        <v>78</v>
      </c>
      <c r="C276" s="28" t="s">
        <v>12</v>
      </c>
      <c r="D276" s="26" t="s">
        <v>549</v>
      </c>
      <c r="E276" s="26" t="s">
        <v>550</v>
      </c>
      <c r="F276" s="52">
        <v>43972</v>
      </c>
      <c r="G276" s="52">
        <v>44033</v>
      </c>
      <c r="H276" s="32" t="str">
        <f t="shared" si="7"/>
        <v>EVEN</v>
      </c>
      <c r="I276" s="103">
        <v>0</v>
      </c>
      <c r="J276" s="32" t="str">
        <f>UPPER(TEXT(F276,"mmm")) &amp; " - " &amp; UPPER(TEXT(G276,"mmm"))</f>
        <v>MAY - JUL</v>
      </c>
      <c r="K276" s="3" t="s">
        <v>563</v>
      </c>
      <c r="L276" s="99" t="s">
        <v>3895</v>
      </c>
      <c r="M276" s="32" t="str">
        <f t="shared" si="8"/>
        <v>No</v>
      </c>
      <c r="N276" s="32">
        <f>G276 - F276</f>
        <v>61</v>
      </c>
      <c r="O276">
        <v>1</v>
      </c>
    </row>
    <row r="277" spans="1:15" x14ac:dyDescent="0.3">
      <c r="A277" s="27" t="s">
        <v>377</v>
      </c>
      <c r="B277" s="29" t="s">
        <v>78</v>
      </c>
      <c r="C277" s="29" t="s">
        <v>12</v>
      </c>
      <c r="D277" s="30" t="s">
        <v>410</v>
      </c>
      <c r="E277" s="1" t="s">
        <v>277</v>
      </c>
      <c r="F277" s="52">
        <v>43678</v>
      </c>
      <c r="G277" s="52">
        <v>43708</v>
      </c>
      <c r="H277" s="32" t="str">
        <f t="shared" si="7"/>
        <v>ODD</v>
      </c>
      <c r="I277" s="102">
        <v>2500</v>
      </c>
      <c r="J277" s="32" t="str">
        <f>UPPER(TEXT(F277,"mmm")) &amp; " - " &amp; UPPER(TEXT(G277,"mmm"))</f>
        <v>AUG - AUG</v>
      </c>
      <c r="K277" s="3" t="s">
        <v>563</v>
      </c>
      <c r="L277" s="99" t="s">
        <v>3895</v>
      </c>
      <c r="M277" s="32" t="str">
        <f t="shared" si="8"/>
        <v>Yes</v>
      </c>
      <c r="N277" s="32">
        <f>G277 - F277</f>
        <v>30</v>
      </c>
      <c r="O277">
        <v>1</v>
      </c>
    </row>
    <row r="278" spans="1:15" x14ac:dyDescent="0.3">
      <c r="A278" s="26" t="s">
        <v>378</v>
      </c>
      <c r="B278" s="28" t="s">
        <v>78</v>
      </c>
      <c r="C278" s="28" t="s">
        <v>12</v>
      </c>
      <c r="D278" s="26" t="s">
        <v>551</v>
      </c>
      <c r="E278" s="26" t="s">
        <v>552</v>
      </c>
      <c r="F278" s="52">
        <v>43941</v>
      </c>
      <c r="G278" s="52">
        <v>43971</v>
      </c>
      <c r="H278" s="32" t="str">
        <f t="shared" si="7"/>
        <v>EVEN</v>
      </c>
      <c r="I278" s="103">
        <v>0</v>
      </c>
      <c r="J278" s="32" t="str">
        <f>UPPER(TEXT(F278,"mmm")) &amp; " - " &amp; UPPER(TEXT(G278,"mmm"))</f>
        <v>APR - MAY</v>
      </c>
      <c r="K278" s="3" t="s">
        <v>563</v>
      </c>
      <c r="L278" s="99" t="s">
        <v>3895</v>
      </c>
      <c r="M278" s="32" t="str">
        <f t="shared" si="8"/>
        <v>No</v>
      </c>
      <c r="N278" s="32">
        <f>G278 - F278</f>
        <v>30</v>
      </c>
      <c r="O278">
        <v>1</v>
      </c>
    </row>
    <row r="279" spans="1:15" x14ac:dyDescent="0.3">
      <c r="A279" s="26" t="s">
        <v>379</v>
      </c>
      <c r="B279" s="28" t="s">
        <v>11</v>
      </c>
      <c r="C279" s="28" t="s">
        <v>12</v>
      </c>
      <c r="D279" s="26" t="s">
        <v>384</v>
      </c>
      <c r="E279" s="26" t="s">
        <v>385</v>
      </c>
      <c r="F279" s="52">
        <v>43930</v>
      </c>
      <c r="G279" s="52">
        <v>43944</v>
      </c>
      <c r="H279" s="32" t="str">
        <f t="shared" si="7"/>
        <v>EVEN</v>
      </c>
      <c r="I279" s="103">
        <v>0</v>
      </c>
      <c r="J279" s="32" t="str">
        <f>UPPER(TEXT(F279,"mmm")) &amp; " - " &amp; UPPER(TEXT(G279,"mmm"))</f>
        <v>APR - APR</v>
      </c>
      <c r="K279" s="3" t="s">
        <v>563</v>
      </c>
      <c r="L279" s="99" t="s">
        <v>3895</v>
      </c>
      <c r="M279" s="32" t="str">
        <f t="shared" si="8"/>
        <v>No</v>
      </c>
      <c r="N279" s="32">
        <f>G279 - F279</f>
        <v>14</v>
      </c>
      <c r="O279">
        <v>1</v>
      </c>
    </row>
    <row r="280" spans="1:15" x14ac:dyDescent="0.3">
      <c r="A280" s="26" t="s">
        <v>380</v>
      </c>
      <c r="B280" s="28" t="s">
        <v>78</v>
      </c>
      <c r="C280" s="28" t="s">
        <v>12</v>
      </c>
      <c r="D280" s="26" t="s">
        <v>553</v>
      </c>
      <c r="E280" s="26" t="s">
        <v>554</v>
      </c>
      <c r="F280" s="52">
        <v>44009</v>
      </c>
      <c r="G280" s="52">
        <v>44058</v>
      </c>
      <c r="H280" s="32" t="str">
        <f t="shared" si="7"/>
        <v>EVEN</v>
      </c>
      <c r="I280" s="103">
        <v>0</v>
      </c>
      <c r="J280" s="32" t="str">
        <f>UPPER(TEXT(F280,"mmm")) &amp; " - " &amp; UPPER(TEXT(G280,"mmm"))</f>
        <v>JUN - AUG</v>
      </c>
      <c r="K280" s="3" t="s">
        <v>563</v>
      </c>
      <c r="L280" s="99" t="s">
        <v>3895</v>
      </c>
      <c r="M280" s="32" t="str">
        <f t="shared" si="8"/>
        <v>No</v>
      </c>
      <c r="N280" s="32">
        <f>G280 - F280</f>
        <v>49</v>
      </c>
      <c r="O280">
        <v>1</v>
      </c>
    </row>
    <row r="281" spans="1:15" x14ac:dyDescent="0.3">
      <c r="A281" s="26" t="s">
        <v>181</v>
      </c>
      <c r="B281" s="28" t="s">
        <v>66</v>
      </c>
      <c r="C281" s="28" t="s">
        <v>12</v>
      </c>
      <c r="D281" s="26" t="s">
        <v>555</v>
      </c>
      <c r="E281" s="26" t="s">
        <v>556</v>
      </c>
      <c r="F281" s="52">
        <v>43997</v>
      </c>
      <c r="G281" s="52">
        <v>44036</v>
      </c>
      <c r="H281" s="32" t="str">
        <f t="shared" si="7"/>
        <v>EVEN</v>
      </c>
      <c r="I281" s="103">
        <v>0</v>
      </c>
      <c r="J281" s="32" t="str">
        <f>UPPER(TEXT(F281,"mmm")) &amp; " - " &amp; UPPER(TEXT(G281,"mmm"))</f>
        <v>JUN - JUL</v>
      </c>
      <c r="K281" s="3" t="s">
        <v>563</v>
      </c>
      <c r="L281" s="99" t="s">
        <v>3895</v>
      </c>
      <c r="M281" s="32" t="str">
        <f t="shared" si="8"/>
        <v>No</v>
      </c>
      <c r="N281" s="32">
        <f>G281 - F281</f>
        <v>39</v>
      </c>
      <c r="O281">
        <v>1</v>
      </c>
    </row>
    <row r="282" spans="1:15" x14ac:dyDescent="0.3">
      <c r="A282" s="26" t="s">
        <v>381</v>
      </c>
      <c r="B282" s="28" t="s">
        <v>78</v>
      </c>
      <c r="C282" s="28" t="s">
        <v>12</v>
      </c>
      <c r="D282" s="26" t="s">
        <v>557</v>
      </c>
      <c r="E282" s="26" t="s">
        <v>550</v>
      </c>
      <c r="F282" s="52">
        <v>43972</v>
      </c>
      <c r="G282" s="52">
        <v>44033</v>
      </c>
      <c r="H282" s="32" t="str">
        <f t="shared" si="7"/>
        <v>EVEN</v>
      </c>
      <c r="I282" s="103">
        <v>0</v>
      </c>
      <c r="J282" s="32" t="str">
        <f>UPPER(TEXT(F282,"mmm")) &amp; " - " &amp; UPPER(TEXT(G282,"mmm"))</f>
        <v>MAY - JUL</v>
      </c>
      <c r="K282" s="3" t="s">
        <v>563</v>
      </c>
      <c r="L282" s="99" t="s">
        <v>3895</v>
      </c>
      <c r="M282" s="32" t="str">
        <f t="shared" si="8"/>
        <v>No</v>
      </c>
      <c r="N282" s="32">
        <f>G282 - F282</f>
        <v>61</v>
      </c>
      <c r="O282">
        <v>1</v>
      </c>
    </row>
    <row r="283" spans="1:15" x14ac:dyDescent="0.3">
      <c r="A283" s="26" t="s">
        <v>382</v>
      </c>
      <c r="B283" s="28" t="s">
        <v>78</v>
      </c>
      <c r="C283" s="28" t="s">
        <v>12</v>
      </c>
      <c r="D283" s="26" t="s">
        <v>431</v>
      </c>
      <c r="E283" s="26" t="s">
        <v>558</v>
      </c>
      <c r="F283" s="52">
        <v>43919</v>
      </c>
      <c r="G283" s="52">
        <v>43934</v>
      </c>
      <c r="H283" s="32" t="str">
        <f t="shared" si="7"/>
        <v>EVEN</v>
      </c>
      <c r="I283" s="103">
        <v>0</v>
      </c>
      <c r="J283" s="32" t="str">
        <f>UPPER(TEXT(F283,"mmm")) &amp; " - " &amp; UPPER(TEXT(G283,"mmm"))</f>
        <v>MAR - APR</v>
      </c>
      <c r="K283" s="3" t="s">
        <v>563</v>
      </c>
      <c r="L283" s="99" t="s">
        <v>3895</v>
      </c>
      <c r="M283" s="32" t="str">
        <f t="shared" si="8"/>
        <v>No</v>
      </c>
      <c r="N283" s="32">
        <f>G283 - F283</f>
        <v>15</v>
      </c>
      <c r="O283">
        <v>1</v>
      </c>
    </row>
    <row r="284" spans="1:15" x14ac:dyDescent="0.3">
      <c r="A284" s="26" t="s">
        <v>383</v>
      </c>
      <c r="B284" s="28" t="s">
        <v>66</v>
      </c>
      <c r="C284" s="28" t="s">
        <v>12</v>
      </c>
      <c r="D284" s="26" t="s">
        <v>559</v>
      </c>
      <c r="E284" s="26" t="s">
        <v>560</v>
      </c>
      <c r="F284" s="52">
        <v>43958</v>
      </c>
      <c r="G284" s="52">
        <v>44022</v>
      </c>
      <c r="H284" s="32" t="str">
        <f t="shared" si="7"/>
        <v>EVEN</v>
      </c>
      <c r="I284" s="103">
        <v>87000</v>
      </c>
      <c r="J284" s="32" t="str">
        <f>UPPER(TEXT(F284,"mmm")) &amp; " - " &amp; UPPER(TEXT(G284,"mmm"))</f>
        <v>MAY - JUL</v>
      </c>
      <c r="K284" s="3" t="s">
        <v>563</v>
      </c>
      <c r="L284" s="99" t="s">
        <v>3895</v>
      </c>
      <c r="M284" s="32" t="str">
        <f t="shared" si="8"/>
        <v>Yes</v>
      </c>
      <c r="N284" s="32">
        <f>G284 - F284</f>
        <v>64</v>
      </c>
      <c r="O284">
        <v>1</v>
      </c>
    </row>
    <row r="285" spans="1:15" x14ac:dyDescent="0.3">
      <c r="A285" s="8" t="s">
        <v>251</v>
      </c>
      <c r="B285" s="29" t="s">
        <v>66</v>
      </c>
      <c r="C285" s="29" t="s">
        <v>12</v>
      </c>
      <c r="D285" s="31" t="s">
        <v>561</v>
      </c>
      <c r="E285" s="31" t="s">
        <v>562</v>
      </c>
      <c r="F285" s="52">
        <v>43983</v>
      </c>
      <c r="G285" s="52">
        <v>44098</v>
      </c>
      <c r="H285" s="32" t="str">
        <f t="shared" si="7"/>
        <v>EVEN</v>
      </c>
      <c r="I285" s="102">
        <v>72000</v>
      </c>
      <c r="J285" s="32" t="str">
        <f>UPPER(TEXT(F285,"mmm")) &amp; " - " &amp; UPPER(TEXT(G285,"mmm"))</f>
        <v>JUN - SEP</v>
      </c>
      <c r="K285" s="3" t="s">
        <v>563</v>
      </c>
      <c r="L285" s="99" t="s">
        <v>3895</v>
      </c>
      <c r="M285" s="32" t="str">
        <f t="shared" si="8"/>
        <v>Yes</v>
      </c>
      <c r="N285" s="32">
        <f>G285 - F285</f>
        <v>115</v>
      </c>
      <c r="O285">
        <v>1</v>
      </c>
    </row>
    <row r="286" spans="1:15" x14ac:dyDescent="0.3">
      <c r="A286" s="2" t="s">
        <v>564</v>
      </c>
      <c r="B286" s="3" t="s">
        <v>70</v>
      </c>
      <c r="C286" s="3" t="s">
        <v>12</v>
      </c>
      <c r="D286" s="2" t="s">
        <v>565</v>
      </c>
      <c r="E286" s="2" t="s">
        <v>74</v>
      </c>
      <c r="F286" s="63">
        <v>43439</v>
      </c>
      <c r="G286" s="63">
        <v>43471</v>
      </c>
      <c r="H286" s="10" t="s">
        <v>566</v>
      </c>
      <c r="I286" s="101">
        <v>0</v>
      </c>
      <c r="J286" s="32" t="s">
        <v>567</v>
      </c>
      <c r="K286" s="32" t="s">
        <v>15</v>
      </c>
      <c r="L286" s="99" t="s">
        <v>3895</v>
      </c>
      <c r="M286" s="32" t="str">
        <f t="shared" si="8"/>
        <v>No</v>
      </c>
      <c r="N286" s="32">
        <f>G286 - F286</f>
        <v>32</v>
      </c>
      <c r="O286">
        <v>1</v>
      </c>
    </row>
    <row r="287" spans="1:15" x14ac:dyDescent="0.3">
      <c r="A287" s="2" t="s">
        <v>568</v>
      </c>
      <c r="B287" s="3" t="s">
        <v>70</v>
      </c>
      <c r="C287" s="3" t="s">
        <v>12</v>
      </c>
      <c r="D287" s="2" t="s">
        <v>565</v>
      </c>
      <c r="E287" s="2" t="s">
        <v>74</v>
      </c>
      <c r="F287" s="63">
        <v>43439</v>
      </c>
      <c r="G287" s="63">
        <v>43471</v>
      </c>
      <c r="H287" s="10" t="s">
        <v>566</v>
      </c>
      <c r="I287" s="101">
        <v>0</v>
      </c>
      <c r="J287" s="32" t="s">
        <v>567</v>
      </c>
      <c r="K287" s="32" t="s">
        <v>15</v>
      </c>
      <c r="L287" s="99" t="s">
        <v>3895</v>
      </c>
      <c r="M287" s="32" t="str">
        <f t="shared" si="8"/>
        <v>No</v>
      </c>
      <c r="N287" s="32">
        <f>G287 - F287</f>
        <v>32</v>
      </c>
      <c r="O287">
        <v>1</v>
      </c>
    </row>
    <row r="288" spans="1:15" x14ac:dyDescent="0.3">
      <c r="A288" s="2" t="s">
        <v>569</v>
      </c>
      <c r="B288" s="3" t="s">
        <v>66</v>
      </c>
      <c r="C288" s="3" t="s">
        <v>12</v>
      </c>
      <c r="D288" s="2" t="s">
        <v>570</v>
      </c>
      <c r="E288" s="2" t="s">
        <v>74</v>
      </c>
      <c r="F288" s="63">
        <v>43446</v>
      </c>
      <c r="G288" s="63">
        <v>43476</v>
      </c>
      <c r="H288" s="10" t="s">
        <v>566</v>
      </c>
      <c r="I288" s="101">
        <v>0</v>
      </c>
      <c r="J288" s="32" t="s">
        <v>567</v>
      </c>
      <c r="K288" s="32" t="s">
        <v>15</v>
      </c>
      <c r="L288" s="99" t="s">
        <v>3895</v>
      </c>
      <c r="M288" s="32" t="str">
        <f t="shared" si="8"/>
        <v>No</v>
      </c>
      <c r="N288" s="32">
        <f>G288 - F288</f>
        <v>30</v>
      </c>
      <c r="O288">
        <v>1</v>
      </c>
    </row>
    <row r="289" spans="1:15" x14ac:dyDescent="0.3">
      <c r="A289" s="2" t="s">
        <v>571</v>
      </c>
      <c r="B289" s="3" t="s">
        <v>66</v>
      </c>
      <c r="C289" s="3" t="s">
        <v>12</v>
      </c>
      <c r="D289" s="2" t="s">
        <v>572</v>
      </c>
      <c r="E289" s="2" t="s">
        <v>74</v>
      </c>
      <c r="F289" s="63">
        <v>43451</v>
      </c>
      <c r="G289" s="63">
        <v>43472</v>
      </c>
      <c r="H289" s="10" t="s">
        <v>566</v>
      </c>
      <c r="I289" s="101">
        <v>0</v>
      </c>
      <c r="J289" s="32" t="s">
        <v>567</v>
      </c>
      <c r="K289" s="32" t="s">
        <v>15</v>
      </c>
      <c r="L289" s="99" t="s">
        <v>3895</v>
      </c>
      <c r="M289" s="32" t="str">
        <f t="shared" si="8"/>
        <v>No</v>
      </c>
      <c r="N289" s="32">
        <f>G289 - F289</f>
        <v>21</v>
      </c>
      <c r="O289">
        <v>1</v>
      </c>
    </row>
    <row r="290" spans="1:15" x14ac:dyDescent="0.3">
      <c r="A290" s="2" t="s">
        <v>573</v>
      </c>
      <c r="B290" s="3" t="s">
        <v>66</v>
      </c>
      <c r="C290" s="3" t="s">
        <v>12</v>
      </c>
      <c r="D290" s="2" t="s">
        <v>574</v>
      </c>
      <c r="E290" s="2" t="s">
        <v>277</v>
      </c>
      <c r="F290" s="63">
        <v>43439</v>
      </c>
      <c r="G290" s="63">
        <v>43524</v>
      </c>
      <c r="H290" s="10" t="s">
        <v>566</v>
      </c>
      <c r="I290" s="101">
        <v>0</v>
      </c>
      <c r="J290" s="32" t="s">
        <v>575</v>
      </c>
      <c r="K290" s="32" t="s">
        <v>15</v>
      </c>
      <c r="L290" s="99" t="s">
        <v>3895</v>
      </c>
      <c r="M290" s="32" t="str">
        <f t="shared" si="8"/>
        <v>No</v>
      </c>
      <c r="N290" s="32">
        <f>G290 - F290</f>
        <v>85</v>
      </c>
      <c r="O290">
        <v>1</v>
      </c>
    </row>
    <row r="291" spans="1:15" x14ac:dyDescent="0.3">
      <c r="A291" s="2" t="s">
        <v>576</v>
      </c>
      <c r="B291" s="3" t="s">
        <v>66</v>
      </c>
      <c r="C291" s="3" t="s">
        <v>12</v>
      </c>
      <c r="D291" s="2" t="s">
        <v>570</v>
      </c>
      <c r="E291" s="2" t="s">
        <v>577</v>
      </c>
      <c r="F291" s="63">
        <v>43476</v>
      </c>
      <c r="G291" s="63">
        <v>43483</v>
      </c>
      <c r="H291" s="10" t="s">
        <v>566</v>
      </c>
      <c r="I291" s="101">
        <v>0</v>
      </c>
      <c r="J291" s="32" t="s">
        <v>578</v>
      </c>
      <c r="K291" s="32" t="s">
        <v>15</v>
      </c>
      <c r="L291" s="99" t="s">
        <v>3895</v>
      </c>
      <c r="M291" s="32" t="str">
        <f t="shared" si="8"/>
        <v>No</v>
      </c>
      <c r="N291" s="32">
        <f>G291 - F291</f>
        <v>7</v>
      </c>
      <c r="O291">
        <v>1</v>
      </c>
    </row>
    <row r="292" spans="1:15" x14ac:dyDescent="0.3">
      <c r="A292" s="2" t="s">
        <v>579</v>
      </c>
      <c r="B292" s="3" t="s">
        <v>66</v>
      </c>
      <c r="C292" s="3" t="s">
        <v>12</v>
      </c>
      <c r="D292" s="2" t="s">
        <v>570</v>
      </c>
      <c r="E292" s="2" t="s">
        <v>580</v>
      </c>
      <c r="F292" s="63">
        <v>43446</v>
      </c>
      <c r="G292" s="63">
        <v>43470</v>
      </c>
      <c r="H292" s="10" t="s">
        <v>566</v>
      </c>
      <c r="I292" s="101">
        <v>0</v>
      </c>
      <c r="J292" s="32" t="s">
        <v>567</v>
      </c>
      <c r="K292" s="32" t="s">
        <v>15</v>
      </c>
      <c r="L292" s="99" t="s">
        <v>3895</v>
      </c>
      <c r="M292" s="32" t="str">
        <f t="shared" si="8"/>
        <v>No</v>
      </c>
      <c r="N292" s="32">
        <f>G292 - F292</f>
        <v>24</v>
      </c>
      <c r="O292">
        <v>1</v>
      </c>
    </row>
    <row r="293" spans="1:15" x14ac:dyDescent="0.3">
      <c r="A293" s="2" t="s">
        <v>581</v>
      </c>
      <c r="B293" s="3" t="s">
        <v>66</v>
      </c>
      <c r="C293" s="3" t="s">
        <v>12</v>
      </c>
      <c r="D293" s="2" t="s">
        <v>582</v>
      </c>
      <c r="E293" s="2" t="s">
        <v>277</v>
      </c>
      <c r="F293" s="63">
        <v>43439</v>
      </c>
      <c r="G293" s="63">
        <v>43496</v>
      </c>
      <c r="H293" s="10" t="s">
        <v>566</v>
      </c>
      <c r="I293" s="101">
        <v>0</v>
      </c>
      <c r="J293" s="32" t="s">
        <v>567</v>
      </c>
      <c r="K293" s="32" t="s">
        <v>15</v>
      </c>
      <c r="L293" s="99" t="s">
        <v>3895</v>
      </c>
      <c r="M293" s="32" t="str">
        <f t="shared" si="8"/>
        <v>No</v>
      </c>
      <c r="N293" s="32">
        <f>G293 - F293</f>
        <v>57</v>
      </c>
      <c r="O293">
        <v>1</v>
      </c>
    </row>
    <row r="294" spans="1:15" x14ac:dyDescent="0.3">
      <c r="A294" s="2" t="s">
        <v>583</v>
      </c>
      <c r="B294" s="3" t="s">
        <v>66</v>
      </c>
      <c r="C294" s="3" t="s">
        <v>12</v>
      </c>
      <c r="D294" s="2" t="s">
        <v>582</v>
      </c>
      <c r="E294" s="2" t="s">
        <v>277</v>
      </c>
      <c r="F294" s="63">
        <v>43439</v>
      </c>
      <c r="G294" s="63">
        <v>43496</v>
      </c>
      <c r="H294" s="10" t="s">
        <v>566</v>
      </c>
      <c r="I294" s="101">
        <v>0</v>
      </c>
      <c r="J294" s="32" t="s">
        <v>567</v>
      </c>
      <c r="K294" s="32" t="s">
        <v>15</v>
      </c>
      <c r="L294" s="99" t="s">
        <v>3895</v>
      </c>
      <c r="M294" s="32" t="str">
        <f t="shared" si="8"/>
        <v>No</v>
      </c>
      <c r="N294" s="32">
        <f>G294 - F294</f>
        <v>57</v>
      </c>
      <c r="O294">
        <v>1</v>
      </c>
    </row>
    <row r="295" spans="1:15" x14ac:dyDescent="0.3">
      <c r="A295" s="2" t="s">
        <v>584</v>
      </c>
      <c r="B295" s="3" t="s">
        <v>66</v>
      </c>
      <c r="C295" s="3" t="s">
        <v>12</v>
      </c>
      <c r="D295" s="2" t="s">
        <v>585</v>
      </c>
      <c r="E295" s="2" t="s">
        <v>586</v>
      </c>
      <c r="F295" s="63">
        <v>43444</v>
      </c>
      <c r="G295" s="63">
        <v>43533</v>
      </c>
      <c r="H295" s="10" t="s">
        <v>566</v>
      </c>
      <c r="I295" s="101">
        <v>0</v>
      </c>
      <c r="J295" s="32" t="s">
        <v>587</v>
      </c>
      <c r="K295" s="32" t="s">
        <v>15</v>
      </c>
      <c r="L295" s="99" t="s">
        <v>3895</v>
      </c>
      <c r="M295" s="32" t="str">
        <f t="shared" si="8"/>
        <v>No</v>
      </c>
      <c r="N295" s="32">
        <f>G295 - F295</f>
        <v>89</v>
      </c>
      <c r="O295">
        <v>1</v>
      </c>
    </row>
    <row r="296" spans="1:15" x14ac:dyDescent="0.3">
      <c r="A296" s="2" t="s">
        <v>588</v>
      </c>
      <c r="B296" s="3" t="s">
        <v>78</v>
      </c>
      <c r="C296" s="3" t="s">
        <v>12</v>
      </c>
      <c r="D296" s="2" t="s">
        <v>589</v>
      </c>
      <c r="E296" s="2" t="s">
        <v>590</v>
      </c>
      <c r="F296" s="63">
        <v>43422</v>
      </c>
      <c r="G296" s="63">
        <v>43483</v>
      </c>
      <c r="H296" s="10" t="s">
        <v>566</v>
      </c>
      <c r="I296" s="101">
        <v>0</v>
      </c>
      <c r="J296" s="32" t="s">
        <v>591</v>
      </c>
      <c r="K296" s="32" t="s">
        <v>15</v>
      </c>
      <c r="L296" s="99" t="s">
        <v>3895</v>
      </c>
      <c r="M296" s="32" t="str">
        <f t="shared" si="8"/>
        <v>No</v>
      </c>
      <c r="N296" s="32">
        <f>G296 - F296</f>
        <v>61</v>
      </c>
      <c r="O296">
        <v>1</v>
      </c>
    </row>
    <row r="297" spans="1:15" ht="40.200000000000003" x14ac:dyDescent="0.3">
      <c r="A297" s="26" t="s">
        <v>592</v>
      </c>
      <c r="B297" s="28" t="s">
        <v>78</v>
      </c>
      <c r="C297" s="28" t="s">
        <v>12</v>
      </c>
      <c r="D297" s="26" t="s">
        <v>593</v>
      </c>
      <c r="E297" s="37" t="s">
        <v>594</v>
      </c>
      <c r="F297" s="52" t="s">
        <v>595</v>
      </c>
      <c r="G297" s="52" t="s">
        <v>596</v>
      </c>
      <c r="H297" s="32" t="str">
        <f>IF((AND(F297&gt;=DATE(2019,7,15),F297&lt;=DATE(2019,12,31))),"ODD", "EVEN")</f>
        <v>EVEN</v>
      </c>
      <c r="I297" s="103">
        <v>0</v>
      </c>
      <c r="J297" s="3" t="str">
        <f>UPPER(TEXT(F297,"mmm")) &amp; " - " &amp; UPPER(TEXT(G297,"mmm"))</f>
        <v>JUN - JUL</v>
      </c>
      <c r="K297" s="3" t="s">
        <v>563</v>
      </c>
      <c r="L297" s="32" t="s">
        <v>16</v>
      </c>
      <c r="M297" s="32" t="str">
        <f t="shared" si="8"/>
        <v>No</v>
      </c>
      <c r="N297" s="32">
        <f>G297 - F297</f>
        <v>42</v>
      </c>
      <c r="O297">
        <v>1</v>
      </c>
    </row>
    <row r="298" spans="1:15" x14ac:dyDescent="0.3">
      <c r="A298" s="26" t="s">
        <v>597</v>
      </c>
      <c r="B298" s="28" t="s">
        <v>78</v>
      </c>
      <c r="C298" s="28" t="s">
        <v>12</v>
      </c>
      <c r="D298" s="26" t="s">
        <v>598</v>
      </c>
      <c r="E298" s="37" t="s">
        <v>599</v>
      </c>
      <c r="F298" s="52" t="s">
        <v>600</v>
      </c>
      <c r="G298" s="52" t="s">
        <v>601</v>
      </c>
      <c r="H298" s="32" t="str">
        <f t="shared" ref="H298:H361" si="9">IF((AND(F298&gt;=DATE(2019,7,15),F298&lt;=DATE(2019,12,31))),"ODD", "EVEN")</f>
        <v>EVEN</v>
      </c>
      <c r="I298" s="103">
        <v>0</v>
      </c>
      <c r="J298" s="3" t="str">
        <f>UPPER(TEXT(F298,"mmm")) &amp; " - " &amp; UPPER(TEXT(G298,"mmm"))</f>
        <v>MAY - JUN</v>
      </c>
      <c r="K298" s="3" t="s">
        <v>563</v>
      </c>
      <c r="L298" s="32" t="s">
        <v>16</v>
      </c>
      <c r="M298" s="32" t="str">
        <f t="shared" si="8"/>
        <v>No</v>
      </c>
      <c r="N298" s="32">
        <f>G298 - F298</f>
        <v>31</v>
      </c>
      <c r="O298">
        <v>1</v>
      </c>
    </row>
    <row r="299" spans="1:15" ht="40.200000000000003" x14ac:dyDescent="0.3">
      <c r="A299" s="26" t="s">
        <v>602</v>
      </c>
      <c r="B299" s="28" t="s">
        <v>78</v>
      </c>
      <c r="C299" s="28" t="s">
        <v>12</v>
      </c>
      <c r="D299" s="26" t="s">
        <v>593</v>
      </c>
      <c r="E299" s="37" t="s">
        <v>603</v>
      </c>
      <c r="F299" s="52">
        <v>43999</v>
      </c>
      <c r="G299" s="52">
        <v>44041</v>
      </c>
      <c r="H299" s="32" t="str">
        <f t="shared" si="9"/>
        <v>EVEN</v>
      </c>
      <c r="I299" s="103">
        <v>0</v>
      </c>
      <c r="J299" s="3" t="str">
        <f>UPPER(TEXT(F299,"mmm")) &amp; " - " &amp; UPPER(TEXT(G299,"mmm"))</f>
        <v>JUN - JUL</v>
      </c>
      <c r="K299" s="3" t="s">
        <v>563</v>
      </c>
      <c r="L299" s="32" t="s">
        <v>16</v>
      </c>
      <c r="M299" s="32" t="str">
        <f t="shared" si="8"/>
        <v>No</v>
      </c>
      <c r="N299" s="32">
        <f>G299 - F299</f>
        <v>42</v>
      </c>
      <c r="O299">
        <v>1</v>
      </c>
    </row>
    <row r="300" spans="1:15" x14ac:dyDescent="0.3">
      <c r="A300" s="26" t="s">
        <v>604</v>
      </c>
      <c r="B300" s="28" t="s">
        <v>78</v>
      </c>
      <c r="C300" s="28" t="s">
        <v>12</v>
      </c>
      <c r="D300" s="26" t="s">
        <v>605</v>
      </c>
      <c r="E300" s="37" t="s">
        <v>606</v>
      </c>
      <c r="F300" s="52">
        <v>43995</v>
      </c>
      <c r="G300" s="52">
        <v>44044</v>
      </c>
      <c r="H300" s="32" t="str">
        <f t="shared" si="9"/>
        <v>EVEN</v>
      </c>
      <c r="I300" s="103">
        <v>0</v>
      </c>
      <c r="J300" s="3" t="str">
        <f>UPPER(TEXT(F300,"mmm")) &amp; " - " &amp; UPPER(TEXT(G300,"mmm"))</f>
        <v>JUN - AUG</v>
      </c>
      <c r="K300" s="3" t="s">
        <v>563</v>
      </c>
      <c r="L300" s="32" t="s">
        <v>16</v>
      </c>
      <c r="M300" s="32" t="str">
        <f t="shared" si="8"/>
        <v>No</v>
      </c>
      <c r="N300" s="32">
        <f>G300 - F300</f>
        <v>49</v>
      </c>
      <c r="O300">
        <v>1</v>
      </c>
    </row>
    <row r="301" spans="1:15" x14ac:dyDescent="0.3">
      <c r="A301" s="26" t="s">
        <v>341</v>
      </c>
      <c r="B301" s="28" t="s">
        <v>78</v>
      </c>
      <c r="C301" s="28" t="s">
        <v>12</v>
      </c>
      <c r="D301" s="26" t="s">
        <v>607</v>
      </c>
      <c r="E301" s="37" t="s">
        <v>606</v>
      </c>
      <c r="F301" s="52">
        <v>43995</v>
      </c>
      <c r="G301" s="52">
        <v>44044</v>
      </c>
      <c r="H301" s="32" t="str">
        <f t="shared" si="9"/>
        <v>EVEN</v>
      </c>
      <c r="I301" s="103">
        <v>0</v>
      </c>
      <c r="J301" s="3" t="str">
        <f>UPPER(TEXT(F301,"mmm")) &amp; " - " &amp; UPPER(TEXT(G301,"mmm"))</f>
        <v>JUN - AUG</v>
      </c>
      <c r="K301" s="3" t="s">
        <v>563</v>
      </c>
      <c r="L301" s="32" t="s">
        <v>16</v>
      </c>
      <c r="M301" s="32" t="str">
        <f t="shared" si="8"/>
        <v>No</v>
      </c>
      <c r="N301" s="32">
        <f>G301 - F301</f>
        <v>49</v>
      </c>
      <c r="O301">
        <v>1</v>
      </c>
    </row>
    <row r="302" spans="1:15" x14ac:dyDescent="0.3">
      <c r="A302" s="26" t="s">
        <v>608</v>
      </c>
      <c r="B302" s="28" t="s">
        <v>78</v>
      </c>
      <c r="C302" s="28" t="s">
        <v>12</v>
      </c>
      <c r="D302" s="26" t="s">
        <v>598</v>
      </c>
      <c r="E302" s="37" t="s">
        <v>599</v>
      </c>
      <c r="F302" s="52" t="s">
        <v>600</v>
      </c>
      <c r="G302" s="52" t="s">
        <v>601</v>
      </c>
      <c r="H302" s="32" t="str">
        <f t="shared" si="9"/>
        <v>EVEN</v>
      </c>
      <c r="I302" s="103">
        <v>0</v>
      </c>
      <c r="J302" s="3" t="str">
        <f>UPPER(TEXT(F302,"mmm")) &amp; " - " &amp; UPPER(TEXT(G302,"mmm"))</f>
        <v>MAY - JUN</v>
      </c>
      <c r="K302" s="3" t="s">
        <v>563</v>
      </c>
      <c r="L302" s="32" t="s">
        <v>16</v>
      </c>
      <c r="M302" s="32" t="str">
        <f t="shared" si="8"/>
        <v>No</v>
      </c>
      <c r="N302" s="32">
        <f>G302 - F302</f>
        <v>31</v>
      </c>
      <c r="O302">
        <v>1</v>
      </c>
    </row>
    <row r="303" spans="1:15" ht="27" x14ac:dyDescent="0.3">
      <c r="A303" s="26" t="s">
        <v>21</v>
      </c>
      <c r="B303" s="28" t="s">
        <v>78</v>
      </c>
      <c r="C303" s="28" t="s">
        <v>12</v>
      </c>
      <c r="D303" s="26" t="s">
        <v>609</v>
      </c>
      <c r="E303" s="37" t="s">
        <v>610</v>
      </c>
      <c r="F303" s="52">
        <v>43808</v>
      </c>
      <c r="G303" s="52">
        <v>43959</v>
      </c>
      <c r="H303" s="32" t="str">
        <f t="shared" si="9"/>
        <v>ODD</v>
      </c>
      <c r="I303" s="103">
        <v>0</v>
      </c>
      <c r="J303" s="3" t="str">
        <f>UPPER(TEXT(F303,"mmm")) &amp; " - " &amp; UPPER(TEXT(G303,"mmm"))</f>
        <v>DEC - MAY</v>
      </c>
      <c r="K303" s="3" t="s">
        <v>563</v>
      </c>
      <c r="L303" s="32" t="s">
        <v>16</v>
      </c>
      <c r="M303" s="32" t="str">
        <f t="shared" si="8"/>
        <v>No</v>
      </c>
      <c r="N303" s="32">
        <f>G303 - F303</f>
        <v>151</v>
      </c>
      <c r="O303">
        <v>1</v>
      </c>
    </row>
    <row r="304" spans="1:15" ht="27" x14ac:dyDescent="0.3">
      <c r="A304" s="26" t="s">
        <v>611</v>
      </c>
      <c r="B304" s="28" t="s">
        <v>78</v>
      </c>
      <c r="C304" s="28" t="s">
        <v>12</v>
      </c>
      <c r="D304" s="26" t="s">
        <v>612</v>
      </c>
      <c r="E304" s="37" t="s">
        <v>613</v>
      </c>
      <c r="F304" s="52">
        <v>43808</v>
      </c>
      <c r="G304" s="52">
        <v>43959</v>
      </c>
      <c r="H304" s="32" t="str">
        <f t="shared" si="9"/>
        <v>ODD</v>
      </c>
      <c r="I304" s="103">
        <v>0</v>
      </c>
      <c r="J304" s="3" t="str">
        <f>UPPER(TEXT(F304,"mmm")) &amp; " - " &amp; UPPER(TEXT(G304,"mmm"))</f>
        <v>DEC - MAY</v>
      </c>
      <c r="K304" s="3" t="s">
        <v>563</v>
      </c>
      <c r="L304" s="32" t="s">
        <v>16</v>
      </c>
      <c r="M304" s="32" t="str">
        <f t="shared" si="8"/>
        <v>No</v>
      </c>
      <c r="N304" s="32">
        <f>G304 - F304</f>
        <v>151</v>
      </c>
      <c r="O304">
        <v>1</v>
      </c>
    </row>
    <row r="305" spans="1:15" ht="40.200000000000003" x14ac:dyDescent="0.3">
      <c r="A305" s="26" t="s">
        <v>614</v>
      </c>
      <c r="B305" s="28" t="s">
        <v>78</v>
      </c>
      <c r="C305" s="28" t="s">
        <v>12</v>
      </c>
      <c r="D305" s="26" t="s">
        <v>615</v>
      </c>
      <c r="E305" s="37" t="s">
        <v>616</v>
      </c>
      <c r="F305" s="52">
        <v>43896</v>
      </c>
      <c r="G305" s="52" t="s">
        <v>617</v>
      </c>
      <c r="H305" s="32" t="str">
        <f t="shared" si="9"/>
        <v>EVEN</v>
      </c>
      <c r="I305" s="103">
        <v>0</v>
      </c>
      <c r="J305" s="3" t="str">
        <f>UPPER(TEXT(F305,"mmm")) &amp; " - " &amp; UPPER(TEXT(G305,"mmm"))</f>
        <v>MAR - JUL</v>
      </c>
      <c r="K305" s="3" t="s">
        <v>563</v>
      </c>
      <c r="L305" s="32" t="s">
        <v>16</v>
      </c>
      <c r="M305" s="32" t="str">
        <f t="shared" si="8"/>
        <v>No</v>
      </c>
      <c r="N305" s="32">
        <f>G305 - F305</f>
        <v>130</v>
      </c>
      <c r="O305">
        <v>1</v>
      </c>
    </row>
    <row r="306" spans="1:15" x14ac:dyDescent="0.3">
      <c r="A306" s="25" t="s">
        <v>27</v>
      </c>
      <c r="B306" s="3" t="s">
        <v>78</v>
      </c>
      <c r="C306" s="3" t="s">
        <v>12</v>
      </c>
      <c r="D306" s="25" t="s">
        <v>170</v>
      </c>
      <c r="E306" s="1" t="s">
        <v>171</v>
      </c>
      <c r="F306" s="52">
        <v>43813</v>
      </c>
      <c r="G306" s="52">
        <v>43830</v>
      </c>
      <c r="H306" s="32" t="str">
        <f t="shared" si="9"/>
        <v>ODD</v>
      </c>
      <c r="I306" s="103">
        <v>0</v>
      </c>
      <c r="J306" s="3" t="str">
        <f>UPPER(TEXT(F306,"mmm")) &amp; " - " &amp; UPPER(TEXT(G306,"mmm"))</f>
        <v>DEC - DEC</v>
      </c>
      <c r="K306" s="3" t="s">
        <v>563</v>
      </c>
      <c r="L306" s="32" t="s">
        <v>16</v>
      </c>
      <c r="M306" s="32" t="str">
        <f t="shared" si="8"/>
        <v>No</v>
      </c>
      <c r="N306" s="32">
        <f>G306 - F306</f>
        <v>17</v>
      </c>
      <c r="O306">
        <v>1</v>
      </c>
    </row>
    <row r="307" spans="1:15" x14ac:dyDescent="0.3">
      <c r="A307" s="26" t="s">
        <v>618</v>
      </c>
      <c r="B307" s="28" t="s">
        <v>78</v>
      </c>
      <c r="C307" s="28" t="s">
        <v>12</v>
      </c>
      <c r="D307" s="26" t="s">
        <v>619</v>
      </c>
      <c r="E307" s="37" t="s">
        <v>620</v>
      </c>
      <c r="F307" s="52">
        <v>43472</v>
      </c>
      <c r="G307" s="52">
        <v>43836</v>
      </c>
      <c r="H307" s="32" t="str">
        <f t="shared" si="9"/>
        <v>EVEN</v>
      </c>
      <c r="I307" s="103">
        <v>0</v>
      </c>
      <c r="J307" s="3" t="str">
        <f>UPPER(TEXT(F307,"mmm")) &amp; " - " &amp; UPPER(TEXT(G307,"mmm"))</f>
        <v>JAN - JAN</v>
      </c>
      <c r="K307" s="3" t="s">
        <v>563</v>
      </c>
      <c r="L307" s="32" t="s">
        <v>16</v>
      </c>
      <c r="M307" s="32" t="str">
        <f t="shared" si="8"/>
        <v>No</v>
      </c>
      <c r="N307" s="32">
        <f>G307 - F307</f>
        <v>364</v>
      </c>
      <c r="O307">
        <v>1</v>
      </c>
    </row>
    <row r="308" spans="1:15" ht="27" x14ac:dyDescent="0.3">
      <c r="A308" s="26" t="s">
        <v>360</v>
      </c>
      <c r="B308" s="28" t="s">
        <v>78</v>
      </c>
      <c r="C308" s="28" t="s">
        <v>12</v>
      </c>
      <c r="D308" s="26" t="s">
        <v>621</v>
      </c>
      <c r="E308" s="37" t="s">
        <v>622</v>
      </c>
      <c r="F308" s="52">
        <v>43815</v>
      </c>
      <c r="G308" s="52">
        <v>43873</v>
      </c>
      <c r="H308" s="32" t="str">
        <f t="shared" si="9"/>
        <v>ODD</v>
      </c>
      <c r="I308" s="103">
        <v>0</v>
      </c>
      <c r="J308" s="3" t="str">
        <f>UPPER(TEXT(F308,"mmm")) &amp; " - " &amp; UPPER(TEXT(G308,"mmm"))</f>
        <v>DEC - FEB</v>
      </c>
      <c r="K308" s="3" t="s">
        <v>563</v>
      </c>
      <c r="L308" s="32" t="s">
        <v>16</v>
      </c>
      <c r="M308" s="32" t="str">
        <f t="shared" si="8"/>
        <v>No</v>
      </c>
      <c r="N308" s="32">
        <f>G308 - F308</f>
        <v>58</v>
      </c>
      <c r="O308">
        <v>1</v>
      </c>
    </row>
    <row r="309" spans="1:15" ht="40.200000000000003" x14ac:dyDescent="0.3">
      <c r="A309" s="26" t="s">
        <v>623</v>
      </c>
      <c r="B309" s="28" t="s">
        <v>78</v>
      </c>
      <c r="C309" s="28" t="s">
        <v>12</v>
      </c>
      <c r="D309" s="26" t="s">
        <v>624</v>
      </c>
      <c r="E309" s="37" t="s">
        <v>625</v>
      </c>
      <c r="F309" s="52" t="s">
        <v>626</v>
      </c>
      <c r="G309" s="52" t="s">
        <v>627</v>
      </c>
      <c r="H309" s="32" t="str">
        <f t="shared" si="9"/>
        <v>EVEN</v>
      </c>
      <c r="I309" s="103">
        <v>0</v>
      </c>
      <c r="J309" s="3" t="str">
        <f>UPPER(TEXT(F309,"mmm")) &amp; " - " &amp; UPPER(TEXT(G309,"mmm"))</f>
        <v>MAY - JUL</v>
      </c>
      <c r="K309" s="3" t="s">
        <v>563</v>
      </c>
      <c r="L309" s="32" t="s">
        <v>16</v>
      </c>
      <c r="M309" s="32" t="str">
        <f t="shared" si="8"/>
        <v>No</v>
      </c>
      <c r="N309" s="32">
        <f>G309 - F309</f>
        <v>77</v>
      </c>
      <c r="O309">
        <v>1</v>
      </c>
    </row>
    <row r="310" spans="1:15" ht="27" x14ac:dyDescent="0.3">
      <c r="A310" s="26" t="s">
        <v>628</v>
      </c>
      <c r="B310" s="28" t="s">
        <v>78</v>
      </c>
      <c r="C310" s="28" t="s">
        <v>12</v>
      </c>
      <c r="D310" s="26" t="s">
        <v>629</v>
      </c>
      <c r="E310" s="37" t="s">
        <v>630</v>
      </c>
      <c r="F310" s="52">
        <v>43808</v>
      </c>
      <c r="G310" s="52">
        <v>43959</v>
      </c>
      <c r="H310" s="32" t="str">
        <f t="shared" si="9"/>
        <v>ODD</v>
      </c>
      <c r="I310" s="103">
        <v>0</v>
      </c>
      <c r="J310" s="3" t="str">
        <f>UPPER(TEXT(F310,"mmm")) &amp; " - " &amp; UPPER(TEXT(G310,"mmm"))</f>
        <v>DEC - MAY</v>
      </c>
      <c r="K310" s="3" t="s">
        <v>563</v>
      </c>
      <c r="L310" s="32" t="s">
        <v>16</v>
      </c>
      <c r="M310" s="32" t="str">
        <f t="shared" si="8"/>
        <v>No</v>
      </c>
      <c r="N310" s="32">
        <f>G310 - F310</f>
        <v>151</v>
      </c>
      <c r="O310">
        <v>1</v>
      </c>
    </row>
    <row r="311" spans="1:15" ht="27" x14ac:dyDescent="0.3">
      <c r="A311" s="26" t="s">
        <v>631</v>
      </c>
      <c r="B311" s="28" t="s">
        <v>78</v>
      </c>
      <c r="C311" s="28" t="s">
        <v>12</v>
      </c>
      <c r="D311" s="26" t="s">
        <v>632</v>
      </c>
      <c r="E311" s="37" t="s">
        <v>633</v>
      </c>
      <c r="F311" s="52">
        <v>43808</v>
      </c>
      <c r="G311" s="52">
        <v>43959</v>
      </c>
      <c r="H311" s="32" t="str">
        <f t="shared" si="9"/>
        <v>ODD</v>
      </c>
      <c r="I311" s="103">
        <v>0</v>
      </c>
      <c r="J311" s="3" t="str">
        <f>UPPER(TEXT(F311,"mmm")) &amp; " - " &amp; UPPER(TEXT(G311,"mmm"))</f>
        <v>DEC - MAY</v>
      </c>
      <c r="K311" s="3" t="s">
        <v>563</v>
      </c>
      <c r="L311" s="32" t="s">
        <v>16</v>
      </c>
      <c r="M311" s="32" t="str">
        <f t="shared" si="8"/>
        <v>No</v>
      </c>
      <c r="N311" s="32">
        <f>G311 - F311</f>
        <v>151</v>
      </c>
      <c r="O311">
        <v>1</v>
      </c>
    </row>
    <row r="312" spans="1:15" ht="66.599999999999994" x14ac:dyDescent="0.3">
      <c r="A312" s="26" t="s">
        <v>28</v>
      </c>
      <c r="B312" s="28" t="s">
        <v>78</v>
      </c>
      <c r="C312" s="28" t="s">
        <v>12</v>
      </c>
      <c r="D312" s="26" t="s">
        <v>634</v>
      </c>
      <c r="E312" s="37" t="s">
        <v>635</v>
      </c>
      <c r="F312" s="52">
        <v>43835</v>
      </c>
      <c r="G312" s="52" t="s">
        <v>636</v>
      </c>
      <c r="H312" s="32" t="str">
        <f t="shared" si="9"/>
        <v>EVEN</v>
      </c>
      <c r="I312" s="103">
        <v>0</v>
      </c>
      <c r="J312" s="3" t="str">
        <f>UPPER(TEXT(F312,"mmm")) &amp; " - " &amp; UPPER(TEXT(G312,"mmm"))</f>
        <v>JAN - MAY</v>
      </c>
      <c r="K312" s="3" t="s">
        <v>563</v>
      </c>
      <c r="L312" s="32" t="s">
        <v>16</v>
      </c>
      <c r="M312" s="32" t="str">
        <f t="shared" si="8"/>
        <v>No</v>
      </c>
      <c r="N312" s="32">
        <f>G312 - F312</f>
        <v>147</v>
      </c>
      <c r="O312">
        <v>1</v>
      </c>
    </row>
    <row r="313" spans="1:15" ht="40.200000000000003" x14ac:dyDescent="0.3">
      <c r="A313" s="26" t="s">
        <v>637</v>
      </c>
      <c r="B313" s="28" t="s">
        <v>78</v>
      </c>
      <c r="C313" s="28" t="s">
        <v>12</v>
      </c>
      <c r="D313" s="26" t="s">
        <v>624</v>
      </c>
      <c r="E313" s="37" t="s">
        <v>625</v>
      </c>
      <c r="F313" s="52" t="s">
        <v>626</v>
      </c>
      <c r="G313" s="52" t="s">
        <v>627</v>
      </c>
      <c r="H313" s="32" t="str">
        <f t="shared" si="9"/>
        <v>EVEN</v>
      </c>
      <c r="I313" s="103">
        <v>0</v>
      </c>
      <c r="J313" s="3" t="str">
        <f>UPPER(TEXT(F313,"mmm")) &amp; " - " &amp; UPPER(TEXT(G313,"mmm"))</f>
        <v>MAY - JUL</v>
      </c>
      <c r="K313" s="3" t="s">
        <v>563</v>
      </c>
      <c r="L313" s="32" t="s">
        <v>16</v>
      </c>
      <c r="M313" s="32" t="str">
        <f t="shared" si="8"/>
        <v>No</v>
      </c>
      <c r="N313" s="32">
        <f>G313 - F313</f>
        <v>77</v>
      </c>
      <c r="O313">
        <v>1</v>
      </c>
    </row>
    <row r="314" spans="1:15" x14ac:dyDescent="0.3">
      <c r="A314" s="38" t="s">
        <v>638</v>
      </c>
      <c r="B314" s="39" t="s">
        <v>78</v>
      </c>
      <c r="C314" s="39" t="s">
        <v>12</v>
      </c>
      <c r="D314" s="38" t="s">
        <v>639</v>
      </c>
      <c r="E314" s="40" t="s">
        <v>640</v>
      </c>
      <c r="F314" s="71">
        <v>43836</v>
      </c>
      <c r="G314" s="71">
        <v>43990</v>
      </c>
      <c r="H314" s="32" t="str">
        <f t="shared" si="9"/>
        <v>EVEN</v>
      </c>
      <c r="I314" s="103">
        <v>0</v>
      </c>
      <c r="J314" s="3" t="str">
        <f>UPPER(TEXT(F314,"mmm")) &amp; " - " &amp; UPPER(TEXT(G314,"mmm"))</f>
        <v>JAN - JUN</v>
      </c>
      <c r="K314" s="3" t="s">
        <v>563</v>
      </c>
      <c r="L314" s="32" t="s">
        <v>16</v>
      </c>
      <c r="M314" s="32" t="str">
        <f t="shared" si="8"/>
        <v>No</v>
      </c>
      <c r="N314" s="32">
        <f>G314 - F314</f>
        <v>154</v>
      </c>
      <c r="O314">
        <v>1</v>
      </c>
    </row>
    <row r="315" spans="1:15" x14ac:dyDescent="0.3">
      <c r="A315" s="26" t="s">
        <v>641</v>
      </c>
      <c r="B315" s="28" t="s">
        <v>78</v>
      </c>
      <c r="C315" s="28" t="s">
        <v>12</v>
      </c>
      <c r="D315" s="26" t="s">
        <v>642</v>
      </c>
      <c r="E315" s="37" t="s">
        <v>277</v>
      </c>
      <c r="F315" s="52">
        <v>43855</v>
      </c>
      <c r="G315" s="52">
        <v>43886</v>
      </c>
      <c r="H315" s="32" t="str">
        <f t="shared" si="9"/>
        <v>EVEN</v>
      </c>
      <c r="I315" s="103">
        <v>0</v>
      </c>
      <c r="J315" s="3" t="str">
        <f>UPPER(TEXT(F315,"mmm")) &amp; " - " &amp; UPPER(TEXT(G315,"mmm"))</f>
        <v>JAN - FEB</v>
      </c>
      <c r="K315" s="3" t="s">
        <v>563</v>
      </c>
      <c r="L315" s="32" t="s">
        <v>16</v>
      </c>
      <c r="M315" s="32" t="str">
        <f t="shared" si="8"/>
        <v>No</v>
      </c>
      <c r="N315" s="32">
        <f>G315 - F315</f>
        <v>31</v>
      </c>
      <c r="O315">
        <v>1</v>
      </c>
    </row>
    <row r="316" spans="1:15" x14ac:dyDescent="0.3">
      <c r="A316" s="26" t="s">
        <v>641</v>
      </c>
      <c r="B316" s="28" t="s">
        <v>78</v>
      </c>
      <c r="C316" s="28" t="s">
        <v>12</v>
      </c>
      <c r="D316" s="26" t="s">
        <v>643</v>
      </c>
      <c r="E316" s="37" t="s">
        <v>644</v>
      </c>
      <c r="F316" s="52" t="s">
        <v>645</v>
      </c>
      <c r="G316" s="52" t="s">
        <v>646</v>
      </c>
      <c r="H316" s="32" t="str">
        <f t="shared" si="9"/>
        <v>EVEN</v>
      </c>
      <c r="I316" s="103">
        <v>0</v>
      </c>
      <c r="J316" s="3" t="str">
        <f>UPPER(TEXT(F316,"mmm")) &amp; " - " &amp; UPPER(TEXT(G316,"mmm"))</f>
        <v>JUN - JUL</v>
      </c>
      <c r="K316" s="3" t="s">
        <v>563</v>
      </c>
      <c r="L316" s="32" t="s">
        <v>16</v>
      </c>
      <c r="M316" s="32" t="str">
        <f t="shared" si="8"/>
        <v>No</v>
      </c>
      <c r="N316" s="32">
        <f>G316 - F316</f>
        <v>39</v>
      </c>
      <c r="O316">
        <v>1</v>
      </c>
    </row>
    <row r="317" spans="1:15" x14ac:dyDescent="0.3">
      <c r="A317" s="26" t="s">
        <v>380</v>
      </c>
      <c r="B317" s="28" t="s">
        <v>78</v>
      </c>
      <c r="C317" s="28" t="s">
        <v>12</v>
      </c>
      <c r="D317" s="26" t="s">
        <v>647</v>
      </c>
      <c r="E317" s="37" t="s">
        <v>648</v>
      </c>
      <c r="F317" s="52">
        <v>43813</v>
      </c>
      <c r="G317" s="52">
        <v>43897</v>
      </c>
      <c r="H317" s="32" t="str">
        <f t="shared" si="9"/>
        <v>ODD</v>
      </c>
      <c r="I317" s="103">
        <v>0</v>
      </c>
      <c r="J317" s="3" t="str">
        <f>UPPER(TEXT(F317,"mmm")) &amp; " - " &amp; UPPER(TEXT(G317,"mmm"))</f>
        <v>DEC - MAR</v>
      </c>
      <c r="K317" s="3" t="s">
        <v>563</v>
      </c>
      <c r="L317" s="32" t="s">
        <v>16</v>
      </c>
      <c r="M317" s="32" t="str">
        <f t="shared" si="8"/>
        <v>No</v>
      </c>
      <c r="N317" s="32">
        <f>G317 - F317</f>
        <v>84</v>
      </c>
      <c r="O317">
        <v>1</v>
      </c>
    </row>
    <row r="318" spans="1:15" ht="40.200000000000003" x14ac:dyDescent="0.3">
      <c r="A318" s="26" t="s">
        <v>380</v>
      </c>
      <c r="B318" s="28" t="s">
        <v>78</v>
      </c>
      <c r="C318" s="28" t="s">
        <v>12</v>
      </c>
      <c r="D318" s="26" t="s">
        <v>649</v>
      </c>
      <c r="E318" s="37" t="s">
        <v>650</v>
      </c>
      <c r="F318" s="52">
        <v>44000</v>
      </c>
      <c r="G318" s="52">
        <v>44070</v>
      </c>
      <c r="H318" s="32" t="str">
        <f t="shared" si="9"/>
        <v>EVEN</v>
      </c>
      <c r="I318" s="103">
        <v>0</v>
      </c>
      <c r="J318" s="3" t="str">
        <f>UPPER(TEXT(F318,"mmm")) &amp; " - " &amp; UPPER(TEXT(G318,"mmm"))</f>
        <v>JUN - AUG</v>
      </c>
      <c r="K318" s="3" t="s">
        <v>563</v>
      </c>
      <c r="L318" s="32" t="s">
        <v>16</v>
      </c>
      <c r="M318" s="32" t="str">
        <f t="shared" si="8"/>
        <v>No</v>
      </c>
      <c r="N318" s="32">
        <f>G318 - F318</f>
        <v>70</v>
      </c>
      <c r="O318">
        <v>1</v>
      </c>
    </row>
    <row r="319" spans="1:15" ht="53.4" x14ac:dyDescent="0.3">
      <c r="A319" s="26" t="s">
        <v>343</v>
      </c>
      <c r="B319" s="28" t="s">
        <v>78</v>
      </c>
      <c r="C319" s="28" t="s">
        <v>12</v>
      </c>
      <c r="D319" s="26" t="s">
        <v>651</v>
      </c>
      <c r="E319" s="37" t="s">
        <v>652</v>
      </c>
      <c r="F319" s="52" t="s">
        <v>645</v>
      </c>
      <c r="G319" s="52" t="s">
        <v>596</v>
      </c>
      <c r="H319" s="32" t="str">
        <f t="shared" si="9"/>
        <v>EVEN</v>
      </c>
      <c r="I319" s="103">
        <v>0</v>
      </c>
      <c r="J319" s="3" t="str">
        <f>UPPER(TEXT(F319,"mmm")) &amp; " - " &amp; UPPER(TEXT(G319,"mmm"))</f>
        <v>JUN - JUL</v>
      </c>
      <c r="K319" s="3" t="s">
        <v>563</v>
      </c>
      <c r="L319" s="32" t="s">
        <v>16</v>
      </c>
      <c r="M319" s="32" t="str">
        <f t="shared" si="8"/>
        <v>No</v>
      </c>
      <c r="N319" s="32">
        <f>G319 - F319</f>
        <v>41</v>
      </c>
      <c r="O319">
        <v>1</v>
      </c>
    </row>
    <row r="320" spans="1:15" ht="27" x14ac:dyDescent="0.3">
      <c r="A320" s="26" t="s">
        <v>343</v>
      </c>
      <c r="B320" s="28" t="s">
        <v>78</v>
      </c>
      <c r="C320" s="28" t="s">
        <v>12</v>
      </c>
      <c r="D320" s="26" t="s">
        <v>653</v>
      </c>
      <c r="E320" s="37" t="s">
        <v>488</v>
      </c>
      <c r="F320" s="52">
        <v>43896</v>
      </c>
      <c r="G320" s="52" t="s">
        <v>617</v>
      </c>
      <c r="H320" s="32" t="str">
        <f t="shared" si="9"/>
        <v>EVEN</v>
      </c>
      <c r="I320" s="103">
        <v>0</v>
      </c>
      <c r="J320" s="3" t="str">
        <f>UPPER(TEXT(F320,"mmm")) &amp; " - " &amp; UPPER(TEXT(G320,"mmm"))</f>
        <v>MAR - JUL</v>
      </c>
      <c r="K320" s="3" t="s">
        <v>563</v>
      </c>
      <c r="L320" s="32" t="s">
        <v>16</v>
      </c>
      <c r="M320" s="32" t="str">
        <f t="shared" si="8"/>
        <v>No</v>
      </c>
      <c r="N320" s="32">
        <f>G320 - F320</f>
        <v>130</v>
      </c>
      <c r="O320">
        <v>1</v>
      </c>
    </row>
    <row r="321" spans="1:15" x14ac:dyDescent="0.3">
      <c r="A321" s="41" t="s">
        <v>654</v>
      </c>
      <c r="B321" s="15" t="s">
        <v>78</v>
      </c>
      <c r="C321" s="39" t="s">
        <v>12</v>
      </c>
      <c r="D321" s="41" t="s">
        <v>639</v>
      </c>
      <c r="E321" s="42" t="s">
        <v>640</v>
      </c>
      <c r="F321" s="71">
        <v>43822</v>
      </c>
      <c r="G321" s="71">
        <v>43990</v>
      </c>
      <c r="H321" s="32" t="str">
        <f t="shared" si="9"/>
        <v>ODD</v>
      </c>
      <c r="I321" s="103">
        <v>0</v>
      </c>
      <c r="J321" s="3" t="str">
        <f>UPPER(TEXT(F321,"mmm")) &amp; " - " &amp; UPPER(TEXT(G321,"mmm"))</f>
        <v>DEC - JUN</v>
      </c>
      <c r="K321" s="3" t="s">
        <v>563</v>
      </c>
      <c r="L321" s="32" t="s">
        <v>16</v>
      </c>
      <c r="M321" s="32" t="str">
        <f t="shared" si="8"/>
        <v>No</v>
      </c>
      <c r="N321" s="32">
        <f>G321 - F321</f>
        <v>168</v>
      </c>
      <c r="O321">
        <v>1</v>
      </c>
    </row>
    <row r="322" spans="1:15" ht="27" x14ac:dyDescent="0.3">
      <c r="A322" s="26" t="s">
        <v>655</v>
      </c>
      <c r="B322" s="28" t="s">
        <v>78</v>
      </c>
      <c r="C322" s="28" t="s">
        <v>12</v>
      </c>
      <c r="D322" s="26" t="s">
        <v>201</v>
      </c>
      <c r="E322" s="37" t="s">
        <v>656</v>
      </c>
      <c r="F322" s="52" t="s">
        <v>626</v>
      </c>
      <c r="G322" s="52" t="s">
        <v>627</v>
      </c>
      <c r="H322" s="32" t="str">
        <f t="shared" si="9"/>
        <v>EVEN</v>
      </c>
      <c r="I322" s="103">
        <v>0</v>
      </c>
      <c r="J322" s="3" t="str">
        <f>UPPER(TEXT(F322,"mmm")) &amp; " - " &amp; UPPER(TEXT(G322,"mmm"))</f>
        <v>MAY - JUL</v>
      </c>
      <c r="K322" s="3" t="s">
        <v>563</v>
      </c>
      <c r="L322" s="32" t="s">
        <v>16</v>
      </c>
      <c r="M322" s="32" t="str">
        <f t="shared" si="8"/>
        <v>No</v>
      </c>
      <c r="N322" s="32">
        <f>G322 - F322</f>
        <v>77</v>
      </c>
      <c r="O322">
        <v>1</v>
      </c>
    </row>
    <row r="323" spans="1:15" x14ac:dyDescent="0.3">
      <c r="A323" s="26" t="s">
        <v>657</v>
      </c>
      <c r="B323" s="28" t="s">
        <v>78</v>
      </c>
      <c r="C323" s="28" t="s">
        <v>12</v>
      </c>
      <c r="D323" s="26" t="s">
        <v>658</v>
      </c>
      <c r="E323" s="37" t="s">
        <v>659</v>
      </c>
      <c r="F323" s="52">
        <v>43702</v>
      </c>
      <c r="G323" s="52">
        <v>43951</v>
      </c>
      <c r="H323" s="32" t="str">
        <f t="shared" si="9"/>
        <v>ODD</v>
      </c>
      <c r="I323" s="103">
        <v>0</v>
      </c>
      <c r="J323" s="3" t="str">
        <f>UPPER(TEXT(F323,"mmm")) &amp; " - " &amp; UPPER(TEXT(G323,"mmm"))</f>
        <v>AUG - APR</v>
      </c>
      <c r="K323" s="3" t="s">
        <v>563</v>
      </c>
      <c r="L323" s="32" t="s">
        <v>16</v>
      </c>
      <c r="M323" s="32" t="str">
        <f t="shared" ref="M323:M386" si="10">IF(I323 &gt; 0, "Yes", "No")</f>
        <v>No</v>
      </c>
      <c r="N323" s="32">
        <f>G323 - F323</f>
        <v>249</v>
      </c>
      <c r="O323">
        <v>1</v>
      </c>
    </row>
    <row r="324" spans="1:15" ht="27" x14ac:dyDescent="0.3">
      <c r="A324" s="43" t="s">
        <v>660</v>
      </c>
      <c r="B324" s="29" t="s">
        <v>78</v>
      </c>
      <c r="C324" s="44" t="s">
        <v>12</v>
      </c>
      <c r="D324" s="25" t="s">
        <v>661</v>
      </c>
      <c r="E324" s="1" t="s">
        <v>662</v>
      </c>
      <c r="F324" s="52">
        <v>43815</v>
      </c>
      <c r="G324" s="52">
        <v>43845</v>
      </c>
      <c r="H324" s="32" t="str">
        <f t="shared" si="9"/>
        <v>ODD</v>
      </c>
      <c r="I324" s="103">
        <v>0</v>
      </c>
      <c r="J324" s="3" t="str">
        <f>UPPER(TEXT(F324,"mmm")) &amp; " - " &amp; UPPER(TEXT(G324,"mmm"))</f>
        <v>DEC - JAN</v>
      </c>
      <c r="K324" s="3" t="s">
        <v>563</v>
      </c>
      <c r="L324" s="32" t="s">
        <v>16</v>
      </c>
      <c r="M324" s="32" t="str">
        <f t="shared" si="10"/>
        <v>No</v>
      </c>
      <c r="N324" s="32">
        <f>G324 - F324</f>
        <v>30</v>
      </c>
      <c r="O324">
        <v>1</v>
      </c>
    </row>
    <row r="325" spans="1:15" x14ac:dyDescent="0.3">
      <c r="A325" s="26" t="s">
        <v>663</v>
      </c>
      <c r="B325" s="28" t="s">
        <v>78</v>
      </c>
      <c r="C325" s="28" t="s">
        <v>12</v>
      </c>
      <c r="D325" s="26" t="s">
        <v>664</v>
      </c>
      <c r="E325" s="37" t="s">
        <v>665</v>
      </c>
      <c r="F325" s="52" t="s">
        <v>666</v>
      </c>
      <c r="G325" s="52" t="s">
        <v>596</v>
      </c>
      <c r="H325" s="32" t="str">
        <f t="shared" si="9"/>
        <v>EVEN</v>
      </c>
      <c r="I325" s="103">
        <v>0</v>
      </c>
      <c r="J325" s="3" t="str">
        <f>UPPER(TEXT(F325,"mmm")) &amp; " - " &amp; UPPER(TEXT(G325,"mmm"))</f>
        <v>MAY - JUL</v>
      </c>
      <c r="K325" s="3" t="s">
        <v>563</v>
      </c>
      <c r="L325" s="32" t="s">
        <v>16</v>
      </c>
      <c r="M325" s="32" t="str">
        <f t="shared" si="10"/>
        <v>No</v>
      </c>
      <c r="N325" s="32">
        <f>G325 - F325</f>
        <v>72</v>
      </c>
      <c r="O325">
        <v>1</v>
      </c>
    </row>
    <row r="326" spans="1:15" ht="40.200000000000003" x14ac:dyDescent="0.3">
      <c r="A326" s="26" t="s">
        <v>48</v>
      </c>
      <c r="B326" s="28" t="s">
        <v>78</v>
      </c>
      <c r="C326" s="28" t="s">
        <v>12</v>
      </c>
      <c r="D326" s="26" t="s">
        <v>25</v>
      </c>
      <c r="E326" s="37" t="s">
        <v>667</v>
      </c>
      <c r="F326" s="52" t="s">
        <v>668</v>
      </c>
      <c r="G326" s="52" t="s">
        <v>669</v>
      </c>
      <c r="H326" s="32" t="str">
        <f t="shared" si="9"/>
        <v>EVEN</v>
      </c>
      <c r="I326" s="103">
        <v>0</v>
      </c>
      <c r="J326" s="3" t="str">
        <f>UPPER(TEXT(F326,"mmm")) &amp; " - " &amp; UPPER(TEXT(G326,"mmm"))</f>
        <v>APR - MAY</v>
      </c>
      <c r="K326" s="3" t="s">
        <v>563</v>
      </c>
      <c r="L326" s="32" t="s">
        <v>16</v>
      </c>
      <c r="M326" s="32" t="str">
        <f t="shared" si="10"/>
        <v>No</v>
      </c>
      <c r="N326" s="32">
        <f>G326 - F326</f>
        <v>28</v>
      </c>
      <c r="O326">
        <v>1</v>
      </c>
    </row>
    <row r="327" spans="1:15" ht="27" x14ac:dyDescent="0.3">
      <c r="A327" s="26" t="s">
        <v>670</v>
      </c>
      <c r="B327" s="28" t="s">
        <v>78</v>
      </c>
      <c r="C327" s="28" t="s">
        <v>12</v>
      </c>
      <c r="D327" s="26" t="s">
        <v>671</v>
      </c>
      <c r="E327" s="37" t="s">
        <v>672</v>
      </c>
      <c r="F327" s="52" t="s">
        <v>666</v>
      </c>
      <c r="G327" s="52" t="s">
        <v>596</v>
      </c>
      <c r="H327" s="32" t="str">
        <f t="shared" si="9"/>
        <v>EVEN</v>
      </c>
      <c r="I327" s="103">
        <v>0</v>
      </c>
      <c r="J327" s="3" t="str">
        <f>UPPER(TEXT(F327,"mmm")) &amp; " - " &amp; UPPER(TEXT(G327,"mmm"))</f>
        <v>MAY - JUL</v>
      </c>
      <c r="K327" s="3" t="s">
        <v>563</v>
      </c>
      <c r="L327" s="32" t="s">
        <v>16</v>
      </c>
      <c r="M327" s="32" t="str">
        <f t="shared" si="10"/>
        <v>No</v>
      </c>
      <c r="N327" s="32">
        <f>G327 - F327</f>
        <v>72</v>
      </c>
      <c r="O327">
        <v>1</v>
      </c>
    </row>
    <row r="328" spans="1:15" ht="40.200000000000003" x14ac:dyDescent="0.3">
      <c r="A328" s="26" t="s">
        <v>50</v>
      </c>
      <c r="B328" s="28" t="s">
        <v>78</v>
      </c>
      <c r="C328" s="28" t="s">
        <v>12</v>
      </c>
      <c r="D328" s="26" t="s">
        <v>25</v>
      </c>
      <c r="E328" s="37" t="s">
        <v>667</v>
      </c>
      <c r="F328" s="52" t="s">
        <v>668</v>
      </c>
      <c r="G328" s="52" t="s">
        <v>669</v>
      </c>
      <c r="H328" s="32" t="str">
        <f t="shared" si="9"/>
        <v>EVEN</v>
      </c>
      <c r="I328" s="103">
        <v>0</v>
      </c>
      <c r="J328" s="3" t="str">
        <f>UPPER(TEXT(F328,"mmm")) &amp; " - " &amp; UPPER(TEXT(G328,"mmm"))</f>
        <v>APR - MAY</v>
      </c>
      <c r="K328" s="3" t="s">
        <v>563</v>
      </c>
      <c r="L328" s="32" t="s">
        <v>16</v>
      </c>
      <c r="M328" s="32" t="str">
        <f t="shared" si="10"/>
        <v>No</v>
      </c>
      <c r="N328" s="32">
        <f>G328 - F328</f>
        <v>28</v>
      </c>
      <c r="O328">
        <v>1</v>
      </c>
    </row>
    <row r="329" spans="1:15" x14ac:dyDescent="0.3">
      <c r="A329" s="25" t="s">
        <v>673</v>
      </c>
      <c r="B329" s="3" t="s">
        <v>78</v>
      </c>
      <c r="C329" s="3" t="s">
        <v>12</v>
      </c>
      <c r="D329" s="25" t="s">
        <v>674</v>
      </c>
      <c r="E329" s="1" t="s">
        <v>675</v>
      </c>
      <c r="F329" s="52">
        <v>43709</v>
      </c>
      <c r="G329" s="52">
        <v>43830</v>
      </c>
      <c r="H329" s="32" t="str">
        <f t="shared" si="9"/>
        <v>ODD</v>
      </c>
      <c r="I329" s="103">
        <v>0</v>
      </c>
      <c r="J329" s="3" t="str">
        <f>UPPER(TEXT(F329,"mmm")) &amp; " - " &amp; UPPER(TEXT(G329,"mmm"))</f>
        <v>SEP - DEC</v>
      </c>
      <c r="K329" s="3" t="s">
        <v>563</v>
      </c>
      <c r="L329" s="32" t="s">
        <v>16</v>
      </c>
      <c r="M329" s="32" t="str">
        <f t="shared" si="10"/>
        <v>No</v>
      </c>
      <c r="N329" s="32">
        <f>G329 - F329</f>
        <v>121</v>
      </c>
      <c r="O329">
        <v>1</v>
      </c>
    </row>
    <row r="330" spans="1:15" ht="27" x14ac:dyDescent="0.3">
      <c r="A330" s="26" t="s">
        <v>673</v>
      </c>
      <c r="B330" s="28" t="s">
        <v>78</v>
      </c>
      <c r="C330" s="28" t="s">
        <v>12</v>
      </c>
      <c r="D330" s="26" t="s">
        <v>676</v>
      </c>
      <c r="E330" s="37" t="s">
        <v>677</v>
      </c>
      <c r="F330" s="52" t="s">
        <v>666</v>
      </c>
      <c r="G330" s="52" t="s">
        <v>596</v>
      </c>
      <c r="H330" s="32" t="str">
        <f t="shared" si="9"/>
        <v>EVEN</v>
      </c>
      <c r="I330" s="103">
        <v>0</v>
      </c>
      <c r="J330" s="3" t="str">
        <f>UPPER(TEXT(F330,"mmm")) &amp; " - " &amp; UPPER(TEXT(G330,"mmm"))</f>
        <v>MAY - JUL</v>
      </c>
      <c r="K330" s="3" t="s">
        <v>563</v>
      </c>
      <c r="L330" s="32" t="s">
        <v>16</v>
      </c>
      <c r="M330" s="32" t="str">
        <f t="shared" si="10"/>
        <v>No</v>
      </c>
      <c r="N330" s="32">
        <f>G330 - F330</f>
        <v>72</v>
      </c>
      <c r="O330">
        <v>1</v>
      </c>
    </row>
    <row r="331" spans="1:15" ht="27" x14ac:dyDescent="0.3">
      <c r="A331" s="26" t="s">
        <v>673</v>
      </c>
      <c r="B331" s="28" t="s">
        <v>78</v>
      </c>
      <c r="C331" s="28" t="s">
        <v>12</v>
      </c>
      <c r="D331" s="26" t="s">
        <v>674</v>
      </c>
      <c r="E331" s="37" t="s">
        <v>678</v>
      </c>
      <c r="F331" s="52">
        <v>43832</v>
      </c>
      <c r="G331" s="52" t="s">
        <v>679</v>
      </c>
      <c r="H331" s="32" t="str">
        <f t="shared" si="9"/>
        <v>EVEN</v>
      </c>
      <c r="I331" s="103">
        <v>0</v>
      </c>
      <c r="J331" s="3" t="str">
        <f>UPPER(TEXT(F331,"mmm")) &amp; " - " &amp; UPPER(TEXT(G331,"mmm"))</f>
        <v>JAN - FEB</v>
      </c>
      <c r="K331" s="3" t="s">
        <v>563</v>
      </c>
      <c r="L331" s="32" t="s">
        <v>16</v>
      </c>
      <c r="M331" s="32" t="str">
        <f t="shared" si="10"/>
        <v>No</v>
      </c>
      <c r="N331" s="32">
        <f>G331 - F331</f>
        <v>58</v>
      </c>
      <c r="O331">
        <v>1</v>
      </c>
    </row>
    <row r="332" spans="1:15" ht="27" x14ac:dyDescent="0.3">
      <c r="A332" s="26" t="s">
        <v>680</v>
      </c>
      <c r="B332" s="28" t="s">
        <v>78</v>
      </c>
      <c r="C332" s="28" t="s">
        <v>12</v>
      </c>
      <c r="D332" s="26" t="s">
        <v>674</v>
      </c>
      <c r="E332" s="37" t="s">
        <v>678</v>
      </c>
      <c r="F332" s="52">
        <v>43832</v>
      </c>
      <c r="G332" s="52" t="s">
        <v>679</v>
      </c>
      <c r="H332" s="32" t="str">
        <f t="shared" si="9"/>
        <v>EVEN</v>
      </c>
      <c r="I332" s="103">
        <v>0</v>
      </c>
      <c r="J332" s="3" t="str">
        <f>UPPER(TEXT(F332,"mmm")) &amp; " - " &amp; UPPER(TEXT(G332,"mmm"))</f>
        <v>JAN - FEB</v>
      </c>
      <c r="K332" s="3" t="s">
        <v>563</v>
      </c>
      <c r="L332" s="32" t="s">
        <v>16</v>
      </c>
      <c r="M332" s="32" t="str">
        <f t="shared" si="10"/>
        <v>No</v>
      </c>
      <c r="N332" s="32">
        <f>G332 - F332</f>
        <v>58</v>
      </c>
      <c r="O332">
        <v>1</v>
      </c>
    </row>
    <row r="333" spans="1:15" x14ac:dyDescent="0.3">
      <c r="A333" s="26" t="s">
        <v>681</v>
      </c>
      <c r="B333" s="28" t="s">
        <v>78</v>
      </c>
      <c r="C333" s="28" t="s">
        <v>12</v>
      </c>
      <c r="D333" s="26" t="s">
        <v>682</v>
      </c>
      <c r="E333" s="37" t="s">
        <v>480</v>
      </c>
      <c r="F333" s="52">
        <v>43472</v>
      </c>
      <c r="G333" s="52">
        <v>43836</v>
      </c>
      <c r="H333" s="32" t="str">
        <f t="shared" si="9"/>
        <v>EVEN</v>
      </c>
      <c r="I333" s="103">
        <v>0</v>
      </c>
      <c r="J333" s="3" t="str">
        <f>UPPER(TEXT(F333,"mmm")) &amp; " - " &amp; UPPER(TEXT(G333,"mmm"))</f>
        <v>JAN - JAN</v>
      </c>
      <c r="K333" s="3" t="s">
        <v>563</v>
      </c>
      <c r="L333" s="32" t="s">
        <v>16</v>
      </c>
      <c r="M333" s="32" t="str">
        <f t="shared" si="10"/>
        <v>No</v>
      </c>
      <c r="N333" s="32">
        <f>G333 - F333</f>
        <v>364</v>
      </c>
      <c r="O333">
        <v>1</v>
      </c>
    </row>
    <row r="334" spans="1:15" ht="27" x14ac:dyDescent="0.3">
      <c r="A334" s="43" t="s">
        <v>683</v>
      </c>
      <c r="B334" s="29" t="s">
        <v>78</v>
      </c>
      <c r="C334" s="44" t="s">
        <v>12</v>
      </c>
      <c r="D334" s="25" t="s">
        <v>661</v>
      </c>
      <c r="E334" s="1" t="s">
        <v>662</v>
      </c>
      <c r="F334" s="52">
        <v>43815</v>
      </c>
      <c r="G334" s="52">
        <v>43845</v>
      </c>
      <c r="H334" s="32" t="str">
        <f t="shared" si="9"/>
        <v>ODD</v>
      </c>
      <c r="I334" s="103">
        <v>0</v>
      </c>
      <c r="J334" s="3" t="str">
        <f>UPPER(TEXT(F334,"mmm")) &amp; " - " &amp; UPPER(TEXT(G334,"mmm"))</f>
        <v>DEC - JAN</v>
      </c>
      <c r="K334" s="3" t="s">
        <v>563</v>
      </c>
      <c r="L334" s="32" t="s">
        <v>16</v>
      </c>
      <c r="M334" s="32" t="str">
        <f t="shared" si="10"/>
        <v>No</v>
      </c>
      <c r="N334" s="32">
        <f>G334 - F334</f>
        <v>30</v>
      </c>
      <c r="O334">
        <v>1</v>
      </c>
    </row>
    <row r="335" spans="1:15" x14ac:dyDescent="0.3">
      <c r="A335" s="26" t="s">
        <v>684</v>
      </c>
      <c r="B335" s="28" t="s">
        <v>78</v>
      </c>
      <c r="C335" s="28" t="s">
        <v>12</v>
      </c>
      <c r="D335" s="26" t="s">
        <v>593</v>
      </c>
      <c r="E335" s="37" t="s">
        <v>685</v>
      </c>
      <c r="F335" s="52" t="s">
        <v>666</v>
      </c>
      <c r="G335" s="52" t="s">
        <v>686</v>
      </c>
      <c r="H335" s="32" t="str">
        <f t="shared" si="9"/>
        <v>EVEN</v>
      </c>
      <c r="I335" s="103">
        <v>0</v>
      </c>
      <c r="J335" s="3" t="str">
        <f>UPPER(TEXT(F335,"mmm")) &amp; " - " &amp; UPPER(TEXT(G335,"mmm"))</f>
        <v>MAY - JUL</v>
      </c>
      <c r="K335" s="3" t="s">
        <v>563</v>
      </c>
      <c r="L335" s="32" t="s">
        <v>16</v>
      </c>
      <c r="M335" s="32" t="str">
        <f t="shared" si="10"/>
        <v>No</v>
      </c>
      <c r="N335" s="32">
        <f>G335 - F335</f>
        <v>73</v>
      </c>
      <c r="O335">
        <v>1</v>
      </c>
    </row>
    <row r="336" spans="1:15" ht="40.200000000000003" x14ac:dyDescent="0.3">
      <c r="A336" s="26" t="s">
        <v>53</v>
      </c>
      <c r="B336" s="28" t="s">
        <v>78</v>
      </c>
      <c r="C336" s="28" t="s">
        <v>12</v>
      </c>
      <c r="D336" s="26" t="s">
        <v>687</v>
      </c>
      <c r="E336" s="37" t="s">
        <v>688</v>
      </c>
      <c r="F336" s="52">
        <v>36708</v>
      </c>
      <c r="G336" s="52" t="s">
        <v>689</v>
      </c>
      <c r="H336" s="32" t="str">
        <f t="shared" si="9"/>
        <v>EVEN</v>
      </c>
      <c r="I336" s="103">
        <v>0</v>
      </c>
      <c r="J336" s="3" t="str">
        <f>UPPER(TEXT(F336,"mmm")) &amp; " - " &amp; UPPER(TEXT(G336,"mmm"))</f>
        <v>JUL - MAR</v>
      </c>
      <c r="K336" s="3" t="s">
        <v>563</v>
      </c>
      <c r="L336" s="32" t="s">
        <v>16</v>
      </c>
      <c r="M336" s="32" t="str">
        <f t="shared" si="10"/>
        <v>No</v>
      </c>
      <c r="N336" s="32">
        <f>G336 - F336</f>
        <v>7212</v>
      </c>
      <c r="O336">
        <v>1</v>
      </c>
    </row>
    <row r="337" spans="1:17" x14ac:dyDescent="0.3">
      <c r="A337" s="26" t="s">
        <v>690</v>
      </c>
      <c r="B337" s="28" t="s">
        <v>78</v>
      </c>
      <c r="C337" s="28" t="s">
        <v>12</v>
      </c>
      <c r="D337" s="26" t="s">
        <v>691</v>
      </c>
      <c r="E337" s="37" t="s">
        <v>171</v>
      </c>
      <c r="F337" s="52" t="s">
        <v>692</v>
      </c>
      <c r="G337" s="52" t="s">
        <v>693</v>
      </c>
      <c r="H337" s="32" t="str">
        <f t="shared" si="9"/>
        <v>EVEN</v>
      </c>
      <c r="I337" s="103">
        <v>0</v>
      </c>
      <c r="J337" s="3" t="str">
        <f>UPPER(TEXT(F337,"mmm")) &amp; " - " &amp; UPPER(TEXT(G337,"mmm"))</f>
        <v>DEC - MAR</v>
      </c>
      <c r="K337" s="3" t="s">
        <v>563</v>
      </c>
      <c r="L337" s="32" t="s">
        <v>16</v>
      </c>
      <c r="M337" s="32" t="str">
        <f t="shared" si="10"/>
        <v>No</v>
      </c>
      <c r="N337" s="32">
        <f>G337 - F337</f>
        <v>82</v>
      </c>
      <c r="O337">
        <v>1</v>
      </c>
    </row>
    <row r="338" spans="1:17" ht="40.200000000000003" x14ac:dyDescent="0.3">
      <c r="A338" s="26" t="s">
        <v>57</v>
      </c>
      <c r="B338" s="28" t="s">
        <v>78</v>
      </c>
      <c r="C338" s="28" t="s">
        <v>12</v>
      </c>
      <c r="D338" s="26" t="s">
        <v>694</v>
      </c>
      <c r="E338" s="37" t="s">
        <v>695</v>
      </c>
      <c r="F338" s="52">
        <v>43815</v>
      </c>
      <c r="G338" s="52">
        <v>43877</v>
      </c>
      <c r="H338" s="32" t="str">
        <f t="shared" si="9"/>
        <v>ODD</v>
      </c>
      <c r="I338" s="103">
        <v>0</v>
      </c>
      <c r="J338" s="3" t="str">
        <f>UPPER(TEXT(F338,"mmm")) &amp; " - " &amp; UPPER(TEXT(G338,"mmm"))</f>
        <v>DEC - FEB</v>
      </c>
      <c r="K338" s="3" t="s">
        <v>563</v>
      </c>
      <c r="L338" s="32" t="s">
        <v>16</v>
      </c>
      <c r="M338" s="32" t="str">
        <f t="shared" si="10"/>
        <v>No</v>
      </c>
      <c r="N338" s="32">
        <f>G338 - F338</f>
        <v>62</v>
      </c>
      <c r="O338">
        <v>1</v>
      </c>
    </row>
    <row r="339" spans="1:17" x14ac:dyDescent="0.3">
      <c r="A339" s="26" t="s">
        <v>57</v>
      </c>
      <c r="B339" s="28" t="s">
        <v>78</v>
      </c>
      <c r="C339" s="28" t="s">
        <v>12</v>
      </c>
      <c r="D339" s="26" t="s">
        <v>170</v>
      </c>
      <c r="E339" s="37" t="s">
        <v>696</v>
      </c>
      <c r="F339" s="52" t="s">
        <v>697</v>
      </c>
      <c r="G339" s="52" t="s">
        <v>698</v>
      </c>
      <c r="H339" s="32" t="str">
        <f t="shared" si="9"/>
        <v>EVEN</v>
      </c>
      <c r="I339" s="103">
        <v>0</v>
      </c>
      <c r="J339" s="3" t="str">
        <f>UPPER(TEXT(F339,"mmm")) &amp; " - " &amp; UPPER(TEXT(G339,"mmm"))</f>
        <v>DEC - FEB</v>
      </c>
      <c r="K339" s="3" t="s">
        <v>563</v>
      </c>
      <c r="L339" s="32" t="s">
        <v>16</v>
      </c>
      <c r="M339" s="32" t="str">
        <f t="shared" si="10"/>
        <v>No</v>
      </c>
      <c r="N339" s="32">
        <f>G339 - F339</f>
        <v>77</v>
      </c>
      <c r="O339">
        <v>1</v>
      </c>
    </row>
    <row r="340" spans="1:17" x14ac:dyDescent="0.3">
      <c r="A340" s="26" t="s">
        <v>699</v>
      </c>
      <c r="B340" s="28" t="s">
        <v>78</v>
      </c>
      <c r="C340" s="28" t="s">
        <v>12</v>
      </c>
      <c r="D340" s="26" t="s">
        <v>170</v>
      </c>
      <c r="E340" s="37" t="s">
        <v>700</v>
      </c>
      <c r="F340" s="52" t="s">
        <v>697</v>
      </c>
      <c r="G340" s="52" t="s">
        <v>698</v>
      </c>
      <c r="H340" s="32" t="str">
        <f t="shared" si="9"/>
        <v>EVEN</v>
      </c>
      <c r="I340" s="103">
        <v>0</v>
      </c>
      <c r="J340" s="3" t="str">
        <f>UPPER(TEXT(F340,"mmm")) &amp; " - " &amp; UPPER(TEXT(G340,"mmm"))</f>
        <v>DEC - FEB</v>
      </c>
      <c r="K340" s="3" t="s">
        <v>563</v>
      </c>
      <c r="L340" s="32" t="s">
        <v>16</v>
      </c>
      <c r="M340" s="32" t="str">
        <f t="shared" si="10"/>
        <v>No</v>
      </c>
      <c r="N340" s="32">
        <f>G340 - F340</f>
        <v>77</v>
      </c>
      <c r="O340">
        <v>1</v>
      </c>
    </row>
    <row r="341" spans="1:17" x14ac:dyDescent="0.3">
      <c r="A341" s="25" t="s">
        <v>35</v>
      </c>
      <c r="B341" s="3" t="s">
        <v>78</v>
      </c>
      <c r="C341" s="44" t="s">
        <v>12</v>
      </c>
      <c r="D341" s="25" t="s">
        <v>701</v>
      </c>
      <c r="E341" s="25" t="s">
        <v>640</v>
      </c>
      <c r="F341" s="52">
        <v>43678</v>
      </c>
      <c r="G341" s="52">
        <v>43770</v>
      </c>
      <c r="H341" s="32" t="str">
        <f t="shared" si="9"/>
        <v>ODD</v>
      </c>
      <c r="I341" s="103">
        <v>0</v>
      </c>
      <c r="J341" s="3" t="str">
        <f>UPPER(TEXT(F341,"mmm")) &amp; " - " &amp; UPPER(TEXT(G341,"mmm"))</f>
        <v>AUG - NOV</v>
      </c>
      <c r="K341" s="3" t="s">
        <v>563</v>
      </c>
      <c r="L341" s="32" t="s">
        <v>16</v>
      </c>
      <c r="M341" s="32" t="str">
        <f t="shared" si="10"/>
        <v>No</v>
      </c>
      <c r="N341" s="32">
        <f>G341 - F341</f>
        <v>92</v>
      </c>
      <c r="O341">
        <v>1</v>
      </c>
    </row>
    <row r="342" spans="1:17" x14ac:dyDescent="0.3">
      <c r="A342" s="41" t="s">
        <v>702</v>
      </c>
      <c r="B342" s="15" t="s">
        <v>78</v>
      </c>
      <c r="C342" s="39" t="s">
        <v>12</v>
      </c>
      <c r="D342" s="41" t="s">
        <v>639</v>
      </c>
      <c r="E342" s="42" t="s">
        <v>640</v>
      </c>
      <c r="F342" s="71">
        <v>43822</v>
      </c>
      <c r="G342" s="71">
        <v>43990</v>
      </c>
      <c r="H342" s="32" t="str">
        <f t="shared" si="9"/>
        <v>ODD</v>
      </c>
      <c r="I342" s="103">
        <v>0</v>
      </c>
      <c r="J342" s="3" t="str">
        <f>UPPER(TEXT(F342,"mmm")) &amp; " - " &amp; UPPER(TEXT(G342,"mmm"))</f>
        <v>DEC - JUN</v>
      </c>
      <c r="K342" s="3" t="s">
        <v>563</v>
      </c>
      <c r="L342" s="32" t="s">
        <v>16</v>
      </c>
      <c r="M342" s="32" t="str">
        <f t="shared" si="10"/>
        <v>No</v>
      </c>
      <c r="N342" s="32">
        <f>G342 - F342</f>
        <v>168</v>
      </c>
      <c r="O342">
        <v>1</v>
      </c>
    </row>
    <row r="343" spans="1:17" x14ac:dyDescent="0.3">
      <c r="A343" s="26" t="s">
        <v>703</v>
      </c>
      <c r="B343" s="28" t="s">
        <v>78</v>
      </c>
      <c r="C343" s="28" t="s">
        <v>12</v>
      </c>
      <c r="D343" s="26" t="s">
        <v>170</v>
      </c>
      <c r="E343" s="37" t="s">
        <v>704</v>
      </c>
      <c r="F343" s="52" t="s">
        <v>697</v>
      </c>
      <c r="G343" s="52" t="s">
        <v>698</v>
      </c>
      <c r="H343" s="32" t="str">
        <f t="shared" si="9"/>
        <v>EVEN</v>
      </c>
      <c r="I343" s="103">
        <v>0</v>
      </c>
      <c r="J343" s="3" t="str">
        <f>UPPER(TEXT(F343,"mmm")) &amp; " - " &amp; UPPER(TEXT(G343,"mmm"))</f>
        <v>DEC - FEB</v>
      </c>
      <c r="K343" s="3" t="s">
        <v>563</v>
      </c>
      <c r="L343" s="32" t="s">
        <v>16</v>
      </c>
      <c r="M343" s="32" t="str">
        <f t="shared" si="10"/>
        <v>No</v>
      </c>
      <c r="N343" s="32">
        <f>G343 - F343</f>
        <v>77</v>
      </c>
      <c r="O343">
        <v>1</v>
      </c>
    </row>
    <row r="344" spans="1:17" x14ac:dyDescent="0.3">
      <c r="A344" s="26" t="s">
        <v>705</v>
      </c>
      <c r="B344" s="28" t="s">
        <v>78</v>
      </c>
      <c r="C344" s="28" t="s">
        <v>12</v>
      </c>
      <c r="D344" s="26" t="s">
        <v>170</v>
      </c>
      <c r="E344" s="37" t="s">
        <v>696</v>
      </c>
      <c r="F344" s="52" t="s">
        <v>697</v>
      </c>
      <c r="G344" s="52" t="s">
        <v>698</v>
      </c>
      <c r="H344" s="32" t="str">
        <f t="shared" si="9"/>
        <v>EVEN</v>
      </c>
      <c r="I344" s="103">
        <v>0</v>
      </c>
      <c r="J344" s="3" t="str">
        <f>UPPER(TEXT(F344,"mmm")) &amp; " - " &amp; UPPER(TEXT(G344,"mmm"))</f>
        <v>DEC - FEB</v>
      </c>
      <c r="K344" s="3" t="s">
        <v>563</v>
      </c>
      <c r="L344" s="32" t="s">
        <v>16</v>
      </c>
      <c r="M344" s="32" t="str">
        <f t="shared" si="10"/>
        <v>No</v>
      </c>
      <c r="N344" s="32">
        <f>G344 - F344</f>
        <v>77</v>
      </c>
      <c r="O344">
        <v>1</v>
      </c>
    </row>
    <row r="345" spans="1:17" ht="40.200000000000003" x14ac:dyDescent="0.3">
      <c r="A345" s="26" t="s">
        <v>61</v>
      </c>
      <c r="B345" s="28" t="s">
        <v>78</v>
      </c>
      <c r="C345" s="28" t="s">
        <v>12</v>
      </c>
      <c r="D345" s="26" t="s">
        <v>687</v>
      </c>
      <c r="E345" s="37" t="s">
        <v>688</v>
      </c>
      <c r="F345" s="52">
        <v>43920</v>
      </c>
      <c r="G345" s="52">
        <v>44013</v>
      </c>
      <c r="H345" s="32" t="str">
        <f t="shared" si="9"/>
        <v>EVEN</v>
      </c>
      <c r="I345" s="103">
        <v>0</v>
      </c>
      <c r="J345" s="3" t="str">
        <f>UPPER(TEXT(F345,"mmm")) &amp; " - " &amp; UPPER(TEXT(G345,"mmm"))</f>
        <v>MAR - JUL</v>
      </c>
      <c r="K345" s="3" t="s">
        <v>563</v>
      </c>
      <c r="L345" s="32" t="s">
        <v>16</v>
      </c>
      <c r="M345" s="32" t="str">
        <f t="shared" si="10"/>
        <v>No</v>
      </c>
      <c r="N345" s="32">
        <f>G345 - F345</f>
        <v>93</v>
      </c>
      <c r="O345">
        <v>1</v>
      </c>
      <c r="Q345" s="52"/>
    </row>
    <row r="346" spans="1:17" ht="27" x14ac:dyDescent="0.3">
      <c r="A346" s="26" t="s">
        <v>62</v>
      </c>
      <c r="B346" s="29" t="s">
        <v>78</v>
      </c>
      <c r="C346" s="44" t="s">
        <v>12</v>
      </c>
      <c r="D346" s="25" t="s">
        <v>661</v>
      </c>
      <c r="E346" s="1" t="s">
        <v>662</v>
      </c>
      <c r="F346" s="52">
        <v>43815</v>
      </c>
      <c r="G346" s="52">
        <v>43845</v>
      </c>
      <c r="H346" s="32" t="str">
        <f t="shared" si="9"/>
        <v>ODD</v>
      </c>
      <c r="I346" s="103">
        <v>0</v>
      </c>
      <c r="J346" s="3" t="str">
        <f>UPPER(TEXT(F346,"mmm")) &amp; " - " &amp; UPPER(TEXT(G346,"mmm"))</f>
        <v>DEC - JAN</v>
      </c>
      <c r="K346" s="3" t="s">
        <v>563</v>
      </c>
      <c r="L346" s="32" t="s">
        <v>16</v>
      </c>
      <c r="M346" s="32" t="str">
        <f t="shared" si="10"/>
        <v>No</v>
      </c>
      <c r="N346" s="32">
        <f>G346 - F346</f>
        <v>30</v>
      </c>
      <c r="O346">
        <v>1</v>
      </c>
    </row>
    <row r="347" spans="1:17" ht="27" x14ac:dyDescent="0.3">
      <c r="A347" s="26" t="s">
        <v>63</v>
      </c>
      <c r="B347" s="28" t="s">
        <v>78</v>
      </c>
      <c r="C347" s="28" t="s">
        <v>12</v>
      </c>
      <c r="D347" s="26" t="s">
        <v>687</v>
      </c>
      <c r="E347" s="37" t="s">
        <v>706</v>
      </c>
      <c r="F347" s="52" t="s">
        <v>689</v>
      </c>
      <c r="G347" s="52">
        <v>44013</v>
      </c>
      <c r="H347" s="32" t="str">
        <f t="shared" si="9"/>
        <v>EVEN</v>
      </c>
      <c r="I347" s="103">
        <v>0</v>
      </c>
      <c r="J347" s="3" t="str">
        <f>UPPER(TEXT(F347,"mmm")) &amp; " - " &amp; UPPER(TEXT(G347,"mmm"))</f>
        <v>MAR - JUL</v>
      </c>
      <c r="K347" s="3" t="s">
        <v>563</v>
      </c>
      <c r="L347" s="32" t="s">
        <v>16</v>
      </c>
      <c r="M347" s="32" t="str">
        <f t="shared" si="10"/>
        <v>No</v>
      </c>
      <c r="N347" s="32">
        <f>G347 - F347</f>
        <v>93</v>
      </c>
      <c r="O347">
        <v>1</v>
      </c>
      <c r="P347" s="52"/>
      <c r="Q347" s="52"/>
    </row>
    <row r="348" spans="1:17" x14ac:dyDescent="0.3">
      <c r="A348" s="26" t="s">
        <v>707</v>
      </c>
      <c r="B348" s="28" t="s">
        <v>78</v>
      </c>
      <c r="C348" s="28" t="s">
        <v>12</v>
      </c>
      <c r="D348" s="26" t="s">
        <v>708</v>
      </c>
      <c r="E348" s="37" t="s">
        <v>171</v>
      </c>
      <c r="F348" s="52" t="s">
        <v>692</v>
      </c>
      <c r="G348" s="52" t="s">
        <v>693</v>
      </c>
      <c r="H348" s="32" t="str">
        <f t="shared" si="9"/>
        <v>EVEN</v>
      </c>
      <c r="I348" s="103">
        <v>0</v>
      </c>
      <c r="J348" s="3" t="str">
        <f>UPPER(TEXT(F348,"mmm")) &amp; " - " &amp; UPPER(TEXT(G348,"mmm"))</f>
        <v>DEC - MAR</v>
      </c>
      <c r="K348" s="3" t="s">
        <v>563</v>
      </c>
      <c r="L348" s="32" t="s">
        <v>16</v>
      </c>
      <c r="M348" s="32" t="str">
        <f t="shared" si="10"/>
        <v>No</v>
      </c>
      <c r="N348" s="32">
        <f>G348 - F348</f>
        <v>82</v>
      </c>
      <c r="O348">
        <v>1</v>
      </c>
    </row>
    <row r="349" spans="1:17" ht="40.200000000000003" x14ac:dyDescent="0.3">
      <c r="A349" s="26" t="s">
        <v>381</v>
      </c>
      <c r="B349" s="28" t="s">
        <v>78</v>
      </c>
      <c r="C349" s="28" t="s">
        <v>12</v>
      </c>
      <c r="D349" s="26" t="s">
        <v>25</v>
      </c>
      <c r="E349" s="37" t="s">
        <v>667</v>
      </c>
      <c r="F349" s="52" t="s">
        <v>668</v>
      </c>
      <c r="G349" s="52" t="s">
        <v>669</v>
      </c>
      <c r="H349" s="32" t="str">
        <f t="shared" si="9"/>
        <v>EVEN</v>
      </c>
      <c r="I349" s="103">
        <v>0</v>
      </c>
      <c r="J349" s="3" t="str">
        <f>UPPER(TEXT(F349,"mmm")) &amp; " - " &amp; UPPER(TEXT(G349,"mmm"))</f>
        <v>APR - MAY</v>
      </c>
      <c r="K349" s="3" t="s">
        <v>563</v>
      </c>
      <c r="L349" s="32" t="s">
        <v>16</v>
      </c>
      <c r="M349" s="32" t="str">
        <f t="shared" si="10"/>
        <v>No</v>
      </c>
      <c r="N349" s="32">
        <f>G349 - F349</f>
        <v>28</v>
      </c>
      <c r="O349">
        <v>1</v>
      </c>
    </row>
    <row r="350" spans="1:17" ht="27" x14ac:dyDescent="0.3">
      <c r="A350" s="26" t="s">
        <v>709</v>
      </c>
      <c r="B350" s="28" t="s">
        <v>78</v>
      </c>
      <c r="C350" s="28" t="s">
        <v>12</v>
      </c>
      <c r="D350" s="26" t="s">
        <v>674</v>
      </c>
      <c r="E350" s="37" t="s">
        <v>710</v>
      </c>
      <c r="F350" s="52">
        <v>43864</v>
      </c>
      <c r="G350" s="52">
        <v>44022</v>
      </c>
      <c r="H350" s="32" t="str">
        <f t="shared" si="9"/>
        <v>EVEN</v>
      </c>
      <c r="I350" s="103">
        <v>0</v>
      </c>
      <c r="J350" s="3" t="str">
        <f>UPPER(TEXT(F350,"mmm")) &amp; " - " &amp; UPPER(TEXT(G350,"mmm"))</f>
        <v>FEB - JUL</v>
      </c>
      <c r="K350" s="3" t="s">
        <v>563</v>
      </c>
      <c r="L350" s="32" t="s">
        <v>16</v>
      </c>
      <c r="M350" s="32" t="str">
        <f t="shared" si="10"/>
        <v>No</v>
      </c>
      <c r="N350" s="32">
        <f>G350 - F350</f>
        <v>158</v>
      </c>
      <c r="O350">
        <v>1</v>
      </c>
    </row>
    <row r="351" spans="1:17" ht="40.200000000000003" x14ac:dyDescent="0.3">
      <c r="A351" s="26" t="s">
        <v>376</v>
      </c>
      <c r="B351" s="28" t="s">
        <v>78</v>
      </c>
      <c r="C351" s="28" t="s">
        <v>12</v>
      </c>
      <c r="D351" s="26" t="s">
        <v>605</v>
      </c>
      <c r="E351" s="37" t="s">
        <v>667</v>
      </c>
      <c r="F351" s="52" t="s">
        <v>668</v>
      </c>
      <c r="G351" s="52" t="s">
        <v>669</v>
      </c>
      <c r="H351" s="32" t="str">
        <f t="shared" si="9"/>
        <v>EVEN</v>
      </c>
      <c r="I351" s="103">
        <v>0</v>
      </c>
      <c r="J351" s="3" t="str">
        <f>UPPER(TEXT(F351,"mmm")) &amp; " - " &amp; UPPER(TEXT(G351,"mmm"))</f>
        <v>APR - MAY</v>
      </c>
      <c r="K351" s="3" t="s">
        <v>563</v>
      </c>
      <c r="L351" s="32" t="s">
        <v>16</v>
      </c>
      <c r="M351" s="32" t="str">
        <f t="shared" si="10"/>
        <v>No</v>
      </c>
      <c r="N351" s="32">
        <f>G351 - F351</f>
        <v>28</v>
      </c>
      <c r="O351">
        <v>1</v>
      </c>
    </row>
    <row r="352" spans="1:17" ht="27" x14ac:dyDescent="0.3">
      <c r="A352" s="26" t="s">
        <v>333</v>
      </c>
      <c r="B352" s="28" t="s">
        <v>78</v>
      </c>
      <c r="C352" s="28" t="s">
        <v>12</v>
      </c>
      <c r="D352" s="26" t="s">
        <v>73</v>
      </c>
      <c r="E352" s="37" t="s">
        <v>711</v>
      </c>
      <c r="F352" s="52" t="s">
        <v>712</v>
      </c>
      <c r="G352" s="52">
        <v>44167</v>
      </c>
      <c r="H352" s="32" t="str">
        <f t="shared" si="9"/>
        <v>EVEN</v>
      </c>
      <c r="I352" s="103">
        <v>0</v>
      </c>
      <c r="J352" s="3" t="str">
        <f>UPPER(TEXT(F352,"mmm")) &amp; " - " &amp; UPPER(TEXT(G352,"mmm"))</f>
        <v>DEC - DEC</v>
      </c>
      <c r="K352" s="3" t="s">
        <v>563</v>
      </c>
      <c r="L352" s="32" t="s">
        <v>16</v>
      </c>
      <c r="M352" s="32" t="str">
        <f t="shared" si="10"/>
        <v>No</v>
      </c>
      <c r="N352" s="32">
        <f>G352 - F352</f>
        <v>352</v>
      </c>
      <c r="O352">
        <v>1</v>
      </c>
    </row>
    <row r="353" spans="1:17" x14ac:dyDescent="0.3">
      <c r="A353" s="26" t="s">
        <v>713</v>
      </c>
      <c r="B353" s="28" t="s">
        <v>78</v>
      </c>
      <c r="C353" s="28" t="s">
        <v>12</v>
      </c>
      <c r="D353" s="26" t="s">
        <v>86</v>
      </c>
      <c r="E353" s="37" t="s">
        <v>165</v>
      </c>
      <c r="F353" s="52" t="s">
        <v>697</v>
      </c>
      <c r="G353" s="52">
        <v>43837</v>
      </c>
      <c r="H353" s="32" t="str">
        <f t="shared" si="9"/>
        <v>EVEN</v>
      </c>
      <c r="I353" s="103">
        <v>0</v>
      </c>
      <c r="J353" s="3" t="str">
        <f>UPPER(TEXT(F353,"mmm")) &amp; " - " &amp; UPPER(TEXT(G353,"mmm"))</f>
        <v>DEC - JAN</v>
      </c>
      <c r="K353" s="3" t="s">
        <v>563</v>
      </c>
      <c r="L353" s="32" t="s">
        <v>16</v>
      </c>
      <c r="M353" s="32" t="str">
        <f t="shared" si="10"/>
        <v>No</v>
      </c>
      <c r="N353" s="32">
        <f>G353 - F353</f>
        <v>25</v>
      </c>
      <c r="O353">
        <v>1</v>
      </c>
    </row>
    <row r="354" spans="1:17" x14ac:dyDescent="0.3">
      <c r="A354" s="26" t="s">
        <v>327</v>
      </c>
      <c r="B354" s="28" t="s">
        <v>78</v>
      </c>
      <c r="C354" s="28" t="s">
        <v>12</v>
      </c>
      <c r="D354" s="26" t="s">
        <v>714</v>
      </c>
      <c r="E354" s="37" t="s">
        <v>715</v>
      </c>
      <c r="F354" s="52" t="s">
        <v>712</v>
      </c>
      <c r="G354" s="52">
        <v>44167</v>
      </c>
      <c r="H354" s="32" t="str">
        <f t="shared" si="9"/>
        <v>EVEN</v>
      </c>
      <c r="I354" s="103">
        <v>0</v>
      </c>
      <c r="J354" s="3" t="str">
        <f>UPPER(TEXT(F354,"mmm")) &amp; " - " &amp; UPPER(TEXT(G354,"mmm"))</f>
        <v>DEC - DEC</v>
      </c>
      <c r="K354" s="3" t="s">
        <v>563</v>
      </c>
      <c r="L354" s="32" t="s">
        <v>16</v>
      </c>
      <c r="M354" s="32" t="str">
        <f t="shared" si="10"/>
        <v>No</v>
      </c>
      <c r="N354" s="32">
        <f>G354 - F354</f>
        <v>352</v>
      </c>
      <c r="O354">
        <v>1</v>
      </c>
    </row>
    <row r="355" spans="1:17" x14ac:dyDescent="0.3">
      <c r="A355" s="26" t="s">
        <v>716</v>
      </c>
      <c r="B355" s="28" t="s">
        <v>78</v>
      </c>
      <c r="C355" s="28" t="s">
        <v>12</v>
      </c>
      <c r="D355" s="26" t="s">
        <v>717</v>
      </c>
      <c r="E355" s="37" t="s">
        <v>718</v>
      </c>
      <c r="F355" s="52">
        <v>43474</v>
      </c>
      <c r="G355" s="52">
        <v>43836</v>
      </c>
      <c r="H355" s="32" t="str">
        <f t="shared" si="9"/>
        <v>EVEN</v>
      </c>
      <c r="I355" s="103">
        <v>0</v>
      </c>
      <c r="J355" s="3" t="str">
        <f>UPPER(TEXT(F355,"mmm")) &amp; " - " &amp; UPPER(TEXT(G355,"mmm"))</f>
        <v>JAN - JAN</v>
      </c>
      <c r="K355" s="3" t="s">
        <v>563</v>
      </c>
      <c r="L355" s="32" t="s">
        <v>16</v>
      </c>
      <c r="M355" s="32" t="str">
        <f t="shared" si="10"/>
        <v>No</v>
      </c>
      <c r="N355" s="32">
        <f>G355 - F355</f>
        <v>362</v>
      </c>
      <c r="O355">
        <v>1</v>
      </c>
    </row>
    <row r="356" spans="1:17" ht="27" x14ac:dyDescent="0.3">
      <c r="A356" s="26" t="s">
        <v>716</v>
      </c>
      <c r="B356" s="28" t="s">
        <v>78</v>
      </c>
      <c r="C356" s="28" t="s">
        <v>12</v>
      </c>
      <c r="D356" s="26" t="s">
        <v>717</v>
      </c>
      <c r="E356" s="37" t="s">
        <v>719</v>
      </c>
      <c r="F356" s="52" t="s">
        <v>720</v>
      </c>
      <c r="G356" s="52" t="s">
        <v>721</v>
      </c>
      <c r="H356" s="32" t="str">
        <f t="shared" si="9"/>
        <v>EVEN</v>
      </c>
      <c r="I356" s="103">
        <v>0</v>
      </c>
      <c r="J356" s="3" t="str">
        <f>UPPER(TEXT(F356,"mmm")) &amp; " - " &amp; UPPER(TEXT(G356,"mmm"))</f>
        <v>JAN - JAN</v>
      </c>
      <c r="K356" s="3" t="s">
        <v>563</v>
      </c>
      <c r="L356" s="32" t="s">
        <v>16</v>
      </c>
      <c r="M356" s="32" t="str">
        <f t="shared" si="10"/>
        <v>No</v>
      </c>
      <c r="N356" s="32">
        <f>G356 - F356</f>
        <v>5</v>
      </c>
      <c r="O356">
        <v>1</v>
      </c>
    </row>
    <row r="357" spans="1:17" ht="27" x14ac:dyDescent="0.3">
      <c r="A357" s="26" t="s">
        <v>722</v>
      </c>
      <c r="B357" s="28" t="s">
        <v>78</v>
      </c>
      <c r="C357" s="28" t="s">
        <v>12</v>
      </c>
      <c r="D357" s="26" t="s">
        <v>723</v>
      </c>
      <c r="E357" s="37" t="s">
        <v>724</v>
      </c>
      <c r="F357" s="52">
        <v>43957</v>
      </c>
      <c r="G357" s="52">
        <v>44111</v>
      </c>
      <c r="H357" s="32" t="str">
        <f t="shared" si="9"/>
        <v>EVEN</v>
      </c>
      <c r="I357" s="103">
        <v>0</v>
      </c>
      <c r="J357" s="3" t="str">
        <f>UPPER(TEXT(F357,"mmm")) &amp; " - " &amp; UPPER(TEXT(G357,"mmm"))</f>
        <v>MAY - OCT</v>
      </c>
      <c r="K357" s="3" t="s">
        <v>563</v>
      </c>
      <c r="L357" s="32" t="s">
        <v>16</v>
      </c>
      <c r="M357" s="32" t="str">
        <f t="shared" si="10"/>
        <v>No</v>
      </c>
      <c r="N357" s="32">
        <f>G357 - F357</f>
        <v>154</v>
      </c>
      <c r="O357">
        <v>1</v>
      </c>
    </row>
    <row r="358" spans="1:17" ht="27" x14ac:dyDescent="0.3">
      <c r="A358" s="26" t="s">
        <v>725</v>
      </c>
      <c r="B358" s="28" t="s">
        <v>78</v>
      </c>
      <c r="C358" s="28" t="s">
        <v>12</v>
      </c>
      <c r="D358" s="26" t="s">
        <v>674</v>
      </c>
      <c r="E358" s="37" t="s">
        <v>726</v>
      </c>
      <c r="F358" s="52">
        <v>43832</v>
      </c>
      <c r="G358" s="52" t="s">
        <v>679</v>
      </c>
      <c r="H358" s="32" t="str">
        <f t="shared" si="9"/>
        <v>EVEN</v>
      </c>
      <c r="I358" s="103">
        <v>0</v>
      </c>
      <c r="J358" s="3" t="str">
        <f>UPPER(TEXT(F358,"mmm")) &amp; " - " &amp; UPPER(TEXT(G358,"mmm"))</f>
        <v>JAN - FEB</v>
      </c>
      <c r="K358" s="3" t="s">
        <v>563</v>
      </c>
      <c r="L358" s="32" t="s">
        <v>16</v>
      </c>
      <c r="M358" s="32" t="str">
        <f t="shared" si="10"/>
        <v>No</v>
      </c>
      <c r="N358" s="32">
        <f>G358 - F358</f>
        <v>58</v>
      </c>
      <c r="O358">
        <v>1</v>
      </c>
    </row>
    <row r="359" spans="1:17" x14ac:dyDescent="0.3">
      <c r="A359" s="26" t="s">
        <v>312</v>
      </c>
      <c r="B359" s="28" t="s">
        <v>11</v>
      </c>
      <c r="C359" s="28" t="s">
        <v>12</v>
      </c>
      <c r="D359" s="26" t="s">
        <v>25</v>
      </c>
      <c r="E359" s="37" t="s">
        <v>727</v>
      </c>
      <c r="F359" s="52">
        <v>43984</v>
      </c>
      <c r="G359" s="52">
        <v>44014</v>
      </c>
      <c r="H359" s="32" t="str">
        <f t="shared" si="9"/>
        <v>EVEN</v>
      </c>
      <c r="I359" s="103">
        <v>0</v>
      </c>
      <c r="J359" s="3" t="str">
        <f>UPPER(TEXT(F359,"mmm")) &amp; " - " &amp; UPPER(TEXT(G359,"mmm"))</f>
        <v>JUN - JUL</v>
      </c>
      <c r="K359" s="3" t="s">
        <v>563</v>
      </c>
      <c r="L359" s="32" t="s">
        <v>16</v>
      </c>
      <c r="M359" s="32" t="str">
        <f t="shared" si="10"/>
        <v>No</v>
      </c>
      <c r="N359" s="32">
        <f>G359 - F359</f>
        <v>30</v>
      </c>
      <c r="O359">
        <v>1</v>
      </c>
    </row>
    <row r="360" spans="1:17" ht="40.200000000000003" x14ac:dyDescent="0.3">
      <c r="A360" s="26" t="s">
        <v>133</v>
      </c>
      <c r="B360" s="28" t="s">
        <v>66</v>
      </c>
      <c r="C360" s="28" t="s">
        <v>12</v>
      </c>
      <c r="D360" s="26" t="s">
        <v>728</v>
      </c>
      <c r="E360" s="37" t="s">
        <v>729</v>
      </c>
      <c r="F360" s="52">
        <v>43936</v>
      </c>
      <c r="G360" s="52">
        <v>43997</v>
      </c>
      <c r="H360" s="32" t="str">
        <f t="shared" si="9"/>
        <v>EVEN</v>
      </c>
      <c r="I360" s="103">
        <v>0</v>
      </c>
      <c r="J360" s="3" t="str">
        <f>UPPER(TEXT(F360,"mmm")) &amp; " - " &amp; UPPER(TEXT(G360,"mmm"))</f>
        <v>APR - JUN</v>
      </c>
      <c r="K360" s="3" t="s">
        <v>563</v>
      </c>
      <c r="L360" s="32" t="s">
        <v>16</v>
      </c>
      <c r="M360" s="32" t="str">
        <f t="shared" si="10"/>
        <v>No</v>
      </c>
      <c r="N360" s="32">
        <f>G360 - F360</f>
        <v>61</v>
      </c>
      <c r="O360">
        <v>1</v>
      </c>
    </row>
    <row r="361" spans="1:17" x14ac:dyDescent="0.3">
      <c r="A361" s="26" t="s">
        <v>314</v>
      </c>
      <c r="B361" s="28" t="s">
        <v>66</v>
      </c>
      <c r="C361" s="28" t="s">
        <v>12</v>
      </c>
      <c r="D361" s="26" t="s">
        <v>170</v>
      </c>
      <c r="E361" s="37" t="s">
        <v>730</v>
      </c>
      <c r="F361" s="52" t="s">
        <v>731</v>
      </c>
      <c r="G361" s="52" t="s">
        <v>601</v>
      </c>
      <c r="H361" s="32" t="str">
        <f t="shared" si="9"/>
        <v>EVEN</v>
      </c>
      <c r="I361" s="103">
        <v>0</v>
      </c>
      <c r="J361" s="3" t="str">
        <f>UPPER(TEXT(F361,"mmm")) &amp; " - " &amp; UPPER(TEXT(G361,"mmm"))</f>
        <v>DEC - JUN</v>
      </c>
      <c r="K361" s="3" t="s">
        <v>563</v>
      </c>
      <c r="L361" s="32" t="s">
        <v>16</v>
      </c>
      <c r="M361" s="32" t="str">
        <f t="shared" si="10"/>
        <v>No</v>
      </c>
      <c r="N361" s="32">
        <f>G361 - F361</f>
        <v>198</v>
      </c>
      <c r="O361">
        <v>1</v>
      </c>
    </row>
    <row r="362" spans="1:17" x14ac:dyDescent="0.3">
      <c r="A362" s="26" t="s">
        <v>732</v>
      </c>
      <c r="B362" s="28" t="s">
        <v>11</v>
      </c>
      <c r="C362" s="28" t="s">
        <v>12</v>
      </c>
      <c r="D362" s="26" t="s">
        <v>25</v>
      </c>
      <c r="E362" s="37" t="s">
        <v>606</v>
      </c>
      <c r="F362" s="52">
        <v>43838</v>
      </c>
      <c r="G362" s="52" t="s">
        <v>733</v>
      </c>
      <c r="H362" s="32" t="str">
        <f t="shared" ref="H362:H425" si="11">IF((AND(F362&gt;=DATE(2019,7,15),F362&lt;=DATE(2019,12,31))),"ODD", "EVEN")</f>
        <v>EVEN</v>
      </c>
      <c r="I362" s="103">
        <v>0</v>
      </c>
      <c r="J362" s="3" t="str">
        <f>UPPER(TEXT(F362,"mmm")) &amp; " - " &amp; UPPER(TEXT(G362,"mmm"))</f>
        <v>JAN - JUN</v>
      </c>
      <c r="K362" s="3" t="s">
        <v>563</v>
      </c>
      <c r="L362" s="32" t="s">
        <v>16</v>
      </c>
      <c r="M362" s="32" t="str">
        <f t="shared" si="10"/>
        <v>No</v>
      </c>
      <c r="N362" s="32">
        <f>G362 - F362</f>
        <v>157</v>
      </c>
      <c r="O362">
        <v>1</v>
      </c>
      <c r="P362" s="52"/>
      <c r="Q362" s="52"/>
    </row>
    <row r="363" spans="1:17" x14ac:dyDescent="0.3">
      <c r="A363" s="26" t="s">
        <v>734</v>
      </c>
      <c r="B363" s="28" t="s">
        <v>78</v>
      </c>
      <c r="C363" s="28" t="s">
        <v>12</v>
      </c>
      <c r="D363" s="26" t="s">
        <v>735</v>
      </c>
      <c r="E363" s="37" t="s">
        <v>606</v>
      </c>
      <c r="F363" s="52">
        <v>43995</v>
      </c>
      <c r="G363" s="52">
        <v>44044</v>
      </c>
      <c r="H363" s="32" t="str">
        <f t="shared" si="11"/>
        <v>EVEN</v>
      </c>
      <c r="I363" s="103">
        <v>0</v>
      </c>
      <c r="J363" s="3" t="str">
        <f>UPPER(TEXT(F363,"mmm")) &amp; " - " &amp; UPPER(TEXT(G363,"mmm"))</f>
        <v>JUN - AUG</v>
      </c>
      <c r="K363" s="3" t="s">
        <v>563</v>
      </c>
      <c r="L363" s="32" t="s">
        <v>16</v>
      </c>
      <c r="M363" s="32" t="str">
        <f t="shared" si="10"/>
        <v>No</v>
      </c>
      <c r="N363" s="32">
        <f>G363 - F363</f>
        <v>49</v>
      </c>
      <c r="O363">
        <v>1</v>
      </c>
    </row>
    <row r="364" spans="1:17" ht="27" x14ac:dyDescent="0.3">
      <c r="A364" s="26" t="s">
        <v>736</v>
      </c>
      <c r="B364" s="28" t="s">
        <v>66</v>
      </c>
      <c r="C364" s="28" t="s">
        <v>12</v>
      </c>
      <c r="D364" s="26" t="s">
        <v>737</v>
      </c>
      <c r="E364" s="37" t="s">
        <v>738</v>
      </c>
      <c r="F364" s="52">
        <v>43836</v>
      </c>
      <c r="G364" s="52">
        <v>43848</v>
      </c>
      <c r="H364" s="32" t="str">
        <f t="shared" si="11"/>
        <v>EVEN</v>
      </c>
      <c r="I364" s="103">
        <v>0</v>
      </c>
      <c r="J364" s="3" t="str">
        <f>UPPER(TEXT(F364,"mmm")) &amp; " - " &amp; UPPER(TEXT(G364,"mmm"))</f>
        <v>JAN - JAN</v>
      </c>
      <c r="K364" s="3" t="s">
        <v>563</v>
      </c>
      <c r="L364" s="32" t="s">
        <v>16</v>
      </c>
      <c r="M364" s="32" t="str">
        <f t="shared" si="10"/>
        <v>No</v>
      </c>
      <c r="N364" s="32">
        <f>G364 - F364</f>
        <v>12</v>
      </c>
      <c r="O364">
        <v>1</v>
      </c>
    </row>
    <row r="365" spans="1:17" x14ac:dyDescent="0.3">
      <c r="A365" s="26" t="s">
        <v>120</v>
      </c>
      <c r="B365" s="28" t="s">
        <v>66</v>
      </c>
      <c r="C365" s="28" t="s">
        <v>12</v>
      </c>
      <c r="D365" s="26" t="s">
        <v>170</v>
      </c>
      <c r="E365" s="37" t="s">
        <v>739</v>
      </c>
      <c r="F365" s="52">
        <v>43952</v>
      </c>
      <c r="G365" s="52" t="s">
        <v>740</v>
      </c>
      <c r="H365" s="32" t="str">
        <f t="shared" si="11"/>
        <v>EVEN</v>
      </c>
      <c r="I365" s="103">
        <v>0</v>
      </c>
      <c r="J365" s="3" t="str">
        <f>UPPER(TEXT(F365,"mmm")) &amp; " - " &amp; UPPER(TEXT(G365,"mmm"))</f>
        <v>MAY - JUL</v>
      </c>
      <c r="K365" s="3" t="s">
        <v>563</v>
      </c>
      <c r="L365" s="32" t="s">
        <v>16</v>
      </c>
      <c r="M365" s="32" t="str">
        <f t="shared" si="10"/>
        <v>No</v>
      </c>
      <c r="N365" s="32">
        <f>G365 - F365</f>
        <v>73</v>
      </c>
      <c r="O365">
        <v>1</v>
      </c>
    </row>
    <row r="366" spans="1:17" x14ac:dyDescent="0.3">
      <c r="A366" s="26" t="s">
        <v>120</v>
      </c>
      <c r="B366" s="28" t="s">
        <v>66</v>
      </c>
      <c r="C366" s="28" t="s">
        <v>12</v>
      </c>
      <c r="D366" s="26" t="s">
        <v>741</v>
      </c>
      <c r="E366" s="37" t="s">
        <v>742</v>
      </c>
      <c r="F366" s="52">
        <v>43471</v>
      </c>
      <c r="G366" s="52" t="s">
        <v>636</v>
      </c>
      <c r="H366" s="32" t="str">
        <f t="shared" si="11"/>
        <v>EVEN</v>
      </c>
      <c r="I366" s="103">
        <v>0</v>
      </c>
      <c r="J366" s="3" t="str">
        <f>UPPER(TEXT(F366,"mmm")) &amp; " - " &amp; UPPER(TEXT(G366,"mmm"))</f>
        <v>JAN - MAY</v>
      </c>
      <c r="K366" s="3" t="s">
        <v>563</v>
      </c>
      <c r="L366" s="32" t="s">
        <v>16</v>
      </c>
      <c r="M366" s="32" t="str">
        <f t="shared" si="10"/>
        <v>No</v>
      </c>
      <c r="N366" s="32">
        <f>G366 - F366</f>
        <v>511</v>
      </c>
      <c r="O366">
        <v>1</v>
      </c>
    </row>
    <row r="367" spans="1:17" x14ac:dyDescent="0.3">
      <c r="A367" s="26" t="s">
        <v>743</v>
      </c>
      <c r="B367" s="28" t="s">
        <v>66</v>
      </c>
      <c r="C367" s="28" t="s">
        <v>12</v>
      </c>
      <c r="D367" s="26" t="s">
        <v>744</v>
      </c>
      <c r="E367" s="37" t="s">
        <v>745</v>
      </c>
      <c r="F367" s="52">
        <v>43831</v>
      </c>
      <c r="G367" s="52">
        <v>43927</v>
      </c>
      <c r="H367" s="32" t="str">
        <f t="shared" si="11"/>
        <v>EVEN</v>
      </c>
      <c r="I367" s="103">
        <v>0</v>
      </c>
      <c r="J367" s="3" t="str">
        <f>UPPER(TEXT(F367,"mmm")) &amp; " - " &amp; UPPER(TEXT(G367,"mmm"))</f>
        <v>JAN - APR</v>
      </c>
      <c r="K367" s="3" t="s">
        <v>563</v>
      </c>
      <c r="L367" s="32" t="s">
        <v>16</v>
      </c>
      <c r="M367" s="32" t="str">
        <f t="shared" si="10"/>
        <v>No</v>
      </c>
      <c r="N367" s="32">
        <f>G367 - F367</f>
        <v>96</v>
      </c>
      <c r="O367">
        <v>1</v>
      </c>
    </row>
    <row r="368" spans="1:17" x14ac:dyDescent="0.3">
      <c r="A368" s="26" t="s">
        <v>746</v>
      </c>
      <c r="B368" s="28" t="s">
        <v>66</v>
      </c>
      <c r="C368" s="28" t="s">
        <v>12</v>
      </c>
      <c r="D368" s="26" t="s">
        <v>747</v>
      </c>
      <c r="E368" s="37" t="s">
        <v>748</v>
      </c>
      <c r="F368" s="52">
        <v>43473</v>
      </c>
      <c r="G368" s="52" t="s">
        <v>749</v>
      </c>
      <c r="H368" s="32" t="str">
        <f t="shared" si="11"/>
        <v>EVEN</v>
      </c>
      <c r="I368" s="103">
        <v>0</v>
      </c>
      <c r="J368" s="3" t="str">
        <f>UPPER(TEXT(F368,"mmm")) &amp; " - " &amp; UPPER(TEXT(G368,"mmm"))</f>
        <v>JAN - JAN</v>
      </c>
      <c r="K368" s="3" t="s">
        <v>563</v>
      </c>
      <c r="L368" s="32" t="s">
        <v>16</v>
      </c>
      <c r="M368" s="32" t="str">
        <f t="shared" si="10"/>
        <v>No</v>
      </c>
      <c r="N368" s="32">
        <f>G368 - F368</f>
        <v>388</v>
      </c>
      <c r="O368">
        <v>1</v>
      </c>
    </row>
    <row r="369" spans="1:17" x14ac:dyDescent="0.3">
      <c r="A369" s="26" t="s">
        <v>750</v>
      </c>
      <c r="B369" s="28" t="s">
        <v>66</v>
      </c>
      <c r="C369" s="28" t="s">
        <v>12</v>
      </c>
      <c r="D369" s="26" t="s">
        <v>751</v>
      </c>
      <c r="E369" s="37" t="s">
        <v>752</v>
      </c>
      <c r="F369" s="52">
        <v>43815</v>
      </c>
      <c r="G369" s="52">
        <v>43890</v>
      </c>
      <c r="H369" s="32" t="str">
        <f t="shared" si="11"/>
        <v>ODD</v>
      </c>
      <c r="I369" s="103">
        <v>0</v>
      </c>
      <c r="J369" s="3" t="str">
        <f>UPPER(TEXT(F369,"mmm")) &amp; " - " &amp; UPPER(TEXT(G369,"mmm"))</f>
        <v>DEC - FEB</v>
      </c>
      <c r="K369" s="3" t="s">
        <v>563</v>
      </c>
      <c r="L369" s="32" t="s">
        <v>16</v>
      </c>
      <c r="M369" s="32" t="str">
        <f t="shared" si="10"/>
        <v>No</v>
      </c>
      <c r="N369" s="32">
        <f>G369 - F369</f>
        <v>75</v>
      </c>
      <c r="O369">
        <v>1</v>
      </c>
    </row>
    <row r="370" spans="1:17" ht="27" x14ac:dyDescent="0.3">
      <c r="A370" s="26" t="s">
        <v>753</v>
      </c>
      <c r="B370" s="28" t="s">
        <v>66</v>
      </c>
      <c r="C370" s="28" t="s">
        <v>12</v>
      </c>
      <c r="D370" s="26" t="s">
        <v>754</v>
      </c>
      <c r="E370" s="37" t="s">
        <v>755</v>
      </c>
      <c r="F370" s="52">
        <v>43742</v>
      </c>
      <c r="G370" s="52">
        <v>44068</v>
      </c>
      <c r="H370" s="32" t="str">
        <f t="shared" si="11"/>
        <v>ODD</v>
      </c>
      <c r="I370" s="103">
        <v>0</v>
      </c>
      <c r="J370" s="3" t="str">
        <f>UPPER(TEXT(F370,"mmm")) &amp; " - " &amp; UPPER(TEXT(G370,"mmm"))</f>
        <v>OCT - AUG</v>
      </c>
      <c r="K370" s="3" t="s">
        <v>563</v>
      </c>
      <c r="L370" s="32" t="s">
        <v>16</v>
      </c>
      <c r="M370" s="32" t="str">
        <f t="shared" si="10"/>
        <v>No</v>
      </c>
      <c r="N370" s="32">
        <f>G370 - F370</f>
        <v>326</v>
      </c>
      <c r="O370">
        <v>1</v>
      </c>
    </row>
    <row r="371" spans="1:17" x14ac:dyDescent="0.3">
      <c r="A371" s="26" t="s">
        <v>123</v>
      </c>
      <c r="B371" s="28" t="s">
        <v>66</v>
      </c>
      <c r="C371" s="28" t="s">
        <v>12</v>
      </c>
      <c r="D371" s="26" t="s">
        <v>170</v>
      </c>
      <c r="E371" s="37" t="s">
        <v>756</v>
      </c>
      <c r="F371" s="52" t="s">
        <v>712</v>
      </c>
      <c r="G371" s="52" t="s">
        <v>749</v>
      </c>
      <c r="H371" s="32" t="str">
        <f t="shared" si="11"/>
        <v>EVEN</v>
      </c>
      <c r="I371" s="103">
        <v>0</v>
      </c>
      <c r="J371" s="3" t="str">
        <f>UPPER(TEXT(F371,"mmm")) &amp; " - " &amp; UPPER(TEXT(G371,"mmm"))</f>
        <v>DEC - JAN</v>
      </c>
      <c r="K371" s="3" t="s">
        <v>563</v>
      </c>
      <c r="L371" s="32" t="s">
        <v>16</v>
      </c>
      <c r="M371" s="32" t="str">
        <f t="shared" si="10"/>
        <v>No</v>
      </c>
      <c r="N371" s="32">
        <f>G371 - F371</f>
        <v>46</v>
      </c>
      <c r="O371">
        <v>1</v>
      </c>
    </row>
    <row r="372" spans="1:17" ht="27" x14ac:dyDescent="0.3">
      <c r="A372" s="26" t="s">
        <v>82</v>
      </c>
      <c r="B372" s="28" t="s">
        <v>66</v>
      </c>
      <c r="C372" s="28" t="s">
        <v>12</v>
      </c>
      <c r="D372" s="26" t="s">
        <v>170</v>
      </c>
      <c r="E372" s="37" t="s">
        <v>757</v>
      </c>
      <c r="F372" s="52" t="s">
        <v>731</v>
      </c>
      <c r="G372" s="52" t="s">
        <v>601</v>
      </c>
      <c r="H372" s="32" t="str">
        <f t="shared" si="11"/>
        <v>EVEN</v>
      </c>
      <c r="I372" s="103">
        <v>0</v>
      </c>
      <c r="J372" s="3" t="str">
        <f>UPPER(TEXT(F372,"mmm")) &amp; " - " &amp; UPPER(TEXT(G372,"mmm"))</f>
        <v>DEC - JUN</v>
      </c>
      <c r="K372" s="3" t="s">
        <v>563</v>
      </c>
      <c r="L372" s="32" t="s">
        <v>16</v>
      </c>
      <c r="M372" s="32" t="str">
        <f t="shared" si="10"/>
        <v>No</v>
      </c>
      <c r="N372" s="32">
        <f>G372 - F372</f>
        <v>198</v>
      </c>
      <c r="O372">
        <v>1</v>
      </c>
    </row>
    <row r="373" spans="1:17" ht="27" x14ac:dyDescent="0.3">
      <c r="A373" s="26" t="s">
        <v>174</v>
      </c>
      <c r="B373" s="28" t="s">
        <v>66</v>
      </c>
      <c r="C373" s="28" t="s">
        <v>12</v>
      </c>
      <c r="D373" s="26" t="s">
        <v>758</v>
      </c>
      <c r="E373" s="37" t="s">
        <v>738</v>
      </c>
      <c r="F373" s="52">
        <v>43836</v>
      </c>
      <c r="G373" s="52">
        <v>43848</v>
      </c>
      <c r="H373" s="32" t="str">
        <f t="shared" si="11"/>
        <v>EVEN</v>
      </c>
      <c r="I373" s="103">
        <v>0</v>
      </c>
      <c r="J373" s="3" t="str">
        <f>UPPER(TEXT(F373,"mmm")) &amp; " - " &amp; UPPER(TEXT(G373,"mmm"))</f>
        <v>JAN - JAN</v>
      </c>
      <c r="K373" s="3" t="s">
        <v>563</v>
      </c>
      <c r="L373" s="32" t="s">
        <v>16</v>
      </c>
      <c r="M373" s="32" t="str">
        <f t="shared" si="10"/>
        <v>No</v>
      </c>
      <c r="N373" s="32">
        <f>G373 - F373</f>
        <v>12</v>
      </c>
      <c r="O373">
        <v>1</v>
      </c>
    </row>
    <row r="374" spans="1:17" x14ac:dyDescent="0.3">
      <c r="A374" s="26" t="s">
        <v>146</v>
      </c>
      <c r="B374" s="28" t="s">
        <v>66</v>
      </c>
      <c r="C374" s="28" t="s">
        <v>12</v>
      </c>
      <c r="D374" s="26" t="s">
        <v>759</v>
      </c>
      <c r="E374" s="37" t="s">
        <v>760</v>
      </c>
      <c r="F374" s="52" t="s">
        <v>761</v>
      </c>
      <c r="G374" s="52">
        <v>43983</v>
      </c>
      <c r="H374" s="32" t="str">
        <f t="shared" si="11"/>
        <v>EVEN</v>
      </c>
      <c r="I374" s="103">
        <v>0</v>
      </c>
      <c r="J374" s="3" t="str">
        <f>UPPER(TEXT(F374,"mmm")) &amp; " - " &amp; UPPER(TEXT(G374,"mmm"))</f>
        <v>JAN - JUN</v>
      </c>
      <c r="K374" s="3" t="s">
        <v>563</v>
      </c>
      <c r="L374" s="32" t="s">
        <v>16</v>
      </c>
      <c r="M374" s="32" t="str">
        <f t="shared" si="10"/>
        <v>No</v>
      </c>
      <c r="N374" s="32">
        <f>G374 - F374</f>
        <v>135</v>
      </c>
      <c r="O374">
        <v>1</v>
      </c>
      <c r="P374" s="52"/>
      <c r="Q374" s="52"/>
    </row>
    <row r="375" spans="1:17" ht="27" x14ac:dyDescent="0.3">
      <c r="A375" s="26" t="s">
        <v>762</v>
      </c>
      <c r="B375" s="28" t="s">
        <v>66</v>
      </c>
      <c r="C375" s="28" t="s">
        <v>12</v>
      </c>
      <c r="D375" s="26" t="s">
        <v>170</v>
      </c>
      <c r="E375" s="37" t="s">
        <v>757</v>
      </c>
      <c r="F375" s="52" t="s">
        <v>731</v>
      </c>
      <c r="G375" s="52" t="s">
        <v>601</v>
      </c>
      <c r="H375" s="32" t="str">
        <f t="shared" si="11"/>
        <v>EVEN</v>
      </c>
      <c r="I375" s="103">
        <v>0</v>
      </c>
      <c r="J375" s="3" t="str">
        <f>UPPER(TEXT(F375,"mmm")) &amp; " - " &amp; UPPER(TEXT(G375,"mmm"))</f>
        <v>DEC - JUN</v>
      </c>
      <c r="K375" s="3" t="s">
        <v>563</v>
      </c>
      <c r="L375" s="32" t="s">
        <v>16</v>
      </c>
      <c r="M375" s="32" t="str">
        <f t="shared" si="10"/>
        <v>No</v>
      </c>
      <c r="N375" s="32">
        <f>G375 - F375</f>
        <v>198</v>
      </c>
      <c r="O375">
        <v>1</v>
      </c>
    </row>
    <row r="376" spans="1:17" ht="27" x14ac:dyDescent="0.3">
      <c r="A376" s="26" t="s">
        <v>331</v>
      </c>
      <c r="B376" s="28" t="s">
        <v>66</v>
      </c>
      <c r="C376" s="28" t="s">
        <v>12</v>
      </c>
      <c r="D376" s="26" t="s">
        <v>763</v>
      </c>
      <c r="E376" s="37" t="s">
        <v>757</v>
      </c>
      <c r="F376" s="52" t="s">
        <v>731</v>
      </c>
      <c r="G376" s="52" t="s">
        <v>601</v>
      </c>
      <c r="H376" s="32" t="str">
        <f t="shared" si="11"/>
        <v>EVEN</v>
      </c>
      <c r="I376" s="103">
        <v>0</v>
      </c>
      <c r="J376" s="3" t="str">
        <f>UPPER(TEXT(F376,"mmm")) &amp; " - " &amp; UPPER(TEXT(G376,"mmm"))</f>
        <v>DEC - JUN</v>
      </c>
      <c r="K376" s="3" t="s">
        <v>563</v>
      </c>
      <c r="L376" s="32" t="s">
        <v>16</v>
      </c>
      <c r="M376" s="32" t="str">
        <f t="shared" si="10"/>
        <v>No</v>
      </c>
      <c r="N376" s="32">
        <f>G376 - F376</f>
        <v>198</v>
      </c>
      <c r="O376">
        <v>1</v>
      </c>
    </row>
    <row r="377" spans="1:17" ht="40.200000000000003" x14ac:dyDescent="0.3">
      <c r="A377" s="26" t="s">
        <v>764</v>
      </c>
      <c r="B377" s="28" t="s">
        <v>66</v>
      </c>
      <c r="C377" s="28" t="s">
        <v>12</v>
      </c>
      <c r="D377" s="26" t="s">
        <v>687</v>
      </c>
      <c r="E377" s="37" t="s">
        <v>688</v>
      </c>
      <c r="F377" s="52" t="s">
        <v>689</v>
      </c>
      <c r="G377" s="52">
        <v>44013</v>
      </c>
      <c r="H377" s="32" t="str">
        <f t="shared" si="11"/>
        <v>EVEN</v>
      </c>
      <c r="I377" s="103">
        <v>0</v>
      </c>
      <c r="J377" s="3" t="str">
        <f>UPPER(TEXT(F377,"mmm")) &amp; " - " &amp; UPPER(TEXT(G377,"mmm"))</f>
        <v>MAR - JUL</v>
      </c>
      <c r="K377" s="3" t="s">
        <v>563</v>
      </c>
      <c r="L377" s="32" t="s">
        <v>16</v>
      </c>
      <c r="M377" s="32" t="str">
        <f t="shared" si="10"/>
        <v>No</v>
      </c>
      <c r="N377" s="32">
        <f>G377 - F377</f>
        <v>93</v>
      </c>
      <c r="O377">
        <v>1</v>
      </c>
      <c r="P377" s="52"/>
      <c r="Q377" s="52"/>
    </row>
    <row r="378" spans="1:17" x14ac:dyDescent="0.3">
      <c r="A378" s="26" t="s">
        <v>149</v>
      </c>
      <c r="B378" s="28" t="s">
        <v>66</v>
      </c>
      <c r="C378" s="28" t="s">
        <v>12</v>
      </c>
      <c r="D378" s="26" t="s">
        <v>765</v>
      </c>
      <c r="E378" s="37" t="s">
        <v>742</v>
      </c>
      <c r="F378" s="52">
        <v>43471</v>
      </c>
      <c r="G378" s="52" t="s">
        <v>636</v>
      </c>
      <c r="H378" s="32" t="str">
        <f t="shared" si="11"/>
        <v>EVEN</v>
      </c>
      <c r="I378" s="103">
        <v>0</v>
      </c>
      <c r="J378" s="3" t="str">
        <f>UPPER(TEXT(F378,"mmm")) &amp; " - " &amp; UPPER(TEXT(G378,"mmm"))</f>
        <v>JAN - MAY</v>
      </c>
      <c r="K378" s="3" t="s">
        <v>563</v>
      </c>
      <c r="L378" s="32" t="s">
        <v>16</v>
      </c>
      <c r="M378" s="32" t="str">
        <f t="shared" si="10"/>
        <v>No</v>
      </c>
      <c r="N378" s="32">
        <f>G378 - F378</f>
        <v>511</v>
      </c>
      <c r="O378">
        <v>1</v>
      </c>
    </row>
    <row r="379" spans="1:17" ht="27" x14ac:dyDescent="0.3">
      <c r="A379" s="26" t="s">
        <v>766</v>
      </c>
      <c r="B379" s="28" t="s">
        <v>66</v>
      </c>
      <c r="C379" s="28" t="s">
        <v>12</v>
      </c>
      <c r="D379" s="26" t="s">
        <v>767</v>
      </c>
      <c r="E379" s="37" t="s">
        <v>768</v>
      </c>
      <c r="F379" s="52">
        <v>43473</v>
      </c>
      <c r="G379" s="52">
        <v>43834</v>
      </c>
      <c r="H379" s="32" t="str">
        <f t="shared" si="11"/>
        <v>EVEN</v>
      </c>
      <c r="I379" s="103">
        <v>0</v>
      </c>
      <c r="J379" s="3" t="str">
        <f>UPPER(TEXT(F379,"mmm")) &amp; " - " &amp; UPPER(TEXT(G379,"mmm"))</f>
        <v>JAN - JAN</v>
      </c>
      <c r="K379" s="3" t="s">
        <v>563</v>
      </c>
      <c r="L379" s="32" t="s">
        <v>16</v>
      </c>
      <c r="M379" s="32" t="str">
        <f t="shared" si="10"/>
        <v>No</v>
      </c>
      <c r="N379" s="32">
        <f>G379 - F379</f>
        <v>361</v>
      </c>
      <c r="O379">
        <v>1</v>
      </c>
    </row>
    <row r="380" spans="1:17" ht="27" x14ac:dyDescent="0.3">
      <c r="A380" s="26" t="s">
        <v>769</v>
      </c>
      <c r="B380" s="28" t="s">
        <v>11</v>
      </c>
      <c r="C380" s="28" t="s">
        <v>12</v>
      </c>
      <c r="D380" s="26" t="s">
        <v>770</v>
      </c>
      <c r="E380" s="37" t="s">
        <v>771</v>
      </c>
      <c r="F380" s="52">
        <v>43927</v>
      </c>
      <c r="G380" s="52">
        <v>44111</v>
      </c>
      <c r="H380" s="32" t="str">
        <f t="shared" si="11"/>
        <v>EVEN</v>
      </c>
      <c r="I380" s="103">
        <v>0</v>
      </c>
      <c r="J380" s="3" t="str">
        <f>UPPER(TEXT(F380,"mmm")) &amp; " - " &amp; UPPER(TEXT(G380,"mmm"))</f>
        <v>APR - OCT</v>
      </c>
      <c r="K380" s="3" t="s">
        <v>563</v>
      </c>
      <c r="L380" s="32" t="s">
        <v>16</v>
      </c>
      <c r="M380" s="32" t="str">
        <f t="shared" si="10"/>
        <v>No</v>
      </c>
      <c r="N380" s="32">
        <f>G380 - F380</f>
        <v>184</v>
      </c>
      <c r="O380">
        <v>1</v>
      </c>
    </row>
    <row r="381" spans="1:17" x14ac:dyDescent="0.3">
      <c r="A381" s="38" t="s">
        <v>772</v>
      </c>
      <c r="B381" s="39" t="s">
        <v>11</v>
      </c>
      <c r="C381" s="39" t="s">
        <v>12</v>
      </c>
      <c r="D381" s="38" t="s">
        <v>639</v>
      </c>
      <c r="E381" s="40" t="s">
        <v>640</v>
      </c>
      <c r="F381" s="71">
        <v>43822</v>
      </c>
      <c r="G381" s="71">
        <v>43990</v>
      </c>
      <c r="H381" s="32" t="str">
        <f t="shared" si="11"/>
        <v>ODD</v>
      </c>
      <c r="I381" s="103">
        <v>0</v>
      </c>
      <c r="J381" s="3" t="str">
        <f>UPPER(TEXT(F381,"mmm")) &amp; " - " &amp; UPPER(TEXT(G381,"mmm"))</f>
        <v>DEC - JUN</v>
      </c>
      <c r="K381" s="3" t="s">
        <v>563</v>
      </c>
      <c r="L381" s="32" t="s">
        <v>16</v>
      </c>
      <c r="M381" s="32" t="str">
        <f t="shared" si="10"/>
        <v>No</v>
      </c>
      <c r="N381" s="32">
        <f>G381 - F381</f>
        <v>168</v>
      </c>
      <c r="O381">
        <v>1</v>
      </c>
    </row>
    <row r="382" spans="1:17" x14ac:dyDescent="0.3">
      <c r="A382" s="26" t="s">
        <v>773</v>
      </c>
      <c r="B382" s="28" t="s">
        <v>66</v>
      </c>
      <c r="C382" s="28" t="s">
        <v>12</v>
      </c>
      <c r="D382" s="26" t="s">
        <v>774</v>
      </c>
      <c r="E382" s="37" t="s">
        <v>775</v>
      </c>
      <c r="F382" s="52" t="s">
        <v>731</v>
      </c>
      <c r="G382" s="52" t="s">
        <v>601</v>
      </c>
      <c r="H382" s="32" t="str">
        <f t="shared" si="11"/>
        <v>EVEN</v>
      </c>
      <c r="I382" s="103">
        <v>0</v>
      </c>
      <c r="J382" s="3" t="str">
        <f>UPPER(TEXT(F382,"mmm")) &amp; " - " &amp; UPPER(TEXT(G382,"mmm"))</f>
        <v>DEC - JUN</v>
      </c>
      <c r="K382" s="3" t="s">
        <v>563</v>
      </c>
      <c r="L382" s="32" t="s">
        <v>16</v>
      </c>
      <c r="M382" s="32" t="str">
        <f t="shared" si="10"/>
        <v>No</v>
      </c>
      <c r="N382" s="32">
        <f>G382 - F382</f>
        <v>198</v>
      </c>
      <c r="O382">
        <v>1</v>
      </c>
    </row>
    <row r="383" spans="1:17" ht="27" x14ac:dyDescent="0.3">
      <c r="A383" s="26" t="s">
        <v>776</v>
      </c>
      <c r="B383" s="28" t="s">
        <v>11</v>
      </c>
      <c r="C383" s="28" t="s">
        <v>12</v>
      </c>
      <c r="D383" s="26" t="s">
        <v>777</v>
      </c>
      <c r="E383" s="37" t="s">
        <v>778</v>
      </c>
      <c r="F383" s="52">
        <v>43896</v>
      </c>
      <c r="G383" s="52" t="s">
        <v>617</v>
      </c>
      <c r="H383" s="32" t="str">
        <f t="shared" si="11"/>
        <v>EVEN</v>
      </c>
      <c r="I383" s="103">
        <v>0</v>
      </c>
      <c r="J383" s="3" t="str">
        <f>UPPER(TEXT(F383,"mmm")) &amp; " - " &amp; UPPER(TEXT(G383,"mmm"))</f>
        <v>MAR - JUL</v>
      </c>
      <c r="K383" s="3" t="s">
        <v>563</v>
      </c>
      <c r="L383" s="32" t="s">
        <v>16</v>
      </c>
      <c r="M383" s="32" t="str">
        <f t="shared" si="10"/>
        <v>No</v>
      </c>
      <c r="N383" s="32">
        <f>G383 - F383</f>
        <v>130</v>
      </c>
      <c r="O383">
        <v>1</v>
      </c>
    </row>
    <row r="384" spans="1:17" x14ac:dyDescent="0.3">
      <c r="A384" s="26" t="s">
        <v>779</v>
      </c>
      <c r="B384" s="28" t="s">
        <v>11</v>
      </c>
      <c r="C384" s="28" t="s">
        <v>12</v>
      </c>
      <c r="D384" s="26" t="s">
        <v>780</v>
      </c>
      <c r="E384" s="37" t="s">
        <v>781</v>
      </c>
      <c r="F384" s="52">
        <v>43832</v>
      </c>
      <c r="G384" s="52">
        <v>43833</v>
      </c>
      <c r="H384" s="32" t="str">
        <f t="shared" si="11"/>
        <v>EVEN</v>
      </c>
      <c r="I384" s="103">
        <v>0</v>
      </c>
      <c r="J384" s="3" t="str">
        <f>UPPER(TEXT(F384,"mmm")) &amp; " - " &amp; UPPER(TEXT(G384,"mmm"))</f>
        <v>JAN - JAN</v>
      </c>
      <c r="K384" s="3" t="s">
        <v>563</v>
      </c>
      <c r="L384" s="32" t="s">
        <v>16</v>
      </c>
      <c r="M384" s="32" t="str">
        <f t="shared" si="10"/>
        <v>No</v>
      </c>
      <c r="N384" s="32">
        <f>G384 - F384</f>
        <v>1</v>
      </c>
      <c r="O384">
        <v>1</v>
      </c>
    </row>
    <row r="385" spans="1:17" x14ac:dyDescent="0.3">
      <c r="A385" s="26" t="s">
        <v>782</v>
      </c>
      <c r="B385" s="28" t="s">
        <v>66</v>
      </c>
      <c r="C385" s="28" t="s">
        <v>12</v>
      </c>
      <c r="D385" s="26" t="s">
        <v>763</v>
      </c>
      <c r="E385" s="37" t="s">
        <v>730</v>
      </c>
      <c r="F385" s="52" t="s">
        <v>731</v>
      </c>
      <c r="G385" s="52" t="s">
        <v>601</v>
      </c>
      <c r="H385" s="32" t="str">
        <f t="shared" si="11"/>
        <v>EVEN</v>
      </c>
      <c r="I385" s="103">
        <v>0</v>
      </c>
      <c r="J385" s="3" t="str">
        <f>UPPER(TEXT(F385,"mmm")) &amp; " - " &amp; UPPER(TEXT(G385,"mmm"))</f>
        <v>DEC - JUN</v>
      </c>
      <c r="K385" s="3" t="s">
        <v>563</v>
      </c>
      <c r="L385" s="32" t="s">
        <v>16</v>
      </c>
      <c r="M385" s="32" t="str">
        <f t="shared" si="10"/>
        <v>No</v>
      </c>
      <c r="N385" s="32">
        <f>G385 - F385</f>
        <v>198</v>
      </c>
      <c r="O385">
        <v>1</v>
      </c>
    </row>
    <row r="386" spans="1:17" x14ac:dyDescent="0.3">
      <c r="A386" s="26" t="s">
        <v>782</v>
      </c>
      <c r="B386" s="28" t="s">
        <v>66</v>
      </c>
      <c r="C386" s="28" t="s">
        <v>12</v>
      </c>
      <c r="D386" s="26" t="s">
        <v>763</v>
      </c>
      <c r="E386" s="37" t="s">
        <v>756</v>
      </c>
      <c r="F386" s="52" t="s">
        <v>783</v>
      </c>
      <c r="G386" s="52" t="s">
        <v>749</v>
      </c>
      <c r="H386" s="32" t="str">
        <f t="shared" si="11"/>
        <v>EVEN</v>
      </c>
      <c r="I386" s="103">
        <v>0</v>
      </c>
      <c r="J386" s="3" t="str">
        <f>UPPER(TEXT(F386,"mmm")) &amp; " - " &amp; UPPER(TEXT(G386,"mmm"))</f>
        <v>NOV - JAN</v>
      </c>
      <c r="K386" s="3" t="s">
        <v>563</v>
      </c>
      <c r="L386" s="32" t="s">
        <v>16</v>
      </c>
      <c r="M386" s="32" t="str">
        <f t="shared" si="10"/>
        <v>No</v>
      </c>
      <c r="N386" s="32">
        <f>G386 - F386</f>
        <v>76</v>
      </c>
      <c r="O386">
        <v>1</v>
      </c>
    </row>
    <row r="387" spans="1:17" ht="27" x14ac:dyDescent="0.3">
      <c r="A387" s="26" t="s">
        <v>784</v>
      </c>
      <c r="B387" s="28" t="s">
        <v>66</v>
      </c>
      <c r="C387" s="28" t="s">
        <v>12</v>
      </c>
      <c r="D387" s="26" t="s">
        <v>785</v>
      </c>
      <c r="E387" s="37" t="s">
        <v>738</v>
      </c>
      <c r="F387" s="52">
        <v>43836</v>
      </c>
      <c r="G387" s="52">
        <v>43848</v>
      </c>
      <c r="H387" s="32" t="str">
        <f t="shared" si="11"/>
        <v>EVEN</v>
      </c>
      <c r="I387" s="103">
        <v>0</v>
      </c>
      <c r="J387" s="3" t="str">
        <f>UPPER(TEXT(F387,"mmm")) &amp; " - " &amp; UPPER(TEXT(G387,"mmm"))</f>
        <v>JAN - JAN</v>
      </c>
      <c r="K387" s="3" t="s">
        <v>563</v>
      </c>
      <c r="L387" s="32" t="s">
        <v>16</v>
      </c>
      <c r="M387" s="32" t="str">
        <f t="shared" ref="M387:M450" si="12">IF(I387 &gt; 0, "Yes", "No")</f>
        <v>No</v>
      </c>
      <c r="N387" s="32">
        <f>G387 - F387</f>
        <v>12</v>
      </c>
      <c r="O387">
        <v>1</v>
      </c>
    </row>
    <row r="388" spans="1:17" x14ac:dyDescent="0.3">
      <c r="A388" s="26" t="s">
        <v>784</v>
      </c>
      <c r="B388" s="28" t="s">
        <v>66</v>
      </c>
      <c r="C388" s="28" t="s">
        <v>12</v>
      </c>
      <c r="D388" s="26" t="s">
        <v>786</v>
      </c>
      <c r="E388" s="37" t="s">
        <v>718</v>
      </c>
      <c r="F388" s="52">
        <v>43472</v>
      </c>
      <c r="G388" s="52" t="s">
        <v>601</v>
      </c>
      <c r="H388" s="32" t="str">
        <f t="shared" si="11"/>
        <v>EVEN</v>
      </c>
      <c r="I388" s="103">
        <v>0</v>
      </c>
      <c r="J388" s="3" t="str">
        <f>UPPER(TEXT(F388,"mmm")) &amp; " - " &amp; UPPER(TEXT(G388,"mmm"))</f>
        <v>JAN - JUN</v>
      </c>
      <c r="K388" s="3" t="s">
        <v>563</v>
      </c>
      <c r="L388" s="32" t="s">
        <v>16</v>
      </c>
      <c r="M388" s="32" t="str">
        <f t="shared" si="12"/>
        <v>No</v>
      </c>
      <c r="N388" s="32">
        <f>G388 - F388</f>
        <v>540</v>
      </c>
      <c r="O388">
        <v>1</v>
      </c>
    </row>
    <row r="389" spans="1:17" ht="27" x14ac:dyDescent="0.3">
      <c r="A389" s="26" t="s">
        <v>784</v>
      </c>
      <c r="B389" s="28" t="s">
        <v>66</v>
      </c>
      <c r="C389" s="28" t="s">
        <v>12</v>
      </c>
      <c r="D389" s="26" t="s">
        <v>786</v>
      </c>
      <c r="E389" s="37" t="s">
        <v>787</v>
      </c>
      <c r="F389" s="52" t="s">
        <v>720</v>
      </c>
      <c r="G389" s="52" t="s">
        <v>721</v>
      </c>
      <c r="H389" s="32" t="str">
        <f t="shared" si="11"/>
        <v>EVEN</v>
      </c>
      <c r="I389" s="103">
        <v>0</v>
      </c>
      <c r="J389" s="3" t="str">
        <f>UPPER(TEXT(F389,"mmm")) &amp; " - " &amp; UPPER(TEXT(G389,"mmm"))</f>
        <v>JAN - JAN</v>
      </c>
      <c r="K389" s="3" t="s">
        <v>563</v>
      </c>
      <c r="L389" s="32" t="s">
        <v>16</v>
      </c>
      <c r="M389" s="32" t="str">
        <f t="shared" si="12"/>
        <v>No</v>
      </c>
      <c r="N389" s="32">
        <f>G389 - F389</f>
        <v>5</v>
      </c>
      <c r="O389">
        <v>1</v>
      </c>
    </row>
    <row r="390" spans="1:17" ht="27" x14ac:dyDescent="0.3">
      <c r="A390" s="26" t="s">
        <v>350</v>
      </c>
      <c r="B390" s="28" t="s">
        <v>66</v>
      </c>
      <c r="C390" s="28" t="s">
        <v>12</v>
      </c>
      <c r="D390" s="26" t="s">
        <v>741</v>
      </c>
      <c r="E390" s="37" t="s">
        <v>788</v>
      </c>
      <c r="F390" s="52">
        <v>43833</v>
      </c>
      <c r="G390" s="52" t="s">
        <v>789</v>
      </c>
      <c r="H390" s="32" t="str">
        <f t="shared" si="11"/>
        <v>EVEN</v>
      </c>
      <c r="I390" s="103">
        <v>0</v>
      </c>
      <c r="J390" s="3" t="str">
        <f>UPPER(TEXT(F390,"mmm")) &amp; " - " &amp; UPPER(TEXT(G390,"mmm"))</f>
        <v>JAN - APR</v>
      </c>
      <c r="K390" s="3" t="s">
        <v>563</v>
      </c>
      <c r="L390" s="32" t="s">
        <v>16</v>
      </c>
      <c r="M390" s="32" t="str">
        <f t="shared" si="12"/>
        <v>No</v>
      </c>
      <c r="N390" s="32">
        <f>G390 - F390</f>
        <v>118</v>
      </c>
      <c r="O390">
        <v>1</v>
      </c>
    </row>
    <row r="391" spans="1:17" x14ac:dyDescent="0.3">
      <c r="A391" s="26" t="s">
        <v>352</v>
      </c>
      <c r="B391" s="28" t="s">
        <v>11</v>
      </c>
      <c r="C391" s="28" t="s">
        <v>12</v>
      </c>
      <c r="D391" s="26" t="s">
        <v>790</v>
      </c>
      <c r="E391" s="37" t="s">
        <v>791</v>
      </c>
      <c r="F391" s="52">
        <v>44043</v>
      </c>
      <c r="G391" s="52">
        <v>44105</v>
      </c>
      <c r="H391" s="32" t="str">
        <f t="shared" si="11"/>
        <v>EVEN</v>
      </c>
      <c r="I391" s="103">
        <v>0</v>
      </c>
      <c r="J391" s="3" t="str">
        <f>UPPER(TEXT(F391,"mmm")) &amp; " - " &amp; UPPER(TEXT(G391,"mmm"))</f>
        <v>JUL - OCT</v>
      </c>
      <c r="K391" s="3" t="s">
        <v>563</v>
      </c>
      <c r="L391" s="32" t="s">
        <v>16</v>
      </c>
      <c r="M391" s="32" t="str">
        <f t="shared" si="12"/>
        <v>No</v>
      </c>
      <c r="N391" s="32">
        <f>G391 - F391</f>
        <v>62</v>
      </c>
      <c r="O391">
        <v>1</v>
      </c>
      <c r="P391" s="52"/>
      <c r="Q391" s="52"/>
    </row>
    <row r="392" spans="1:17" x14ac:dyDescent="0.3">
      <c r="A392" s="26" t="s">
        <v>792</v>
      </c>
      <c r="B392" s="28" t="s">
        <v>11</v>
      </c>
      <c r="C392" s="28" t="s">
        <v>12</v>
      </c>
      <c r="D392" s="26" t="s">
        <v>777</v>
      </c>
      <c r="E392" s="37" t="s">
        <v>793</v>
      </c>
      <c r="F392" s="52">
        <v>43896</v>
      </c>
      <c r="G392" s="52">
        <v>44026</v>
      </c>
      <c r="H392" s="32" t="str">
        <f t="shared" si="11"/>
        <v>EVEN</v>
      </c>
      <c r="I392" s="103">
        <v>0</v>
      </c>
      <c r="J392" s="3" t="str">
        <f>UPPER(TEXT(F392,"mmm")) &amp; " - " &amp; UPPER(TEXT(G392,"mmm"))</f>
        <v>MAR - JUL</v>
      </c>
      <c r="K392" s="3" t="s">
        <v>563</v>
      </c>
      <c r="L392" s="32" t="s">
        <v>16</v>
      </c>
      <c r="M392" s="32" t="str">
        <f t="shared" si="12"/>
        <v>No</v>
      </c>
      <c r="N392" s="32">
        <f>G392 - F392</f>
        <v>130</v>
      </c>
      <c r="O392">
        <v>1</v>
      </c>
    </row>
    <row r="393" spans="1:17" x14ac:dyDescent="0.3">
      <c r="A393" s="26" t="s">
        <v>792</v>
      </c>
      <c r="B393" s="28" t="s">
        <v>11</v>
      </c>
      <c r="C393" s="28" t="s">
        <v>12</v>
      </c>
      <c r="D393" s="26" t="s">
        <v>794</v>
      </c>
      <c r="E393" s="37" t="s">
        <v>795</v>
      </c>
      <c r="F393" s="52">
        <v>43981</v>
      </c>
      <c r="G393" s="52">
        <v>44042</v>
      </c>
      <c r="H393" s="32" t="str">
        <f t="shared" si="11"/>
        <v>EVEN</v>
      </c>
      <c r="I393" s="103">
        <v>0</v>
      </c>
      <c r="J393" s="3" t="str">
        <f>UPPER(TEXT(F393,"mmm")) &amp; " - " &amp; UPPER(TEXT(G393,"mmm"))</f>
        <v>MAY - JUL</v>
      </c>
      <c r="K393" s="3" t="s">
        <v>563</v>
      </c>
      <c r="L393" s="32" t="s">
        <v>16</v>
      </c>
      <c r="M393" s="32" t="str">
        <f t="shared" si="12"/>
        <v>No</v>
      </c>
      <c r="N393" s="32">
        <f>G393 - F393</f>
        <v>61</v>
      </c>
      <c r="O393">
        <v>1</v>
      </c>
    </row>
    <row r="394" spans="1:17" ht="27" x14ac:dyDescent="0.3">
      <c r="A394" s="26" t="s">
        <v>796</v>
      </c>
      <c r="B394" s="28" t="s">
        <v>11</v>
      </c>
      <c r="C394" s="28" t="s">
        <v>12</v>
      </c>
      <c r="D394" s="26" t="s">
        <v>777</v>
      </c>
      <c r="E394" s="37" t="s">
        <v>797</v>
      </c>
      <c r="F394" s="52">
        <v>43822</v>
      </c>
      <c r="G394" s="52">
        <v>43912</v>
      </c>
      <c r="H394" s="32" t="str">
        <f t="shared" si="11"/>
        <v>ODD</v>
      </c>
      <c r="I394" s="103">
        <v>0</v>
      </c>
      <c r="J394" s="3" t="str">
        <f>UPPER(TEXT(F394,"mmm")) &amp; " - " &amp; UPPER(TEXT(G394,"mmm"))</f>
        <v>DEC - MAR</v>
      </c>
      <c r="K394" s="3" t="s">
        <v>563</v>
      </c>
      <c r="L394" s="32" t="s">
        <v>16</v>
      </c>
      <c r="M394" s="32" t="str">
        <f t="shared" si="12"/>
        <v>No</v>
      </c>
      <c r="N394" s="32">
        <f>G394 - F394</f>
        <v>90</v>
      </c>
      <c r="O394">
        <v>1</v>
      </c>
    </row>
    <row r="395" spans="1:17" x14ac:dyDescent="0.3">
      <c r="A395" s="26" t="s">
        <v>353</v>
      </c>
      <c r="B395" s="28" t="s">
        <v>66</v>
      </c>
      <c r="C395" s="28" t="s">
        <v>12</v>
      </c>
      <c r="D395" s="26" t="s">
        <v>170</v>
      </c>
      <c r="E395" s="37" t="s">
        <v>730</v>
      </c>
      <c r="F395" s="52">
        <v>43814</v>
      </c>
      <c r="G395" s="52">
        <v>44012</v>
      </c>
      <c r="H395" s="32" t="str">
        <f t="shared" si="11"/>
        <v>ODD</v>
      </c>
      <c r="I395" s="103">
        <v>0</v>
      </c>
      <c r="J395" s="3" t="str">
        <f>UPPER(TEXT(F395,"mmm")) &amp; " - " &amp; UPPER(TEXT(G395,"mmm"))</f>
        <v>DEC - JUN</v>
      </c>
      <c r="K395" s="3" t="s">
        <v>563</v>
      </c>
      <c r="L395" s="32" t="s">
        <v>16</v>
      </c>
      <c r="M395" s="32" t="str">
        <f t="shared" si="12"/>
        <v>No</v>
      </c>
      <c r="N395" s="32">
        <f>G395 - F395</f>
        <v>198</v>
      </c>
      <c r="O395">
        <v>1</v>
      </c>
    </row>
    <row r="396" spans="1:17" x14ac:dyDescent="0.3">
      <c r="A396" s="26" t="s">
        <v>798</v>
      </c>
      <c r="B396" s="28" t="s">
        <v>66</v>
      </c>
      <c r="C396" s="28" t="s">
        <v>12</v>
      </c>
      <c r="D396" s="26" t="s">
        <v>170</v>
      </c>
      <c r="E396" s="37" t="s">
        <v>799</v>
      </c>
      <c r="F396" s="52">
        <v>43815</v>
      </c>
      <c r="G396" s="52">
        <v>43861</v>
      </c>
      <c r="H396" s="32" t="str">
        <f t="shared" si="11"/>
        <v>ODD</v>
      </c>
      <c r="I396" s="103">
        <v>0</v>
      </c>
      <c r="J396" s="3" t="str">
        <f>UPPER(TEXT(F396,"mmm")) &amp; " - " &amp; UPPER(TEXT(G396,"mmm"))</f>
        <v>DEC - JAN</v>
      </c>
      <c r="K396" s="3" t="s">
        <v>563</v>
      </c>
      <c r="L396" s="32" t="s">
        <v>16</v>
      </c>
      <c r="M396" s="32" t="str">
        <f t="shared" si="12"/>
        <v>No</v>
      </c>
      <c r="N396" s="32">
        <f>G396 - F396</f>
        <v>46</v>
      </c>
      <c r="O396">
        <v>1</v>
      </c>
    </row>
    <row r="397" spans="1:17" x14ac:dyDescent="0.3">
      <c r="A397" s="26" t="s">
        <v>800</v>
      </c>
      <c r="B397" s="28" t="s">
        <v>66</v>
      </c>
      <c r="C397" s="28" t="s">
        <v>12</v>
      </c>
      <c r="D397" s="26" t="s">
        <v>728</v>
      </c>
      <c r="E397" s="37" t="s">
        <v>801</v>
      </c>
      <c r="F397" s="52">
        <v>43936</v>
      </c>
      <c r="G397" s="52">
        <v>43997</v>
      </c>
      <c r="H397" s="32" t="str">
        <f t="shared" si="11"/>
        <v>EVEN</v>
      </c>
      <c r="I397" s="103">
        <v>0</v>
      </c>
      <c r="J397" s="3" t="str">
        <f>UPPER(TEXT(F397,"mmm")) &amp; " - " &amp; UPPER(TEXT(G397,"mmm"))</f>
        <v>APR - JUN</v>
      </c>
      <c r="K397" s="3" t="s">
        <v>563</v>
      </c>
      <c r="L397" s="32" t="s">
        <v>16</v>
      </c>
      <c r="M397" s="32" t="str">
        <f t="shared" si="12"/>
        <v>No</v>
      </c>
      <c r="N397" s="32">
        <f>G397 - F397</f>
        <v>61</v>
      </c>
      <c r="O397">
        <v>1</v>
      </c>
    </row>
    <row r="398" spans="1:17" x14ac:dyDescent="0.3">
      <c r="A398" s="26" t="s">
        <v>163</v>
      </c>
      <c r="B398" s="28" t="s">
        <v>66</v>
      </c>
      <c r="C398" s="28" t="s">
        <v>12</v>
      </c>
      <c r="D398" s="26" t="s">
        <v>802</v>
      </c>
      <c r="E398" s="37" t="s">
        <v>745</v>
      </c>
      <c r="F398" s="52">
        <v>43831</v>
      </c>
      <c r="G398" s="52">
        <v>44111</v>
      </c>
      <c r="H398" s="32" t="str">
        <f t="shared" si="11"/>
        <v>EVEN</v>
      </c>
      <c r="I398" s="103">
        <v>0</v>
      </c>
      <c r="J398" s="3" t="str">
        <f>UPPER(TEXT(F398,"mmm")) &amp; " - " &amp; UPPER(TEXT(G398,"mmm"))</f>
        <v>JAN - OCT</v>
      </c>
      <c r="K398" s="3" t="s">
        <v>563</v>
      </c>
      <c r="L398" s="32" t="s">
        <v>16</v>
      </c>
      <c r="M398" s="32" t="str">
        <f t="shared" si="12"/>
        <v>No</v>
      </c>
      <c r="N398" s="32">
        <f>G398 - F398</f>
        <v>280</v>
      </c>
      <c r="O398">
        <v>1</v>
      </c>
    </row>
    <row r="399" spans="1:17" x14ac:dyDescent="0.3">
      <c r="A399" s="26" t="s">
        <v>803</v>
      </c>
      <c r="B399" s="28" t="s">
        <v>11</v>
      </c>
      <c r="C399" s="28" t="s">
        <v>12</v>
      </c>
      <c r="D399" s="26" t="s">
        <v>25</v>
      </c>
      <c r="E399" s="37" t="s">
        <v>606</v>
      </c>
      <c r="F399" s="52">
        <v>43995</v>
      </c>
      <c r="G399" s="52">
        <v>44044</v>
      </c>
      <c r="H399" s="32" t="str">
        <f t="shared" si="11"/>
        <v>EVEN</v>
      </c>
      <c r="I399" s="103">
        <v>0</v>
      </c>
      <c r="J399" s="3" t="str">
        <f>UPPER(TEXT(F399,"mmm")) &amp; " - " &amp; UPPER(TEXT(G399,"mmm"))</f>
        <v>JUN - AUG</v>
      </c>
      <c r="K399" s="3" t="s">
        <v>563</v>
      </c>
      <c r="L399" s="32" t="s">
        <v>16</v>
      </c>
      <c r="M399" s="32" t="str">
        <f t="shared" si="12"/>
        <v>No</v>
      </c>
      <c r="N399" s="32">
        <f>G399 - F399</f>
        <v>49</v>
      </c>
      <c r="O399">
        <v>1</v>
      </c>
    </row>
    <row r="400" spans="1:17" ht="27" x14ac:dyDescent="0.3">
      <c r="A400" s="26" t="s">
        <v>804</v>
      </c>
      <c r="B400" s="28" t="s">
        <v>66</v>
      </c>
      <c r="C400" s="28" t="s">
        <v>12</v>
      </c>
      <c r="D400" s="26" t="s">
        <v>805</v>
      </c>
      <c r="E400" s="37" t="s">
        <v>806</v>
      </c>
      <c r="F400" s="52">
        <v>43814</v>
      </c>
      <c r="G400" s="52">
        <v>44012</v>
      </c>
      <c r="H400" s="32" t="str">
        <f t="shared" si="11"/>
        <v>ODD</v>
      </c>
      <c r="I400" s="103">
        <v>0</v>
      </c>
      <c r="J400" s="3" t="str">
        <f>UPPER(TEXT(F400,"mmm")) &amp; " - " &amp; UPPER(TEXT(G400,"mmm"))</f>
        <v>DEC - JUN</v>
      </c>
      <c r="K400" s="3" t="s">
        <v>563</v>
      </c>
      <c r="L400" s="32" t="s">
        <v>16</v>
      </c>
      <c r="M400" s="32" t="str">
        <f t="shared" si="12"/>
        <v>No</v>
      </c>
      <c r="N400" s="32">
        <f>G400 - F400</f>
        <v>198</v>
      </c>
      <c r="O400">
        <v>1</v>
      </c>
    </row>
    <row r="401" spans="1:17" x14ac:dyDescent="0.3">
      <c r="A401" s="26" t="s">
        <v>356</v>
      </c>
      <c r="B401" s="28" t="s">
        <v>66</v>
      </c>
      <c r="C401" s="28" t="s">
        <v>12</v>
      </c>
      <c r="D401" s="26" t="s">
        <v>170</v>
      </c>
      <c r="E401" s="37" t="s">
        <v>807</v>
      </c>
      <c r="F401" s="52" t="s">
        <v>808</v>
      </c>
      <c r="G401" s="52" t="s">
        <v>809</v>
      </c>
      <c r="H401" s="32" t="str">
        <f t="shared" si="11"/>
        <v>EVEN</v>
      </c>
      <c r="I401" s="103">
        <v>0</v>
      </c>
      <c r="J401" s="3" t="str">
        <f>UPPER(TEXT(F401,"mmm")) &amp; " - " &amp; UPPER(TEXT(G401,"mmm"))</f>
        <v>JUL - NOV</v>
      </c>
      <c r="K401" s="3" t="s">
        <v>563</v>
      </c>
      <c r="L401" s="32" t="s">
        <v>16</v>
      </c>
      <c r="M401" s="32" t="str">
        <f t="shared" si="12"/>
        <v>No</v>
      </c>
      <c r="N401" s="32">
        <f>G401 - F401</f>
        <v>132</v>
      </c>
      <c r="O401">
        <v>1</v>
      </c>
    </row>
    <row r="402" spans="1:17" x14ac:dyDescent="0.3">
      <c r="A402" s="26" t="s">
        <v>810</v>
      </c>
      <c r="B402" s="28" t="s">
        <v>66</v>
      </c>
      <c r="C402" s="28" t="s">
        <v>12</v>
      </c>
      <c r="D402" s="26" t="s">
        <v>605</v>
      </c>
      <c r="E402" s="37" t="s">
        <v>811</v>
      </c>
      <c r="F402" s="52" t="s">
        <v>812</v>
      </c>
      <c r="G402" s="52" t="s">
        <v>813</v>
      </c>
      <c r="H402" s="32" t="str">
        <f t="shared" si="11"/>
        <v>EVEN</v>
      </c>
      <c r="I402" s="103">
        <v>0</v>
      </c>
      <c r="J402" s="3" t="str">
        <f>UPPER(TEXT(F402,"mmm")) &amp; " - " &amp; UPPER(TEXT(G402,"mmm"))</f>
        <v>JAN - JUL</v>
      </c>
      <c r="K402" s="3" t="s">
        <v>563</v>
      </c>
      <c r="L402" s="32" t="s">
        <v>16</v>
      </c>
      <c r="M402" s="32" t="str">
        <f t="shared" si="12"/>
        <v>No</v>
      </c>
      <c r="N402" s="32">
        <f>G402 - F402</f>
        <v>187</v>
      </c>
      <c r="O402">
        <v>1</v>
      </c>
    </row>
    <row r="403" spans="1:17" ht="27" x14ac:dyDescent="0.3">
      <c r="A403" s="26" t="s">
        <v>361</v>
      </c>
      <c r="B403" s="28" t="s">
        <v>11</v>
      </c>
      <c r="C403" s="28" t="s">
        <v>12</v>
      </c>
      <c r="D403" s="26" t="s">
        <v>814</v>
      </c>
      <c r="E403" s="37" t="s">
        <v>815</v>
      </c>
      <c r="F403" s="52">
        <v>43927</v>
      </c>
      <c r="G403" s="52">
        <v>44142</v>
      </c>
      <c r="H403" s="32" t="str">
        <f t="shared" si="11"/>
        <v>EVEN</v>
      </c>
      <c r="I403" s="103">
        <v>0</v>
      </c>
      <c r="J403" s="3" t="str">
        <f>UPPER(TEXT(F403,"mmm")) &amp; " - " &amp; UPPER(TEXT(G403,"mmm"))</f>
        <v>APR - NOV</v>
      </c>
      <c r="K403" s="3" t="s">
        <v>563</v>
      </c>
      <c r="L403" s="32" t="s">
        <v>16</v>
      </c>
      <c r="M403" s="32" t="str">
        <f t="shared" si="12"/>
        <v>No</v>
      </c>
      <c r="N403" s="32">
        <f>G403 - F403</f>
        <v>215</v>
      </c>
      <c r="O403">
        <v>1</v>
      </c>
    </row>
    <row r="404" spans="1:17" x14ac:dyDescent="0.3">
      <c r="A404" s="26" t="s">
        <v>816</v>
      </c>
      <c r="B404" s="28" t="s">
        <v>66</v>
      </c>
      <c r="C404" s="28" t="s">
        <v>12</v>
      </c>
      <c r="D404" s="26" t="s">
        <v>170</v>
      </c>
      <c r="E404" s="37" t="s">
        <v>730</v>
      </c>
      <c r="F404" s="52">
        <v>43814</v>
      </c>
      <c r="G404" s="52">
        <v>44012</v>
      </c>
      <c r="H404" s="32" t="str">
        <f t="shared" si="11"/>
        <v>ODD</v>
      </c>
      <c r="I404" s="103">
        <v>0</v>
      </c>
      <c r="J404" s="3" t="str">
        <f>UPPER(TEXT(F404,"mmm")) &amp; " - " &amp; UPPER(TEXT(G404,"mmm"))</f>
        <v>DEC - JUN</v>
      </c>
      <c r="K404" s="3" t="s">
        <v>563</v>
      </c>
      <c r="L404" s="32" t="s">
        <v>16</v>
      </c>
      <c r="M404" s="32" t="str">
        <f t="shared" si="12"/>
        <v>No</v>
      </c>
      <c r="N404" s="32">
        <f>G404 - F404</f>
        <v>198</v>
      </c>
      <c r="O404">
        <v>1</v>
      </c>
    </row>
    <row r="405" spans="1:17" x14ac:dyDescent="0.3">
      <c r="A405" s="26" t="s">
        <v>816</v>
      </c>
      <c r="B405" s="28" t="s">
        <v>66</v>
      </c>
      <c r="C405" s="28" t="s">
        <v>12</v>
      </c>
      <c r="D405" s="26" t="s">
        <v>170</v>
      </c>
      <c r="E405" s="37" t="s">
        <v>396</v>
      </c>
      <c r="F405" s="52">
        <v>43952</v>
      </c>
      <c r="G405" s="52">
        <v>44025</v>
      </c>
      <c r="H405" s="32" t="str">
        <f t="shared" si="11"/>
        <v>EVEN</v>
      </c>
      <c r="I405" s="103">
        <v>0</v>
      </c>
      <c r="J405" s="3" t="str">
        <f>UPPER(TEXT(F405,"mmm")) &amp; " - " &amp; UPPER(TEXT(G405,"mmm"))</f>
        <v>MAY - JUL</v>
      </c>
      <c r="K405" s="3" t="s">
        <v>563</v>
      </c>
      <c r="L405" s="32" t="s">
        <v>16</v>
      </c>
      <c r="M405" s="32" t="str">
        <f t="shared" si="12"/>
        <v>No</v>
      </c>
      <c r="N405" s="32">
        <f>G405 - F405</f>
        <v>73</v>
      </c>
      <c r="O405">
        <v>1</v>
      </c>
    </row>
    <row r="406" spans="1:17" x14ac:dyDescent="0.3">
      <c r="A406" s="26" t="s">
        <v>817</v>
      </c>
      <c r="B406" s="28" t="s">
        <v>11</v>
      </c>
      <c r="C406" s="28" t="s">
        <v>12</v>
      </c>
      <c r="D406" s="26" t="s">
        <v>818</v>
      </c>
      <c r="E406" s="37" t="s">
        <v>819</v>
      </c>
      <c r="F406" s="52">
        <v>43927</v>
      </c>
      <c r="G406" s="52">
        <v>44111</v>
      </c>
      <c r="H406" s="32" t="str">
        <f t="shared" si="11"/>
        <v>EVEN</v>
      </c>
      <c r="I406" s="103">
        <v>0</v>
      </c>
      <c r="J406" s="3" t="str">
        <f>UPPER(TEXT(F406,"mmm")) &amp; " - " &amp; UPPER(TEXT(G406,"mmm"))</f>
        <v>APR - OCT</v>
      </c>
      <c r="K406" s="3" t="s">
        <v>563</v>
      </c>
      <c r="L406" s="32" t="s">
        <v>16</v>
      </c>
      <c r="M406" s="32" t="str">
        <f t="shared" si="12"/>
        <v>No</v>
      </c>
      <c r="N406" s="32">
        <f>G406 - F406</f>
        <v>184</v>
      </c>
      <c r="O406">
        <v>1</v>
      </c>
    </row>
    <row r="407" spans="1:17" ht="27" x14ac:dyDescent="0.3">
      <c r="A407" s="26" t="s">
        <v>817</v>
      </c>
      <c r="B407" s="28" t="s">
        <v>11</v>
      </c>
      <c r="C407" s="28" t="s">
        <v>12</v>
      </c>
      <c r="D407" s="26" t="s">
        <v>818</v>
      </c>
      <c r="E407" s="37" t="s">
        <v>820</v>
      </c>
      <c r="F407" s="52">
        <v>43927</v>
      </c>
      <c r="G407" s="52">
        <v>44111</v>
      </c>
      <c r="H407" s="32" t="str">
        <f t="shared" si="11"/>
        <v>EVEN</v>
      </c>
      <c r="I407" s="103">
        <v>0</v>
      </c>
      <c r="J407" s="3" t="str">
        <f>UPPER(TEXT(F407,"mmm")) &amp; " - " &amp; UPPER(TEXT(G407,"mmm"))</f>
        <v>APR - OCT</v>
      </c>
      <c r="K407" s="3" t="s">
        <v>563</v>
      </c>
      <c r="L407" s="32" t="s">
        <v>16</v>
      </c>
      <c r="M407" s="32" t="str">
        <f t="shared" si="12"/>
        <v>No</v>
      </c>
      <c r="N407" s="32">
        <f>G407 - F407</f>
        <v>184</v>
      </c>
      <c r="O407">
        <v>1</v>
      </c>
    </row>
    <row r="408" spans="1:17" x14ac:dyDescent="0.3">
      <c r="A408" s="26" t="s">
        <v>817</v>
      </c>
      <c r="B408" s="28" t="s">
        <v>11</v>
      </c>
      <c r="C408" s="28" t="s">
        <v>12</v>
      </c>
      <c r="D408" s="26" t="s">
        <v>605</v>
      </c>
      <c r="E408" s="37" t="s">
        <v>606</v>
      </c>
      <c r="F408" s="52">
        <v>43838</v>
      </c>
      <c r="G408" s="52" t="s">
        <v>733</v>
      </c>
      <c r="H408" s="32" t="str">
        <f t="shared" si="11"/>
        <v>EVEN</v>
      </c>
      <c r="I408" s="103">
        <v>0</v>
      </c>
      <c r="J408" s="3" t="str">
        <f>UPPER(TEXT(F408,"mmm")) &amp; " - " &amp; UPPER(TEXT(G408,"mmm"))</f>
        <v>JAN - JUN</v>
      </c>
      <c r="K408" s="3" t="s">
        <v>563</v>
      </c>
      <c r="L408" s="32" t="s">
        <v>16</v>
      </c>
      <c r="M408" s="32" t="str">
        <f t="shared" si="12"/>
        <v>No</v>
      </c>
      <c r="N408" s="32">
        <f>G408 - F408</f>
        <v>157</v>
      </c>
      <c r="O408">
        <v>1</v>
      </c>
      <c r="P408" s="52"/>
      <c r="Q408" s="52"/>
    </row>
    <row r="409" spans="1:17" x14ac:dyDescent="0.3">
      <c r="A409" s="26" t="s">
        <v>821</v>
      </c>
      <c r="B409" s="28" t="s">
        <v>66</v>
      </c>
      <c r="C409" s="28" t="s">
        <v>12</v>
      </c>
      <c r="D409" s="26" t="s">
        <v>822</v>
      </c>
      <c r="E409" s="37" t="s">
        <v>823</v>
      </c>
      <c r="F409" s="52" t="s">
        <v>812</v>
      </c>
      <c r="G409" s="52" t="s">
        <v>813</v>
      </c>
      <c r="H409" s="32" t="str">
        <f t="shared" si="11"/>
        <v>EVEN</v>
      </c>
      <c r="I409" s="103">
        <v>0</v>
      </c>
      <c r="J409" s="3" t="str">
        <f>UPPER(TEXT(F409,"mmm")) &amp; " - " &amp; UPPER(TEXT(G409,"mmm"))</f>
        <v>JAN - JUL</v>
      </c>
      <c r="K409" s="3" t="s">
        <v>563</v>
      </c>
      <c r="L409" s="32" t="s">
        <v>16</v>
      </c>
      <c r="M409" s="32" t="str">
        <f t="shared" si="12"/>
        <v>No</v>
      </c>
      <c r="N409" s="32">
        <f>G409 - F409</f>
        <v>187</v>
      </c>
      <c r="O409">
        <v>1</v>
      </c>
    </row>
    <row r="410" spans="1:17" x14ac:dyDescent="0.3">
      <c r="A410" s="26" t="s">
        <v>824</v>
      </c>
      <c r="B410" s="28" t="s">
        <v>66</v>
      </c>
      <c r="C410" s="28" t="s">
        <v>12</v>
      </c>
      <c r="D410" s="26" t="s">
        <v>751</v>
      </c>
      <c r="E410" s="37" t="s">
        <v>825</v>
      </c>
      <c r="F410" s="52">
        <v>43815</v>
      </c>
      <c r="G410" s="52">
        <v>43890</v>
      </c>
      <c r="H410" s="32" t="str">
        <f t="shared" si="11"/>
        <v>ODD</v>
      </c>
      <c r="I410" s="103">
        <v>0</v>
      </c>
      <c r="J410" s="3" t="str">
        <f>UPPER(TEXT(F410,"mmm")) &amp; " - " &amp; UPPER(TEXT(G410,"mmm"))</f>
        <v>DEC - FEB</v>
      </c>
      <c r="K410" s="3" t="s">
        <v>563</v>
      </c>
      <c r="L410" s="32" t="s">
        <v>16</v>
      </c>
      <c r="M410" s="32" t="str">
        <f t="shared" si="12"/>
        <v>No</v>
      </c>
      <c r="N410" s="32">
        <f>G410 - F410</f>
        <v>75</v>
      </c>
      <c r="O410">
        <v>1</v>
      </c>
    </row>
    <row r="411" spans="1:17" x14ac:dyDescent="0.3">
      <c r="A411" s="26" t="s">
        <v>826</v>
      </c>
      <c r="B411" s="28" t="s">
        <v>66</v>
      </c>
      <c r="C411" s="28" t="s">
        <v>12</v>
      </c>
      <c r="D411" s="26" t="s">
        <v>605</v>
      </c>
      <c r="E411" s="37" t="s">
        <v>811</v>
      </c>
      <c r="F411" s="52" t="s">
        <v>812</v>
      </c>
      <c r="G411" s="52" t="s">
        <v>813</v>
      </c>
      <c r="H411" s="32" t="str">
        <f t="shared" si="11"/>
        <v>EVEN</v>
      </c>
      <c r="I411" s="103">
        <v>0</v>
      </c>
      <c r="J411" s="3" t="str">
        <f>UPPER(TEXT(F411,"mmm")) &amp; " - " &amp; UPPER(TEXT(G411,"mmm"))</f>
        <v>JAN - JUL</v>
      </c>
      <c r="K411" s="3" t="s">
        <v>563</v>
      </c>
      <c r="L411" s="32" t="s">
        <v>16</v>
      </c>
      <c r="M411" s="32" t="str">
        <f t="shared" si="12"/>
        <v>No</v>
      </c>
      <c r="N411" s="32">
        <f>G411 - F411</f>
        <v>187</v>
      </c>
      <c r="O411">
        <v>1</v>
      </c>
    </row>
    <row r="412" spans="1:17" ht="27" x14ac:dyDescent="0.3">
      <c r="A412" s="26" t="s">
        <v>379</v>
      </c>
      <c r="B412" s="28" t="s">
        <v>11</v>
      </c>
      <c r="C412" s="28" t="s">
        <v>12</v>
      </c>
      <c r="D412" s="26" t="s">
        <v>827</v>
      </c>
      <c r="E412" s="37" t="s">
        <v>828</v>
      </c>
      <c r="F412" s="52" t="s">
        <v>813</v>
      </c>
      <c r="G412" s="52" t="s">
        <v>829</v>
      </c>
      <c r="H412" s="32" t="str">
        <f t="shared" si="11"/>
        <v>EVEN</v>
      </c>
      <c r="I412" s="103">
        <v>0</v>
      </c>
      <c r="J412" s="3" t="str">
        <f>UPPER(TEXT(F412,"mmm")) &amp; " - " &amp; UPPER(TEXT(G412,"mmm"))</f>
        <v>JUL - AUG</v>
      </c>
      <c r="K412" s="3" t="s">
        <v>563</v>
      </c>
      <c r="L412" s="32" t="s">
        <v>16</v>
      </c>
      <c r="M412" s="32" t="str">
        <f t="shared" si="12"/>
        <v>No</v>
      </c>
      <c r="N412" s="32">
        <f>G412 - F412</f>
        <v>42</v>
      </c>
      <c r="O412">
        <v>1</v>
      </c>
    </row>
    <row r="413" spans="1:17" ht="27" x14ac:dyDescent="0.3">
      <c r="A413" s="26" t="s">
        <v>830</v>
      </c>
      <c r="B413" s="28" t="s">
        <v>11</v>
      </c>
      <c r="C413" s="28" t="s">
        <v>12</v>
      </c>
      <c r="D413" s="26" t="s">
        <v>814</v>
      </c>
      <c r="E413" s="37" t="s">
        <v>815</v>
      </c>
      <c r="F413" s="52">
        <v>43927</v>
      </c>
      <c r="G413" s="52">
        <v>44142</v>
      </c>
      <c r="H413" s="32" t="str">
        <f t="shared" si="11"/>
        <v>EVEN</v>
      </c>
      <c r="I413" s="103">
        <v>0</v>
      </c>
      <c r="J413" s="3" t="str">
        <f>UPPER(TEXT(F413,"mmm")) &amp; " - " &amp; UPPER(TEXT(G413,"mmm"))</f>
        <v>APR - NOV</v>
      </c>
      <c r="K413" s="3" t="s">
        <v>563</v>
      </c>
      <c r="L413" s="32" t="s">
        <v>16</v>
      </c>
      <c r="M413" s="32" t="str">
        <f t="shared" si="12"/>
        <v>No</v>
      </c>
      <c r="N413" s="32">
        <f>G413 - F413</f>
        <v>215</v>
      </c>
      <c r="O413">
        <v>1</v>
      </c>
    </row>
    <row r="414" spans="1:17" x14ac:dyDescent="0.3">
      <c r="A414" s="26" t="s">
        <v>250</v>
      </c>
      <c r="B414" s="28" t="s">
        <v>66</v>
      </c>
      <c r="C414" s="28" t="s">
        <v>12</v>
      </c>
      <c r="D414" s="26" t="s">
        <v>728</v>
      </c>
      <c r="E414" s="37" t="s">
        <v>801</v>
      </c>
      <c r="F414" s="52" t="s">
        <v>831</v>
      </c>
      <c r="G414" s="52" t="s">
        <v>832</v>
      </c>
      <c r="H414" s="32" t="str">
        <f t="shared" si="11"/>
        <v>EVEN</v>
      </c>
      <c r="I414" s="103">
        <v>0</v>
      </c>
      <c r="J414" s="3" t="str">
        <f>UPPER(TEXT(F414,"mmm")) &amp; " - " &amp; UPPER(TEXT(G414,"mmm"))</f>
        <v>APR - JUN</v>
      </c>
      <c r="K414" s="3" t="s">
        <v>563</v>
      </c>
      <c r="L414" s="32" t="s">
        <v>16</v>
      </c>
      <c r="M414" s="32" t="str">
        <f t="shared" si="12"/>
        <v>No</v>
      </c>
      <c r="N414" s="32">
        <f>G414 - F414</f>
        <v>61</v>
      </c>
      <c r="O414">
        <v>1</v>
      </c>
    </row>
    <row r="415" spans="1:17" ht="40.200000000000003" x14ac:dyDescent="0.3">
      <c r="A415" s="26" t="s">
        <v>181</v>
      </c>
      <c r="B415" s="28" t="s">
        <v>66</v>
      </c>
      <c r="C415" s="28" t="s">
        <v>12</v>
      </c>
      <c r="D415" s="26" t="s">
        <v>687</v>
      </c>
      <c r="E415" s="37" t="s">
        <v>688</v>
      </c>
      <c r="F415" s="52" t="s">
        <v>689</v>
      </c>
      <c r="G415" s="52">
        <v>44013</v>
      </c>
      <c r="H415" s="32" t="str">
        <f t="shared" si="11"/>
        <v>EVEN</v>
      </c>
      <c r="I415" s="103">
        <v>0</v>
      </c>
      <c r="J415" s="3" t="str">
        <f>UPPER(TEXT(F415,"mmm")) &amp; " - " &amp; UPPER(TEXT(G415,"mmm"))</f>
        <v>MAR - JUL</v>
      </c>
      <c r="K415" s="3" t="s">
        <v>563</v>
      </c>
      <c r="L415" s="32" t="s">
        <v>16</v>
      </c>
      <c r="M415" s="32" t="str">
        <f t="shared" si="12"/>
        <v>No</v>
      </c>
      <c r="N415" s="32">
        <f>G415 - F415</f>
        <v>93</v>
      </c>
      <c r="O415">
        <v>1</v>
      </c>
      <c r="P415" s="52"/>
      <c r="Q415" s="52"/>
    </row>
    <row r="416" spans="1:17" x14ac:dyDescent="0.3">
      <c r="A416" s="38" t="s">
        <v>833</v>
      </c>
      <c r="B416" s="39" t="s">
        <v>11</v>
      </c>
      <c r="C416" s="39" t="s">
        <v>12</v>
      </c>
      <c r="D416" s="38" t="s">
        <v>639</v>
      </c>
      <c r="E416" s="40" t="s">
        <v>640</v>
      </c>
      <c r="F416" s="71">
        <v>43836</v>
      </c>
      <c r="G416" s="71">
        <v>43990</v>
      </c>
      <c r="H416" s="32" t="str">
        <f t="shared" si="11"/>
        <v>EVEN</v>
      </c>
      <c r="I416" s="103">
        <v>0</v>
      </c>
      <c r="J416" s="3" t="str">
        <f>UPPER(TEXT(F416,"mmm")) &amp; " - " &amp; UPPER(TEXT(G416,"mmm"))</f>
        <v>JAN - JUN</v>
      </c>
      <c r="K416" s="3" t="s">
        <v>563</v>
      </c>
      <c r="L416" s="32" t="s">
        <v>16</v>
      </c>
      <c r="M416" s="32" t="str">
        <f t="shared" si="12"/>
        <v>No</v>
      </c>
      <c r="N416" s="32">
        <f>G416 - F416</f>
        <v>154</v>
      </c>
      <c r="O416">
        <v>1</v>
      </c>
    </row>
    <row r="417" spans="1:15" x14ac:dyDescent="0.3">
      <c r="A417" s="26" t="s">
        <v>833</v>
      </c>
      <c r="B417" s="28" t="s">
        <v>11</v>
      </c>
      <c r="C417" s="28" t="s">
        <v>12</v>
      </c>
      <c r="D417" s="26" t="s">
        <v>777</v>
      </c>
      <c r="E417" s="37" t="s">
        <v>834</v>
      </c>
      <c r="F417" s="52">
        <v>43822</v>
      </c>
      <c r="G417" s="52">
        <v>43912</v>
      </c>
      <c r="H417" s="32" t="str">
        <f t="shared" si="11"/>
        <v>ODD</v>
      </c>
      <c r="I417" s="103">
        <v>0</v>
      </c>
      <c r="J417" s="3" t="str">
        <f>UPPER(TEXT(F417,"mmm")) &amp; " - " &amp; UPPER(TEXT(G417,"mmm"))</f>
        <v>DEC - MAR</v>
      </c>
      <c r="K417" s="3" t="s">
        <v>563</v>
      </c>
      <c r="L417" s="32" t="s">
        <v>16</v>
      </c>
      <c r="M417" s="32" t="str">
        <f t="shared" si="12"/>
        <v>No</v>
      </c>
      <c r="N417" s="32">
        <f>G417 - F417</f>
        <v>90</v>
      </c>
      <c r="O417">
        <v>1</v>
      </c>
    </row>
    <row r="418" spans="1:15" x14ac:dyDescent="0.3">
      <c r="A418" s="26" t="s">
        <v>383</v>
      </c>
      <c r="B418" s="28" t="s">
        <v>66</v>
      </c>
      <c r="C418" s="28" t="s">
        <v>12</v>
      </c>
      <c r="D418" s="26" t="s">
        <v>747</v>
      </c>
      <c r="E418" s="37" t="s">
        <v>748</v>
      </c>
      <c r="F418" s="52">
        <v>36168</v>
      </c>
      <c r="G418" s="52" t="s">
        <v>749</v>
      </c>
      <c r="H418" s="32" t="str">
        <f t="shared" si="11"/>
        <v>EVEN</v>
      </c>
      <c r="I418" s="103">
        <v>0</v>
      </c>
      <c r="J418" s="3" t="str">
        <f>UPPER(TEXT(F418,"mmm")) &amp; " - " &amp; UPPER(TEXT(G418,"mmm"))</f>
        <v>JAN - JAN</v>
      </c>
      <c r="K418" s="3" t="s">
        <v>563</v>
      </c>
      <c r="L418" s="32" t="s">
        <v>16</v>
      </c>
      <c r="M418" s="32" t="str">
        <f t="shared" si="12"/>
        <v>No</v>
      </c>
      <c r="N418" s="32">
        <f>G418 - F418</f>
        <v>7693</v>
      </c>
      <c r="O418">
        <v>1</v>
      </c>
    </row>
    <row r="419" spans="1:15" x14ac:dyDescent="0.3">
      <c r="A419" s="26" t="s">
        <v>657</v>
      </c>
      <c r="B419" s="28" t="s">
        <v>78</v>
      </c>
      <c r="C419" s="28" t="s">
        <v>12</v>
      </c>
      <c r="D419" s="26" t="s">
        <v>835</v>
      </c>
      <c r="E419" s="26" t="s">
        <v>650</v>
      </c>
      <c r="F419" s="52">
        <v>43997</v>
      </c>
      <c r="G419" s="52">
        <v>44042</v>
      </c>
      <c r="H419" s="32" t="str">
        <f t="shared" si="11"/>
        <v>EVEN</v>
      </c>
      <c r="I419" s="103">
        <v>0</v>
      </c>
      <c r="J419" s="3" t="str">
        <f>UPPER(TEXT(F419,"mmm")) &amp; " - " &amp; UPPER(TEXT(G419,"mmm"))</f>
        <v>JUN - JUL</v>
      </c>
      <c r="K419" s="3" t="s">
        <v>563</v>
      </c>
      <c r="L419" s="32" t="s">
        <v>16</v>
      </c>
      <c r="M419" s="32" t="str">
        <f t="shared" si="12"/>
        <v>No</v>
      </c>
      <c r="N419" s="32">
        <f>G419 - F419</f>
        <v>45</v>
      </c>
      <c r="O419">
        <v>1</v>
      </c>
    </row>
    <row r="420" spans="1:15" x14ac:dyDescent="0.3">
      <c r="A420" s="26" t="s">
        <v>360</v>
      </c>
      <c r="B420" s="28" t="s">
        <v>78</v>
      </c>
      <c r="C420" s="28" t="s">
        <v>12</v>
      </c>
      <c r="D420" s="26" t="s">
        <v>836</v>
      </c>
      <c r="E420" s="26" t="s">
        <v>837</v>
      </c>
      <c r="F420" s="52">
        <v>43805</v>
      </c>
      <c r="G420" s="52">
        <v>43851</v>
      </c>
      <c r="H420" s="32" t="str">
        <f t="shared" si="11"/>
        <v>ODD</v>
      </c>
      <c r="I420" s="103">
        <v>0</v>
      </c>
      <c r="J420" s="3" t="str">
        <f>UPPER(TEXT(F420,"mmm")) &amp; " - " &amp; UPPER(TEXT(G420,"mmm"))</f>
        <v>DEC - JAN</v>
      </c>
      <c r="K420" s="3" t="s">
        <v>563</v>
      </c>
      <c r="L420" s="32" t="s">
        <v>16</v>
      </c>
      <c r="M420" s="32" t="str">
        <f t="shared" si="12"/>
        <v>No</v>
      </c>
      <c r="N420" s="32">
        <f>G420 - F420</f>
        <v>46</v>
      </c>
      <c r="O420">
        <v>1</v>
      </c>
    </row>
    <row r="421" spans="1:15" x14ac:dyDescent="0.3">
      <c r="A421" s="2" t="s">
        <v>57</v>
      </c>
      <c r="B421" s="3" t="s">
        <v>78</v>
      </c>
      <c r="C421" s="3" t="s">
        <v>12</v>
      </c>
      <c r="D421" s="2" t="s">
        <v>838</v>
      </c>
      <c r="E421" s="2" t="s">
        <v>839</v>
      </c>
      <c r="F421" s="52">
        <v>43983</v>
      </c>
      <c r="G421" s="52">
        <v>44206</v>
      </c>
      <c r="H421" s="32" t="str">
        <f t="shared" si="11"/>
        <v>EVEN</v>
      </c>
      <c r="I421" s="103">
        <v>0</v>
      </c>
      <c r="J421" s="3" t="str">
        <f>UPPER(TEXT(F421,"mmm")) &amp; " - " &amp; UPPER(TEXT(G421,"mmm"))</f>
        <v>JUN - JAN</v>
      </c>
      <c r="K421" s="3" t="s">
        <v>563</v>
      </c>
      <c r="L421" s="32" t="s">
        <v>16</v>
      </c>
      <c r="M421" s="32" t="str">
        <f t="shared" si="12"/>
        <v>No</v>
      </c>
      <c r="N421" s="32">
        <f>G421 - F421</f>
        <v>223</v>
      </c>
      <c r="O421">
        <v>1</v>
      </c>
    </row>
    <row r="422" spans="1:15" x14ac:dyDescent="0.3">
      <c r="A422" s="2" t="s">
        <v>54</v>
      </c>
      <c r="B422" s="3" t="s">
        <v>78</v>
      </c>
      <c r="C422" s="3" t="s">
        <v>12</v>
      </c>
      <c r="D422" s="2" t="s">
        <v>838</v>
      </c>
      <c r="E422" s="2" t="s">
        <v>839</v>
      </c>
      <c r="F422" s="52">
        <v>43983</v>
      </c>
      <c r="G422" s="52">
        <v>44206</v>
      </c>
      <c r="H422" s="32" t="str">
        <f t="shared" si="11"/>
        <v>EVEN</v>
      </c>
      <c r="I422" s="103">
        <v>0</v>
      </c>
      <c r="J422" s="3" t="str">
        <f>UPPER(TEXT(F422,"mmm")) &amp; " - " &amp; UPPER(TEXT(G422,"mmm"))</f>
        <v>JUN - JAN</v>
      </c>
      <c r="K422" s="3" t="s">
        <v>563</v>
      </c>
      <c r="L422" s="32" t="s">
        <v>16</v>
      </c>
      <c r="M422" s="32" t="str">
        <f t="shared" si="12"/>
        <v>No</v>
      </c>
      <c r="N422" s="32">
        <f>G422 - F422</f>
        <v>223</v>
      </c>
      <c r="O422">
        <v>1</v>
      </c>
    </row>
    <row r="423" spans="1:15" x14ac:dyDescent="0.3">
      <c r="A423" s="2" t="s">
        <v>64</v>
      </c>
      <c r="B423" s="3" t="s">
        <v>78</v>
      </c>
      <c r="C423" s="3" t="s">
        <v>12</v>
      </c>
      <c r="D423" s="2" t="s">
        <v>838</v>
      </c>
      <c r="E423" s="2" t="s">
        <v>839</v>
      </c>
      <c r="F423" s="52">
        <v>43983</v>
      </c>
      <c r="G423" s="52">
        <v>44206</v>
      </c>
      <c r="H423" s="32" t="str">
        <f t="shared" si="11"/>
        <v>EVEN</v>
      </c>
      <c r="I423" s="103">
        <v>0</v>
      </c>
      <c r="J423" s="3" t="str">
        <f>UPPER(TEXT(F423,"mmm")) &amp; " - " &amp; UPPER(TEXT(G423,"mmm"))</f>
        <v>JUN - JAN</v>
      </c>
      <c r="K423" s="3" t="s">
        <v>563</v>
      </c>
      <c r="L423" s="32" t="s">
        <v>16</v>
      </c>
      <c r="M423" s="32" t="str">
        <f t="shared" si="12"/>
        <v>No</v>
      </c>
      <c r="N423" s="32">
        <f>G423 - F423</f>
        <v>223</v>
      </c>
      <c r="O423">
        <v>1</v>
      </c>
    </row>
    <row r="424" spans="1:15" x14ac:dyDescent="0.3">
      <c r="A424" s="2" t="s">
        <v>93</v>
      </c>
      <c r="B424" s="3" t="s">
        <v>70</v>
      </c>
      <c r="C424" s="3" t="s">
        <v>12</v>
      </c>
      <c r="D424" s="2" t="s">
        <v>840</v>
      </c>
      <c r="E424" s="2" t="s">
        <v>841</v>
      </c>
      <c r="F424" s="63">
        <v>43809</v>
      </c>
      <c r="G424" s="63">
        <v>43908</v>
      </c>
      <c r="H424" s="32" t="str">
        <f t="shared" si="11"/>
        <v>ODD</v>
      </c>
      <c r="I424" s="103">
        <v>0</v>
      </c>
      <c r="J424" s="3" t="str">
        <f>UPPER(TEXT(F424,"mmm")) &amp; " - " &amp; UPPER(TEXT(G424,"mmm"))</f>
        <v>DEC - MAR</v>
      </c>
      <c r="K424" s="3" t="s">
        <v>563</v>
      </c>
      <c r="L424" s="32" t="s">
        <v>16</v>
      </c>
      <c r="M424" s="32" t="str">
        <f t="shared" si="12"/>
        <v>No</v>
      </c>
      <c r="N424" s="32">
        <f>G424 - F424</f>
        <v>99</v>
      </c>
      <c r="O424">
        <v>1</v>
      </c>
    </row>
    <row r="425" spans="1:15" x14ac:dyDescent="0.3">
      <c r="A425" s="8" t="s">
        <v>105</v>
      </c>
      <c r="B425" s="10" t="s">
        <v>70</v>
      </c>
      <c r="C425" s="10" t="s">
        <v>12</v>
      </c>
      <c r="D425" s="8" t="s">
        <v>129</v>
      </c>
      <c r="E425" s="8" t="s">
        <v>841</v>
      </c>
      <c r="F425" s="65">
        <v>43809</v>
      </c>
      <c r="G425" s="65">
        <v>43908</v>
      </c>
      <c r="H425" s="32" t="str">
        <f t="shared" si="11"/>
        <v>ODD</v>
      </c>
      <c r="I425" s="103">
        <v>0</v>
      </c>
      <c r="J425" s="3" t="str">
        <f>UPPER(TEXT(F425,"mmm")) &amp; " - " &amp; UPPER(TEXT(G425,"mmm"))</f>
        <v>DEC - MAR</v>
      </c>
      <c r="K425" s="3" t="s">
        <v>563</v>
      </c>
      <c r="L425" s="32" t="s">
        <v>16</v>
      </c>
      <c r="M425" s="32" t="str">
        <f t="shared" si="12"/>
        <v>No</v>
      </c>
      <c r="N425" s="32">
        <f>G425 - F425</f>
        <v>99</v>
      </c>
      <c r="O425">
        <v>1</v>
      </c>
    </row>
    <row r="426" spans="1:15" x14ac:dyDescent="0.3">
      <c r="A426" s="8" t="s">
        <v>341</v>
      </c>
      <c r="B426" s="10" t="s">
        <v>78</v>
      </c>
      <c r="C426" s="10" t="s">
        <v>12</v>
      </c>
      <c r="D426" s="8" t="s">
        <v>842</v>
      </c>
      <c r="E426" s="8" t="s">
        <v>843</v>
      </c>
      <c r="F426" s="65">
        <v>43677</v>
      </c>
      <c r="G426" s="65">
        <v>43900</v>
      </c>
      <c r="H426" s="32" t="str">
        <f t="shared" ref="H426:H445" si="13">IF((AND(F426&gt;=DATE(2019,7,15),F426&lt;=DATE(2019,12,31))),"ODD", "EVEN")</f>
        <v>ODD</v>
      </c>
      <c r="I426" s="103">
        <v>0</v>
      </c>
      <c r="J426" s="3" t="str">
        <f>UPPER(TEXT(F426,"mmm")) &amp; " - " &amp; UPPER(TEXT(G426,"mmm"))</f>
        <v>JUL - MAR</v>
      </c>
      <c r="K426" s="3" t="s">
        <v>563</v>
      </c>
      <c r="L426" s="32" t="s">
        <v>16</v>
      </c>
      <c r="M426" s="32" t="str">
        <f t="shared" si="12"/>
        <v>No</v>
      </c>
      <c r="N426" s="32">
        <f>G426 - F426</f>
        <v>223</v>
      </c>
      <c r="O426">
        <v>1</v>
      </c>
    </row>
    <row r="427" spans="1:15" x14ac:dyDescent="0.3">
      <c r="A427" s="8" t="s">
        <v>844</v>
      </c>
      <c r="B427" s="10" t="s">
        <v>78</v>
      </c>
      <c r="C427" s="10" t="s">
        <v>12</v>
      </c>
      <c r="D427" s="8" t="s">
        <v>845</v>
      </c>
      <c r="E427" s="8" t="s">
        <v>843</v>
      </c>
      <c r="F427" s="65">
        <v>43678</v>
      </c>
      <c r="G427" s="65">
        <v>44265</v>
      </c>
      <c r="H427" s="32" t="str">
        <f t="shared" si="13"/>
        <v>ODD</v>
      </c>
      <c r="I427" s="103">
        <v>0</v>
      </c>
      <c r="J427" s="3" t="str">
        <f>UPPER(TEXT(F427,"mmm")) &amp; " - " &amp; UPPER(TEXT(G427,"mmm"))</f>
        <v>AUG - MAR</v>
      </c>
      <c r="K427" s="3" t="s">
        <v>563</v>
      </c>
      <c r="L427" s="32" t="s">
        <v>16</v>
      </c>
      <c r="M427" s="32" t="str">
        <f t="shared" si="12"/>
        <v>No</v>
      </c>
      <c r="N427" s="32">
        <f>G427 - F427</f>
        <v>587</v>
      </c>
      <c r="O427">
        <v>1</v>
      </c>
    </row>
    <row r="428" spans="1:15" x14ac:dyDescent="0.3">
      <c r="A428" s="8" t="s">
        <v>846</v>
      </c>
      <c r="B428" s="10" t="s">
        <v>78</v>
      </c>
      <c r="C428" s="10" t="s">
        <v>12</v>
      </c>
      <c r="D428" s="8" t="s">
        <v>842</v>
      </c>
      <c r="E428" s="8" t="s">
        <v>843</v>
      </c>
      <c r="F428" s="65">
        <v>43678</v>
      </c>
      <c r="G428" s="65">
        <v>43900</v>
      </c>
      <c r="H428" s="32" t="str">
        <f t="shared" si="13"/>
        <v>ODD</v>
      </c>
      <c r="I428" s="103">
        <v>0</v>
      </c>
      <c r="J428" s="3" t="str">
        <f>UPPER(TEXT(F428,"mmm")) &amp; " - " &amp; UPPER(TEXT(G428,"mmm"))</f>
        <v>AUG - MAR</v>
      </c>
      <c r="K428" s="3" t="s">
        <v>563</v>
      </c>
      <c r="L428" s="32" t="s">
        <v>16</v>
      </c>
      <c r="M428" s="32" t="str">
        <f t="shared" si="12"/>
        <v>No</v>
      </c>
      <c r="N428" s="32">
        <f>G428 - F428</f>
        <v>222</v>
      </c>
      <c r="O428">
        <v>1</v>
      </c>
    </row>
    <row r="429" spans="1:15" x14ac:dyDescent="0.3">
      <c r="A429" s="8" t="s">
        <v>847</v>
      </c>
      <c r="B429" s="10" t="s">
        <v>78</v>
      </c>
      <c r="C429" s="10" t="s">
        <v>12</v>
      </c>
      <c r="D429" s="8" t="s">
        <v>842</v>
      </c>
      <c r="E429" s="8" t="s">
        <v>848</v>
      </c>
      <c r="F429" s="65">
        <v>43725</v>
      </c>
      <c r="G429" s="65">
        <v>43900</v>
      </c>
      <c r="H429" s="32" t="str">
        <f t="shared" si="13"/>
        <v>ODD</v>
      </c>
      <c r="I429" s="103">
        <v>0</v>
      </c>
      <c r="J429" s="3" t="str">
        <f>UPPER(TEXT(F429,"mmm")) &amp; " - " &amp; UPPER(TEXT(G429,"mmm"))</f>
        <v>SEP - MAR</v>
      </c>
      <c r="K429" s="3" t="s">
        <v>563</v>
      </c>
      <c r="L429" s="32" t="s">
        <v>16</v>
      </c>
      <c r="M429" s="32" t="str">
        <f t="shared" si="12"/>
        <v>No</v>
      </c>
      <c r="N429" s="32">
        <f>G429 - F429</f>
        <v>175</v>
      </c>
      <c r="O429">
        <v>1</v>
      </c>
    </row>
    <row r="430" spans="1:15" x14ac:dyDescent="0.3">
      <c r="A430" s="8" t="s">
        <v>849</v>
      </c>
      <c r="B430" s="10" t="s">
        <v>78</v>
      </c>
      <c r="C430" s="10" t="s">
        <v>12</v>
      </c>
      <c r="D430" s="8" t="s">
        <v>850</v>
      </c>
      <c r="E430" s="8" t="s">
        <v>851</v>
      </c>
      <c r="F430" s="65">
        <v>43709</v>
      </c>
      <c r="G430" s="65">
        <v>44075</v>
      </c>
      <c r="H430" s="32" t="str">
        <f t="shared" si="13"/>
        <v>ODD</v>
      </c>
      <c r="I430" s="103">
        <v>0</v>
      </c>
      <c r="J430" s="3" t="str">
        <f>UPPER(TEXT(F430,"mmm")) &amp; " - " &amp; UPPER(TEXT(G430,"mmm"))</f>
        <v>SEP - SEP</v>
      </c>
      <c r="K430" s="3" t="s">
        <v>563</v>
      </c>
      <c r="L430" s="32" t="s">
        <v>16</v>
      </c>
      <c r="M430" s="32" t="str">
        <f t="shared" si="12"/>
        <v>No</v>
      </c>
      <c r="N430" s="32">
        <f>G430 - F430</f>
        <v>366</v>
      </c>
      <c r="O430">
        <v>1</v>
      </c>
    </row>
    <row r="431" spans="1:15" x14ac:dyDescent="0.3">
      <c r="A431" s="8" t="s">
        <v>852</v>
      </c>
      <c r="B431" s="10" t="s">
        <v>78</v>
      </c>
      <c r="C431" s="10" t="s">
        <v>12</v>
      </c>
      <c r="D431" s="8" t="s">
        <v>853</v>
      </c>
      <c r="E431" s="8" t="s">
        <v>854</v>
      </c>
      <c r="F431" s="65">
        <v>43709</v>
      </c>
      <c r="G431" s="65">
        <v>44075</v>
      </c>
      <c r="H431" s="32" t="str">
        <f t="shared" si="13"/>
        <v>ODD</v>
      </c>
      <c r="I431" s="103">
        <v>0</v>
      </c>
      <c r="J431" s="3" t="str">
        <f>UPPER(TEXT(F431,"mmm")) &amp; " - " &amp; UPPER(TEXT(G431,"mmm"))</f>
        <v>SEP - SEP</v>
      </c>
      <c r="K431" s="3" t="s">
        <v>563</v>
      </c>
      <c r="L431" s="32" t="s">
        <v>16</v>
      </c>
      <c r="M431" s="32" t="str">
        <f t="shared" si="12"/>
        <v>No</v>
      </c>
      <c r="N431" s="32">
        <f>G431 - F431</f>
        <v>366</v>
      </c>
      <c r="O431">
        <v>1</v>
      </c>
    </row>
    <row r="432" spans="1:15" x14ac:dyDescent="0.3">
      <c r="A432" s="8" t="s">
        <v>855</v>
      </c>
      <c r="B432" s="10" t="s">
        <v>78</v>
      </c>
      <c r="C432" s="10" t="s">
        <v>12</v>
      </c>
      <c r="D432" s="8" t="s">
        <v>853</v>
      </c>
      <c r="E432" s="8" t="s">
        <v>856</v>
      </c>
      <c r="F432" s="65">
        <v>43709</v>
      </c>
      <c r="G432" s="65">
        <v>44075</v>
      </c>
      <c r="H432" s="32" t="str">
        <f t="shared" si="13"/>
        <v>ODD</v>
      </c>
      <c r="I432" s="103">
        <v>0</v>
      </c>
      <c r="J432" s="3" t="str">
        <f>UPPER(TEXT(F432,"mmm")) &amp; " - " &amp; UPPER(TEXT(G432,"mmm"))</f>
        <v>SEP - SEP</v>
      </c>
      <c r="K432" s="3" t="s">
        <v>563</v>
      </c>
      <c r="L432" s="32" t="s">
        <v>16</v>
      </c>
      <c r="M432" s="32" t="str">
        <f t="shared" si="12"/>
        <v>No</v>
      </c>
      <c r="N432" s="32">
        <f>G432 - F432</f>
        <v>366</v>
      </c>
      <c r="O432">
        <v>1</v>
      </c>
    </row>
    <row r="433" spans="1:15" x14ac:dyDescent="0.3">
      <c r="A433" s="8" t="s">
        <v>382</v>
      </c>
      <c r="B433" s="10" t="s">
        <v>78</v>
      </c>
      <c r="C433" s="10" t="s">
        <v>12</v>
      </c>
      <c r="D433" s="8" t="s">
        <v>853</v>
      </c>
      <c r="E433" s="8" t="s">
        <v>856</v>
      </c>
      <c r="F433" s="65">
        <v>43712</v>
      </c>
      <c r="G433" s="65">
        <v>44078</v>
      </c>
      <c r="H433" s="32" t="str">
        <f t="shared" si="13"/>
        <v>ODD</v>
      </c>
      <c r="I433" s="103">
        <v>0</v>
      </c>
      <c r="J433" s="3" t="str">
        <f>UPPER(TEXT(F433,"mmm")) &amp; " - " &amp; UPPER(TEXT(G433,"mmm"))</f>
        <v>SEP - SEP</v>
      </c>
      <c r="K433" s="3" t="s">
        <v>563</v>
      </c>
      <c r="L433" s="32" t="s">
        <v>16</v>
      </c>
      <c r="M433" s="32" t="str">
        <f t="shared" si="12"/>
        <v>No</v>
      </c>
      <c r="N433" s="32">
        <f>G433 - F433</f>
        <v>366</v>
      </c>
      <c r="O433">
        <v>1</v>
      </c>
    </row>
    <row r="434" spans="1:15" x14ac:dyDescent="0.3">
      <c r="A434" s="8" t="s">
        <v>703</v>
      </c>
      <c r="B434" s="10" t="s">
        <v>78</v>
      </c>
      <c r="C434" s="10" t="s">
        <v>12</v>
      </c>
      <c r="D434" s="8" t="s">
        <v>857</v>
      </c>
      <c r="E434" s="8" t="s">
        <v>593</v>
      </c>
      <c r="F434" s="65">
        <v>43966</v>
      </c>
      <c r="G434" s="65">
        <v>44217</v>
      </c>
      <c r="H434" s="32" t="str">
        <f t="shared" si="13"/>
        <v>EVEN</v>
      </c>
      <c r="I434" s="103">
        <v>0</v>
      </c>
      <c r="J434" s="3" t="str">
        <f>UPPER(TEXT(F434,"mmm")) &amp; " - " &amp; UPPER(TEXT(G434,"mmm"))</f>
        <v>MAY - JAN</v>
      </c>
      <c r="K434" s="3" t="s">
        <v>563</v>
      </c>
      <c r="L434" s="32" t="s">
        <v>16</v>
      </c>
      <c r="M434" s="32" t="str">
        <f t="shared" si="12"/>
        <v>No</v>
      </c>
      <c r="N434" s="32">
        <f>G434 - F434</f>
        <v>251</v>
      </c>
      <c r="O434">
        <v>1</v>
      </c>
    </row>
    <row r="435" spans="1:15" x14ac:dyDescent="0.3">
      <c r="A435" s="45" t="s">
        <v>858</v>
      </c>
      <c r="B435" s="46" t="s">
        <v>78</v>
      </c>
      <c r="C435" s="46" t="s">
        <v>12</v>
      </c>
      <c r="D435" s="45" t="s">
        <v>859</v>
      </c>
      <c r="E435" s="45" t="s">
        <v>842</v>
      </c>
      <c r="F435" s="72" t="s">
        <v>860</v>
      </c>
      <c r="G435" s="72">
        <v>43836</v>
      </c>
      <c r="H435" s="32" t="str">
        <f t="shared" si="13"/>
        <v>EVEN</v>
      </c>
      <c r="I435" s="103">
        <v>0</v>
      </c>
      <c r="J435" s="3" t="str">
        <f>UPPER(TEXT(F435,"mmm")) &amp; " - " &amp; UPPER(TEXT(G435,"mmm"))</f>
        <v>JUL - JAN</v>
      </c>
      <c r="K435" s="3" t="s">
        <v>563</v>
      </c>
      <c r="L435" s="32" t="s">
        <v>16</v>
      </c>
      <c r="M435" s="32" t="str">
        <f t="shared" si="12"/>
        <v>No</v>
      </c>
      <c r="N435" s="32">
        <f>G435 - F435</f>
        <v>175</v>
      </c>
      <c r="O435">
        <v>1</v>
      </c>
    </row>
    <row r="436" spans="1:15" x14ac:dyDescent="0.3">
      <c r="A436" s="45" t="s">
        <v>861</v>
      </c>
      <c r="B436" s="46" t="s">
        <v>66</v>
      </c>
      <c r="C436" s="46" t="s">
        <v>12</v>
      </c>
      <c r="D436" s="45" t="s">
        <v>862</v>
      </c>
      <c r="E436" s="45" t="s">
        <v>842</v>
      </c>
      <c r="F436" s="72" t="s">
        <v>860</v>
      </c>
      <c r="G436" s="72" t="s">
        <v>863</v>
      </c>
      <c r="H436" s="32" t="str">
        <f t="shared" si="13"/>
        <v>EVEN</v>
      </c>
      <c r="I436" s="103">
        <v>0</v>
      </c>
      <c r="J436" s="3" t="str">
        <f>UPPER(TEXT(F436,"mmm")) &amp; " - " &amp; UPPER(TEXT(G436,"mmm"))</f>
        <v>JUL - MAY</v>
      </c>
      <c r="K436" s="3" t="s">
        <v>563</v>
      </c>
      <c r="L436" s="32" t="s">
        <v>16</v>
      </c>
      <c r="M436" s="32" t="str">
        <f t="shared" si="12"/>
        <v>No</v>
      </c>
      <c r="N436" s="32">
        <f>G436 - F436</f>
        <v>307</v>
      </c>
      <c r="O436">
        <v>1</v>
      </c>
    </row>
    <row r="437" spans="1:15" x14ac:dyDescent="0.3">
      <c r="A437" s="45" t="s">
        <v>641</v>
      </c>
      <c r="B437" s="46" t="s">
        <v>78</v>
      </c>
      <c r="C437" s="46" t="s">
        <v>12</v>
      </c>
      <c r="D437" s="45" t="s">
        <v>864</v>
      </c>
      <c r="E437" s="45" t="s">
        <v>842</v>
      </c>
      <c r="F437" s="72" t="s">
        <v>860</v>
      </c>
      <c r="G437" s="72">
        <v>43836</v>
      </c>
      <c r="H437" s="32" t="str">
        <f t="shared" si="13"/>
        <v>EVEN</v>
      </c>
      <c r="I437" s="103">
        <v>0</v>
      </c>
      <c r="J437" s="3" t="str">
        <f>UPPER(TEXT(F437,"mmm")) &amp; " - " &amp; UPPER(TEXT(G437,"mmm"))</f>
        <v>JUL - JAN</v>
      </c>
      <c r="K437" s="3" t="s">
        <v>563</v>
      </c>
      <c r="L437" s="32" t="s">
        <v>16</v>
      </c>
      <c r="M437" s="32" t="str">
        <f t="shared" si="12"/>
        <v>No</v>
      </c>
      <c r="N437" s="32">
        <f>G437 - F437</f>
        <v>175</v>
      </c>
      <c r="O437">
        <v>1</v>
      </c>
    </row>
    <row r="438" spans="1:15" x14ac:dyDescent="0.3">
      <c r="A438" s="45" t="s">
        <v>373</v>
      </c>
      <c r="B438" s="46" t="s">
        <v>78</v>
      </c>
      <c r="C438" s="46" t="s">
        <v>12</v>
      </c>
      <c r="D438" s="45" t="s">
        <v>862</v>
      </c>
      <c r="E438" s="45" t="s">
        <v>842</v>
      </c>
      <c r="F438" s="72" t="s">
        <v>860</v>
      </c>
      <c r="G438" s="72" t="s">
        <v>863</v>
      </c>
      <c r="H438" s="32" t="str">
        <f t="shared" si="13"/>
        <v>EVEN</v>
      </c>
      <c r="I438" s="103">
        <v>0</v>
      </c>
      <c r="J438" s="3" t="str">
        <f>UPPER(TEXT(F438,"mmm")) &amp; " - " &amp; UPPER(TEXT(G438,"mmm"))</f>
        <v>JUL - MAY</v>
      </c>
      <c r="K438" s="3" t="s">
        <v>563</v>
      </c>
      <c r="L438" s="32" t="s">
        <v>16</v>
      </c>
      <c r="M438" s="32" t="str">
        <f t="shared" si="12"/>
        <v>No</v>
      </c>
      <c r="N438" s="32">
        <f>G438 - F438</f>
        <v>307</v>
      </c>
      <c r="O438">
        <v>1</v>
      </c>
    </row>
    <row r="439" spans="1:15" x14ac:dyDescent="0.3">
      <c r="A439" s="45" t="s">
        <v>865</v>
      </c>
      <c r="B439" s="46" t="s">
        <v>78</v>
      </c>
      <c r="C439" s="46" t="s">
        <v>12</v>
      </c>
      <c r="D439" s="45" t="s">
        <v>866</v>
      </c>
      <c r="E439" s="45" t="s">
        <v>842</v>
      </c>
      <c r="F439" s="72" t="s">
        <v>860</v>
      </c>
      <c r="G439" s="72">
        <v>43836</v>
      </c>
      <c r="H439" s="32" t="str">
        <f t="shared" si="13"/>
        <v>EVEN</v>
      </c>
      <c r="I439" s="103">
        <v>0</v>
      </c>
      <c r="J439" s="3" t="str">
        <f>UPPER(TEXT(F439,"mmm")) &amp; " - " &amp; UPPER(TEXT(G439,"mmm"))</f>
        <v>JUL - JAN</v>
      </c>
      <c r="K439" s="3" t="s">
        <v>563</v>
      </c>
      <c r="L439" s="32" t="s">
        <v>16</v>
      </c>
      <c r="M439" s="32" t="str">
        <f t="shared" si="12"/>
        <v>No</v>
      </c>
      <c r="N439" s="32">
        <f>G439 - F439</f>
        <v>175</v>
      </c>
      <c r="O439">
        <v>1</v>
      </c>
    </row>
    <row r="440" spans="1:15" x14ac:dyDescent="0.3">
      <c r="A440" s="45" t="s">
        <v>329</v>
      </c>
      <c r="B440" s="46" t="s">
        <v>78</v>
      </c>
      <c r="C440" s="46" t="s">
        <v>12</v>
      </c>
      <c r="D440" s="45" t="s">
        <v>862</v>
      </c>
      <c r="E440" s="45" t="s">
        <v>842</v>
      </c>
      <c r="F440" s="72" t="s">
        <v>860</v>
      </c>
      <c r="G440" s="72" t="s">
        <v>863</v>
      </c>
      <c r="H440" s="32" t="str">
        <f t="shared" si="13"/>
        <v>EVEN</v>
      </c>
      <c r="I440" s="103">
        <v>0</v>
      </c>
      <c r="J440" s="3" t="str">
        <f>UPPER(TEXT(F440,"mmm")) &amp; " - " &amp; UPPER(TEXT(G440,"mmm"))</f>
        <v>JUL - MAY</v>
      </c>
      <c r="K440" s="3" t="s">
        <v>563</v>
      </c>
      <c r="L440" s="32" t="s">
        <v>16</v>
      </c>
      <c r="M440" s="32" t="str">
        <f t="shared" si="12"/>
        <v>No</v>
      </c>
      <c r="N440" s="32">
        <f>G440 - F440</f>
        <v>307</v>
      </c>
      <c r="O440">
        <v>1</v>
      </c>
    </row>
    <row r="441" spans="1:15" x14ac:dyDescent="0.3">
      <c r="A441" s="45" t="s">
        <v>867</v>
      </c>
      <c r="B441" s="46" t="s">
        <v>11</v>
      </c>
      <c r="C441" s="46" t="s">
        <v>12</v>
      </c>
      <c r="D441" s="45" t="s">
        <v>842</v>
      </c>
      <c r="E441" s="45" t="s">
        <v>868</v>
      </c>
      <c r="F441" s="72" t="s">
        <v>869</v>
      </c>
      <c r="G441" s="72">
        <v>44046</v>
      </c>
      <c r="H441" s="32" t="str">
        <f t="shared" si="13"/>
        <v>EVEN</v>
      </c>
      <c r="I441" s="103">
        <v>0</v>
      </c>
      <c r="J441" s="3" t="str">
        <f>UPPER(TEXT(F441,"mmm")) &amp; " - " &amp; UPPER(TEXT(G441,"mmm"))</f>
        <v>SEP - AUG</v>
      </c>
      <c r="K441" s="3" t="s">
        <v>563</v>
      </c>
      <c r="L441" s="32" t="s">
        <v>16</v>
      </c>
      <c r="M441" s="32" t="str">
        <f t="shared" si="12"/>
        <v>No</v>
      </c>
      <c r="N441" s="32">
        <f>G441 - F441</f>
        <v>317</v>
      </c>
      <c r="O441">
        <v>1</v>
      </c>
    </row>
    <row r="442" spans="1:15" x14ac:dyDescent="0.3">
      <c r="A442" s="45" t="s">
        <v>870</v>
      </c>
      <c r="B442" s="46" t="s">
        <v>11</v>
      </c>
      <c r="C442" s="46" t="s">
        <v>12</v>
      </c>
      <c r="D442" s="45" t="s">
        <v>842</v>
      </c>
      <c r="E442" s="45" t="s">
        <v>871</v>
      </c>
      <c r="F442" s="72" t="s">
        <v>869</v>
      </c>
      <c r="G442" s="72">
        <v>44046</v>
      </c>
      <c r="H442" s="32" t="str">
        <f t="shared" si="13"/>
        <v>EVEN</v>
      </c>
      <c r="I442" s="103">
        <v>0</v>
      </c>
      <c r="J442" s="3" t="str">
        <f>UPPER(TEXT(F442,"mmm")) &amp; " - " &amp; UPPER(TEXT(G442,"mmm"))</f>
        <v>SEP - AUG</v>
      </c>
      <c r="K442" s="3" t="s">
        <v>563</v>
      </c>
      <c r="L442" s="32" t="s">
        <v>16</v>
      </c>
      <c r="M442" s="32" t="str">
        <f t="shared" si="12"/>
        <v>No</v>
      </c>
      <c r="N442" s="32">
        <f>G442 - F442</f>
        <v>317</v>
      </c>
      <c r="O442">
        <v>1</v>
      </c>
    </row>
    <row r="443" spans="1:15" x14ac:dyDescent="0.3">
      <c r="A443" s="8" t="s">
        <v>872</v>
      </c>
      <c r="B443" s="10" t="s">
        <v>78</v>
      </c>
      <c r="C443" s="10" t="s">
        <v>12</v>
      </c>
      <c r="D443" s="8" t="s">
        <v>842</v>
      </c>
      <c r="E443" s="8" t="s">
        <v>873</v>
      </c>
      <c r="F443" s="65">
        <v>43696</v>
      </c>
      <c r="G443" s="65">
        <v>43962</v>
      </c>
      <c r="H443" s="32" t="str">
        <f t="shared" si="13"/>
        <v>ODD</v>
      </c>
      <c r="I443" s="103">
        <v>0</v>
      </c>
      <c r="J443" s="3" t="str">
        <f>UPPER(TEXT(F443,"mmm")) &amp; " - " &amp; UPPER(TEXT(G443,"mmm"))</f>
        <v>AUG - MAY</v>
      </c>
      <c r="K443" s="3" t="s">
        <v>563</v>
      </c>
      <c r="L443" s="32" t="s">
        <v>16</v>
      </c>
      <c r="M443" s="32" t="str">
        <f t="shared" si="12"/>
        <v>No</v>
      </c>
      <c r="N443" s="32">
        <f>G443 - F443</f>
        <v>266</v>
      </c>
      <c r="O443">
        <v>1</v>
      </c>
    </row>
    <row r="444" spans="1:15" x14ac:dyDescent="0.3">
      <c r="A444" s="8" t="s">
        <v>874</v>
      </c>
      <c r="B444" s="10" t="s">
        <v>11</v>
      </c>
      <c r="C444" s="10" t="s">
        <v>12</v>
      </c>
      <c r="D444" s="8" t="s">
        <v>842</v>
      </c>
      <c r="E444" s="8" t="s">
        <v>875</v>
      </c>
      <c r="F444" s="65">
        <v>43739</v>
      </c>
      <c r="G444" s="65">
        <v>43983</v>
      </c>
      <c r="H444" s="32" t="str">
        <f t="shared" si="13"/>
        <v>ODD</v>
      </c>
      <c r="I444" s="103">
        <v>0</v>
      </c>
      <c r="J444" s="3" t="str">
        <f>UPPER(TEXT(F444,"mmm")) &amp; " - " &amp; UPPER(TEXT(G444,"mmm"))</f>
        <v>OCT - JUN</v>
      </c>
      <c r="K444" s="3" t="s">
        <v>563</v>
      </c>
      <c r="L444" s="32" t="s">
        <v>16</v>
      </c>
      <c r="M444" s="32" t="str">
        <f t="shared" si="12"/>
        <v>No</v>
      </c>
      <c r="N444" s="32">
        <f>G444 - F444</f>
        <v>244</v>
      </c>
      <c r="O444">
        <v>1</v>
      </c>
    </row>
    <row r="445" spans="1:15" x14ac:dyDescent="0.3">
      <c r="A445" s="8" t="s">
        <v>705</v>
      </c>
      <c r="B445" s="10" t="s">
        <v>78</v>
      </c>
      <c r="C445" s="10" t="s">
        <v>12</v>
      </c>
      <c r="D445" s="8" t="s">
        <v>876</v>
      </c>
      <c r="E445" s="8" t="s">
        <v>877</v>
      </c>
      <c r="F445" s="65">
        <v>43988</v>
      </c>
      <c r="G445" s="65">
        <v>44076</v>
      </c>
      <c r="H445" s="32" t="str">
        <f t="shared" si="13"/>
        <v>EVEN</v>
      </c>
      <c r="I445" s="103">
        <v>0</v>
      </c>
      <c r="J445" s="3" t="str">
        <f>UPPER(TEXT(F445,"mmm")) &amp; " - " &amp; UPPER(TEXT(G445,"mmm"))</f>
        <v>JUN - SEP</v>
      </c>
      <c r="K445" s="3" t="s">
        <v>563</v>
      </c>
      <c r="L445" s="32" t="s">
        <v>16</v>
      </c>
      <c r="M445" s="32" t="str">
        <f t="shared" si="12"/>
        <v>No</v>
      </c>
      <c r="N445" s="32">
        <f>G445 - F445</f>
        <v>88</v>
      </c>
      <c r="O445">
        <v>1</v>
      </c>
    </row>
    <row r="446" spans="1:15" x14ac:dyDescent="0.3">
      <c r="A446" s="8" t="s">
        <v>878</v>
      </c>
      <c r="B446" s="10" t="s">
        <v>11</v>
      </c>
      <c r="C446" s="10" t="s">
        <v>12</v>
      </c>
      <c r="D446" s="8" t="s">
        <v>842</v>
      </c>
      <c r="E446" s="8" t="s">
        <v>868</v>
      </c>
      <c r="F446" s="65">
        <v>43729</v>
      </c>
      <c r="G446" s="65">
        <v>43898</v>
      </c>
      <c r="H446" s="32" t="str">
        <f>IF((AND(F446&gt;=DATE(2019,7,15),F446&lt;=DATE(2019,12,31))),"ODD", "EVEN")</f>
        <v>ODD</v>
      </c>
      <c r="I446" s="103">
        <v>0</v>
      </c>
      <c r="J446" s="3" t="str">
        <f>UPPER(TEXT(F446,"mmm")) &amp; " - " &amp; UPPER(TEXT(G446,"mmm"))</f>
        <v>SEP - MAR</v>
      </c>
      <c r="K446" s="3" t="s">
        <v>563</v>
      </c>
      <c r="L446" s="32" t="s">
        <v>16</v>
      </c>
      <c r="M446" s="32" t="str">
        <f t="shared" si="12"/>
        <v>No</v>
      </c>
      <c r="N446" s="32">
        <f>G446 - F446</f>
        <v>169</v>
      </c>
      <c r="O446">
        <v>1</v>
      </c>
    </row>
    <row r="447" spans="1:15" ht="40.200000000000003" x14ac:dyDescent="0.3">
      <c r="A447" s="26" t="s">
        <v>879</v>
      </c>
      <c r="B447" s="28" t="s">
        <v>66</v>
      </c>
      <c r="C447" s="28" t="s">
        <v>12</v>
      </c>
      <c r="D447" s="37" t="s">
        <v>880</v>
      </c>
      <c r="E447" s="37" t="s">
        <v>881</v>
      </c>
      <c r="F447" s="73">
        <v>44047</v>
      </c>
      <c r="G447" s="74">
        <v>44077</v>
      </c>
      <c r="H447" s="32" t="str">
        <f>IF(AND(F447&gt;=DATE(2020,7,15), F447&lt;=DATE(2020,12,31)), "ODD", "EVEN")</f>
        <v>ODD</v>
      </c>
      <c r="I447" s="103">
        <v>0</v>
      </c>
      <c r="J447" s="46" t="str">
        <f>UPPER(TEXT(F447,"mmm")) &amp; " - " &amp; UPPER(TEXT(G447,"mmm"))</f>
        <v>AUG - SEP</v>
      </c>
      <c r="K447" s="46" t="s">
        <v>882</v>
      </c>
      <c r="L447" s="99" t="s">
        <v>3895</v>
      </c>
      <c r="M447" s="32" t="str">
        <f t="shared" si="12"/>
        <v>No</v>
      </c>
      <c r="N447" s="32">
        <f>G447 - F447</f>
        <v>30</v>
      </c>
      <c r="O447">
        <v>1</v>
      </c>
    </row>
    <row r="448" spans="1:15" x14ac:dyDescent="0.3">
      <c r="A448" s="26" t="s">
        <v>883</v>
      </c>
      <c r="B448" s="28" t="s">
        <v>66</v>
      </c>
      <c r="C448" s="28" t="s">
        <v>12</v>
      </c>
      <c r="D448" s="37" t="s">
        <v>884</v>
      </c>
      <c r="E448" s="37" t="s">
        <v>404</v>
      </c>
      <c r="F448" s="74">
        <v>44013</v>
      </c>
      <c r="G448" s="74">
        <v>44055</v>
      </c>
      <c r="H448" s="32" t="str">
        <f t="shared" ref="H448:H511" si="14">IF(AND(F448&gt;=DATE(2020,7,15), F448&lt;=DATE(2020,12,31)), "ODD", "EVEN")</f>
        <v>EVEN</v>
      </c>
      <c r="I448" s="103">
        <v>7000</v>
      </c>
      <c r="J448" s="46" t="str">
        <f>UPPER(TEXT(F448,"mmm")) &amp; " - " &amp; UPPER(TEXT(G448,"mmm"))</f>
        <v>JUL - AUG</v>
      </c>
      <c r="K448" s="46" t="s">
        <v>882</v>
      </c>
      <c r="L448" s="99" t="s">
        <v>3895</v>
      </c>
      <c r="M448" s="32" t="str">
        <f t="shared" si="12"/>
        <v>Yes</v>
      </c>
      <c r="N448" s="32">
        <f>G448 - F448</f>
        <v>42</v>
      </c>
      <c r="O448">
        <v>1</v>
      </c>
    </row>
    <row r="449" spans="1:15" x14ac:dyDescent="0.3">
      <c r="A449" s="26" t="s">
        <v>373</v>
      </c>
      <c r="B449" s="28" t="s">
        <v>66</v>
      </c>
      <c r="C449" s="28" t="s">
        <v>12</v>
      </c>
      <c r="D449" s="37" t="s">
        <v>885</v>
      </c>
      <c r="E449" s="37" t="s">
        <v>886</v>
      </c>
      <c r="F449" s="74">
        <v>44025</v>
      </c>
      <c r="G449" s="74">
        <v>44074</v>
      </c>
      <c r="H449" s="32" t="str">
        <f t="shared" si="14"/>
        <v>EVEN</v>
      </c>
      <c r="I449" s="103">
        <v>0</v>
      </c>
      <c r="J449" s="46" t="str">
        <f>UPPER(TEXT(F449,"mmm")) &amp; " - " &amp; UPPER(TEXT(G449,"mmm"))</f>
        <v>JUL - AUG</v>
      </c>
      <c r="K449" s="46" t="s">
        <v>882</v>
      </c>
      <c r="L449" s="99" t="s">
        <v>3895</v>
      </c>
      <c r="M449" s="32" t="str">
        <f t="shared" si="12"/>
        <v>No</v>
      </c>
      <c r="N449" s="32">
        <f>G449 - F449</f>
        <v>49</v>
      </c>
      <c r="O449">
        <v>1</v>
      </c>
    </row>
    <row r="450" spans="1:15" x14ac:dyDescent="0.3">
      <c r="A450" s="26" t="s">
        <v>887</v>
      </c>
      <c r="B450" s="28" t="s">
        <v>70</v>
      </c>
      <c r="C450" s="28" t="s">
        <v>12</v>
      </c>
      <c r="D450" s="37" t="s">
        <v>888</v>
      </c>
      <c r="E450" s="37" t="s">
        <v>889</v>
      </c>
      <c r="F450" s="74">
        <v>44025</v>
      </c>
      <c r="G450" s="74">
        <v>44074</v>
      </c>
      <c r="H450" s="32" t="str">
        <f t="shared" si="14"/>
        <v>EVEN</v>
      </c>
      <c r="I450" s="103">
        <v>0</v>
      </c>
      <c r="J450" s="46" t="str">
        <f>UPPER(TEXT(F450,"mmm")) &amp; " - " &amp; UPPER(TEXT(G450,"mmm"))</f>
        <v>JUL - AUG</v>
      </c>
      <c r="K450" s="46" t="s">
        <v>882</v>
      </c>
      <c r="L450" s="99" t="s">
        <v>3895</v>
      </c>
      <c r="M450" s="32" t="str">
        <f t="shared" si="12"/>
        <v>No</v>
      </c>
      <c r="N450" s="32">
        <f>G450 - F450</f>
        <v>49</v>
      </c>
      <c r="O450">
        <v>1</v>
      </c>
    </row>
    <row r="451" spans="1:15" x14ac:dyDescent="0.3">
      <c r="A451" s="26" t="s">
        <v>657</v>
      </c>
      <c r="B451" s="28" t="s">
        <v>66</v>
      </c>
      <c r="C451" s="28" t="s">
        <v>12</v>
      </c>
      <c r="D451" s="37" t="s">
        <v>890</v>
      </c>
      <c r="E451" s="37" t="s">
        <v>891</v>
      </c>
      <c r="F451" s="74">
        <v>44019</v>
      </c>
      <c r="G451" s="74">
        <v>44050</v>
      </c>
      <c r="H451" s="32" t="str">
        <f t="shared" si="14"/>
        <v>EVEN</v>
      </c>
      <c r="I451" s="103">
        <v>0</v>
      </c>
      <c r="J451" s="46" t="str">
        <f>UPPER(TEXT(F451,"mmm")) &amp; " - " &amp; UPPER(TEXT(G451,"mmm"))</f>
        <v>JUL - AUG</v>
      </c>
      <c r="K451" s="46" t="s">
        <v>882</v>
      </c>
      <c r="L451" s="99" t="s">
        <v>3895</v>
      </c>
      <c r="M451" s="32" t="str">
        <f t="shared" ref="M451:M514" si="15">IF(I451 &gt; 0, "Yes", "No")</f>
        <v>No</v>
      </c>
      <c r="N451" s="32">
        <f>G451 - F451</f>
        <v>31</v>
      </c>
      <c r="O451">
        <v>1</v>
      </c>
    </row>
    <row r="452" spans="1:15" ht="27" x14ac:dyDescent="0.3">
      <c r="A452" s="26" t="s">
        <v>892</v>
      </c>
      <c r="B452" s="28" t="s">
        <v>66</v>
      </c>
      <c r="C452" s="28" t="s">
        <v>12</v>
      </c>
      <c r="D452" s="37" t="s">
        <v>893</v>
      </c>
      <c r="E452" s="37" t="s">
        <v>894</v>
      </c>
      <c r="F452" s="74">
        <v>44050</v>
      </c>
      <c r="G452" s="74">
        <v>44081</v>
      </c>
      <c r="H452" s="32" t="str">
        <f t="shared" si="14"/>
        <v>ODD</v>
      </c>
      <c r="I452" s="103">
        <v>0</v>
      </c>
      <c r="J452" s="46" t="str">
        <f>UPPER(TEXT(F452,"mmm")) &amp; " - " &amp; UPPER(TEXT(G452,"mmm"))</f>
        <v>AUG - SEP</v>
      </c>
      <c r="K452" s="46" t="s">
        <v>882</v>
      </c>
      <c r="L452" s="28" t="s">
        <v>895</v>
      </c>
      <c r="M452" s="32" t="str">
        <f t="shared" si="15"/>
        <v>No</v>
      </c>
      <c r="N452" s="32">
        <f>G452 - F452</f>
        <v>31</v>
      </c>
      <c r="O452">
        <v>1</v>
      </c>
    </row>
    <row r="453" spans="1:15" ht="27" x14ac:dyDescent="0.3">
      <c r="A453" s="26" t="s">
        <v>896</v>
      </c>
      <c r="B453" s="28" t="s">
        <v>70</v>
      </c>
      <c r="C453" s="28" t="s">
        <v>12</v>
      </c>
      <c r="D453" s="37" t="s">
        <v>893</v>
      </c>
      <c r="E453" s="37" t="s">
        <v>897</v>
      </c>
      <c r="F453" s="74">
        <v>44044</v>
      </c>
      <c r="G453" s="74">
        <v>44135</v>
      </c>
      <c r="H453" s="32" t="str">
        <f t="shared" si="14"/>
        <v>ODD</v>
      </c>
      <c r="I453" s="103">
        <v>0</v>
      </c>
      <c r="J453" s="46" t="str">
        <f>UPPER(TEXT(F453,"mmm")) &amp; " - " &amp; UPPER(TEXT(G453,"mmm"))</f>
        <v>AUG - OCT</v>
      </c>
      <c r="K453" s="46" t="s">
        <v>882</v>
      </c>
      <c r="L453" s="28" t="s">
        <v>895</v>
      </c>
      <c r="M453" s="32" t="str">
        <f t="shared" si="15"/>
        <v>No</v>
      </c>
      <c r="N453" s="32">
        <f>G453 - F453</f>
        <v>91</v>
      </c>
      <c r="O453">
        <v>1</v>
      </c>
    </row>
    <row r="454" spans="1:15" ht="40.200000000000003" x14ac:dyDescent="0.3">
      <c r="A454" s="26" t="s">
        <v>898</v>
      </c>
      <c r="B454" s="28" t="s">
        <v>78</v>
      </c>
      <c r="C454" s="28" t="s">
        <v>12</v>
      </c>
      <c r="D454" s="37" t="s">
        <v>899</v>
      </c>
      <c r="E454" s="37" t="s">
        <v>900</v>
      </c>
      <c r="F454" s="74">
        <v>44031</v>
      </c>
      <c r="G454" s="74">
        <v>44062</v>
      </c>
      <c r="H454" s="32" t="str">
        <f t="shared" si="14"/>
        <v>ODD</v>
      </c>
      <c r="I454" s="103">
        <v>0</v>
      </c>
      <c r="J454" s="46" t="str">
        <f>UPPER(TEXT(F454,"mmm")) &amp; " - " &amp; UPPER(TEXT(G454,"mmm"))</f>
        <v>JUL - AUG</v>
      </c>
      <c r="K454" s="46" t="s">
        <v>882</v>
      </c>
      <c r="L454" s="99" t="s">
        <v>3895</v>
      </c>
      <c r="M454" s="32" t="str">
        <f t="shared" si="15"/>
        <v>No</v>
      </c>
      <c r="N454" s="32">
        <f>G454 - F454</f>
        <v>31</v>
      </c>
      <c r="O454">
        <v>1</v>
      </c>
    </row>
    <row r="455" spans="1:15" ht="40.200000000000003" x14ac:dyDescent="0.3">
      <c r="A455" s="26" t="s">
        <v>901</v>
      </c>
      <c r="B455" s="28" t="s">
        <v>78</v>
      </c>
      <c r="C455" s="28" t="s">
        <v>12</v>
      </c>
      <c r="D455" s="37" t="s">
        <v>25</v>
      </c>
      <c r="E455" s="37" t="s">
        <v>902</v>
      </c>
      <c r="F455" s="74">
        <v>44027</v>
      </c>
      <c r="G455" s="74">
        <v>44108</v>
      </c>
      <c r="H455" s="32" t="str">
        <f t="shared" si="14"/>
        <v>ODD</v>
      </c>
      <c r="I455" s="103">
        <v>0</v>
      </c>
      <c r="J455" s="46" t="str">
        <f>UPPER(TEXT(F455,"mmm")) &amp; " - " &amp; UPPER(TEXT(G455,"mmm"))</f>
        <v>JUL - OCT</v>
      </c>
      <c r="K455" s="46" t="s">
        <v>882</v>
      </c>
      <c r="L455" s="28" t="s">
        <v>895</v>
      </c>
      <c r="M455" s="32" t="str">
        <f t="shared" si="15"/>
        <v>No</v>
      </c>
      <c r="N455" s="32">
        <f>G455 - F455</f>
        <v>81</v>
      </c>
      <c r="O455">
        <v>1</v>
      </c>
    </row>
    <row r="456" spans="1:15" ht="27" x14ac:dyDescent="0.3">
      <c r="A456" s="26" t="s">
        <v>58</v>
      </c>
      <c r="B456" s="28" t="s">
        <v>78</v>
      </c>
      <c r="C456" s="28" t="s">
        <v>12</v>
      </c>
      <c r="D456" s="37" t="s">
        <v>903</v>
      </c>
      <c r="E456" s="37" t="s">
        <v>904</v>
      </c>
      <c r="F456" s="74">
        <v>44024</v>
      </c>
      <c r="G456" s="74">
        <v>44116</v>
      </c>
      <c r="H456" s="32" t="str">
        <f t="shared" si="14"/>
        <v>EVEN</v>
      </c>
      <c r="I456" s="103">
        <v>0</v>
      </c>
      <c r="J456" s="46" t="str">
        <f>UPPER(TEXT(F456,"mmm")) &amp; " - " &amp; UPPER(TEXT(G456,"mmm"))</f>
        <v>JUL - OCT</v>
      </c>
      <c r="K456" s="46" t="s">
        <v>882</v>
      </c>
      <c r="L456" s="99" t="s">
        <v>3895</v>
      </c>
      <c r="M456" s="32" t="str">
        <f t="shared" si="15"/>
        <v>No</v>
      </c>
      <c r="N456" s="32">
        <f>G456 - F456</f>
        <v>92</v>
      </c>
      <c r="O456">
        <v>1</v>
      </c>
    </row>
    <row r="457" spans="1:15" ht="27" x14ac:dyDescent="0.3">
      <c r="A457" s="26" t="s">
        <v>905</v>
      </c>
      <c r="B457" s="28" t="s">
        <v>78</v>
      </c>
      <c r="C457" s="28" t="s">
        <v>12</v>
      </c>
      <c r="D457" s="37" t="s">
        <v>906</v>
      </c>
      <c r="E457" s="37" t="s">
        <v>904</v>
      </c>
      <c r="F457" s="74">
        <v>44017</v>
      </c>
      <c r="G457" s="74">
        <v>44109</v>
      </c>
      <c r="H457" s="32" t="str">
        <f t="shared" si="14"/>
        <v>EVEN</v>
      </c>
      <c r="I457" s="103">
        <v>0</v>
      </c>
      <c r="J457" s="46" t="str">
        <f>UPPER(TEXT(F457,"mmm")) &amp; " - " &amp; UPPER(TEXT(G457,"mmm"))</f>
        <v>JUL - OCT</v>
      </c>
      <c r="K457" s="46" t="s">
        <v>882</v>
      </c>
      <c r="L457" s="99" t="s">
        <v>3895</v>
      </c>
      <c r="M457" s="32" t="str">
        <f t="shared" si="15"/>
        <v>No</v>
      </c>
      <c r="N457" s="32">
        <f>G457 - F457</f>
        <v>92</v>
      </c>
      <c r="O457">
        <v>1</v>
      </c>
    </row>
    <row r="458" spans="1:15" x14ac:dyDescent="0.3">
      <c r="A458" s="26" t="s">
        <v>905</v>
      </c>
      <c r="B458" s="28" t="s">
        <v>78</v>
      </c>
      <c r="C458" s="28" t="s">
        <v>12</v>
      </c>
      <c r="D458" s="37" t="s">
        <v>907</v>
      </c>
      <c r="E458" s="37" t="s">
        <v>908</v>
      </c>
      <c r="F458" s="74">
        <v>44025</v>
      </c>
      <c r="G458" s="74">
        <v>44074</v>
      </c>
      <c r="H458" s="32" t="str">
        <f t="shared" si="14"/>
        <v>EVEN</v>
      </c>
      <c r="I458" s="103">
        <v>0</v>
      </c>
      <c r="J458" s="46" t="str">
        <f>UPPER(TEXT(F458,"mmm")) &amp; " - " &amp; UPPER(TEXT(G458,"mmm"))</f>
        <v>JUL - AUG</v>
      </c>
      <c r="K458" s="46" t="s">
        <v>882</v>
      </c>
      <c r="L458" s="99" t="s">
        <v>3895</v>
      </c>
      <c r="M458" s="32" t="str">
        <f t="shared" si="15"/>
        <v>No</v>
      </c>
      <c r="N458" s="32">
        <f>G458 - F458</f>
        <v>49</v>
      </c>
      <c r="O458">
        <v>1</v>
      </c>
    </row>
    <row r="459" spans="1:15" ht="27" x14ac:dyDescent="0.3">
      <c r="A459" s="26" t="s">
        <v>909</v>
      </c>
      <c r="B459" s="28" t="s">
        <v>70</v>
      </c>
      <c r="C459" s="28" t="s">
        <v>12</v>
      </c>
      <c r="D459" s="37" t="s">
        <v>910</v>
      </c>
      <c r="E459" s="37" t="s">
        <v>911</v>
      </c>
      <c r="F459" s="74">
        <v>44027</v>
      </c>
      <c r="G459" s="74">
        <v>44057</v>
      </c>
      <c r="H459" s="32" t="str">
        <f t="shared" si="14"/>
        <v>ODD</v>
      </c>
      <c r="I459" s="103">
        <v>0</v>
      </c>
      <c r="J459" s="46" t="str">
        <f>UPPER(TEXT(F459,"mmm")) &amp; " - " &amp; UPPER(TEXT(G459,"mmm"))</f>
        <v>JUL - AUG</v>
      </c>
      <c r="K459" s="46" t="s">
        <v>882</v>
      </c>
      <c r="L459" s="99" t="s">
        <v>3895</v>
      </c>
      <c r="M459" s="32" t="str">
        <f t="shared" si="15"/>
        <v>No</v>
      </c>
      <c r="N459" s="32">
        <f>G459 - F459</f>
        <v>30</v>
      </c>
      <c r="O459">
        <v>1</v>
      </c>
    </row>
    <row r="460" spans="1:15" ht="40.200000000000003" x14ac:dyDescent="0.3">
      <c r="A460" s="26" t="s">
        <v>912</v>
      </c>
      <c r="B460" s="28" t="s">
        <v>78</v>
      </c>
      <c r="C460" s="28" t="s">
        <v>12</v>
      </c>
      <c r="D460" s="37" t="s">
        <v>777</v>
      </c>
      <c r="E460" s="37" t="s">
        <v>913</v>
      </c>
      <c r="F460" s="74">
        <v>44027</v>
      </c>
      <c r="G460" s="74">
        <v>44150</v>
      </c>
      <c r="H460" s="32" t="str">
        <f t="shared" si="14"/>
        <v>ODD</v>
      </c>
      <c r="I460" s="103">
        <v>0</v>
      </c>
      <c r="J460" s="46" t="str">
        <f>UPPER(TEXT(F460,"mmm")) &amp; " - " &amp; UPPER(TEXT(G460,"mmm"))</f>
        <v>JUL - NOV</v>
      </c>
      <c r="K460" s="46" t="s">
        <v>882</v>
      </c>
      <c r="L460" s="28" t="s">
        <v>895</v>
      </c>
      <c r="M460" s="32" t="str">
        <f t="shared" si="15"/>
        <v>No</v>
      </c>
      <c r="N460" s="32">
        <f>G460 - F460</f>
        <v>123</v>
      </c>
      <c r="O460">
        <v>1</v>
      </c>
    </row>
    <row r="461" spans="1:15" ht="27" x14ac:dyDescent="0.3">
      <c r="A461" s="26" t="s">
        <v>817</v>
      </c>
      <c r="B461" s="28" t="s">
        <v>78</v>
      </c>
      <c r="C461" s="28" t="s">
        <v>12</v>
      </c>
      <c r="D461" s="37" t="s">
        <v>777</v>
      </c>
      <c r="E461" s="37" t="s">
        <v>914</v>
      </c>
      <c r="F461" s="74">
        <v>44027</v>
      </c>
      <c r="G461" s="74">
        <v>44157</v>
      </c>
      <c r="H461" s="32" t="str">
        <f t="shared" si="14"/>
        <v>ODD</v>
      </c>
      <c r="I461" s="103">
        <v>0</v>
      </c>
      <c r="J461" s="46" t="str">
        <f>UPPER(TEXT(F461,"mmm")) &amp; " - " &amp; UPPER(TEXT(G461,"mmm"))</f>
        <v>JUL - NOV</v>
      </c>
      <c r="K461" s="46" t="s">
        <v>882</v>
      </c>
      <c r="L461" s="28" t="s">
        <v>895</v>
      </c>
      <c r="M461" s="32" t="str">
        <f t="shared" si="15"/>
        <v>No</v>
      </c>
      <c r="N461" s="32">
        <f>G461 - F461</f>
        <v>130</v>
      </c>
      <c r="O461">
        <v>1</v>
      </c>
    </row>
    <row r="462" spans="1:15" ht="27" x14ac:dyDescent="0.3">
      <c r="A462" s="26" t="s">
        <v>915</v>
      </c>
      <c r="B462" s="28" t="s">
        <v>78</v>
      </c>
      <c r="C462" s="28" t="s">
        <v>12</v>
      </c>
      <c r="D462" s="37" t="s">
        <v>777</v>
      </c>
      <c r="E462" s="37" t="s">
        <v>916</v>
      </c>
      <c r="F462" s="74">
        <v>44056</v>
      </c>
      <c r="G462" s="74">
        <v>44112</v>
      </c>
      <c r="H462" s="32" t="str">
        <f t="shared" si="14"/>
        <v>ODD</v>
      </c>
      <c r="I462" s="103">
        <v>0</v>
      </c>
      <c r="J462" s="46" t="str">
        <f>UPPER(TEXT(F462,"mmm")) &amp; " - " &amp; UPPER(TEXT(G462,"mmm"))</f>
        <v>AUG - OCT</v>
      </c>
      <c r="K462" s="46" t="s">
        <v>882</v>
      </c>
      <c r="L462" s="28" t="s">
        <v>895</v>
      </c>
      <c r="M462" s="32" t="str">
        <f t="shared" si="15"/>
        <v>No</v>
      </c>
      <c r="N462" s="32">
        <f>G462 - F462</f>
        <v>56</v>
      </c>
      <c r="O462">
        <v>1</v>
      </c>
    </row>
    <row r="463" spans="1:15" ht="27" x14ac:dyDescent="0.3">
      <c r="A463" s="26" t="s">
        <v>50</v>
      </c>
      <c r="B463" s="28" t="s">
        <v>66</v>
      </c>
      <c r="C463" s="28" t="s">
        <v>12</v>
      </c>
      <c r="D463" s="37" t="s">
        <v>917</v>
      </c>
      <c r="E463" s="37" t="s">
        <v>918</v>
      </c>
      <c r="F463" s="74">
        <v>44132</v>
      </c>
      <c r="G463" s="74">
        <v>44161</v>
      </c>
      <c r="H463" s="32" t="str">
        <f t="shared" si="14"/>
        <v>ODD</v>
      </c>
      <c r="I463" s="103">
        <v>0</v>
      </c>
      <c r="J463" s="46" t="str">
        <f>UPPER(TEXT(F463,"mmm")) &amp; " - " &amp; UPPER(TEXT(G463,"mmm"))</f>
        <v>OCT - NOV</v>
      </c>
      <c r="K463" s="46" t="s">
        <v>882</v>
      </c>
      <c r="L463" s="99" t="s">
        <v>3895</v>
      </c>
      <c r="M463" s="32" t="str">
        <f t="shared" si="15"/>
        <v>No</v>
      </c>
      <c r="N463" s="32">
        <f>G463 - F463</f>
        <v>29</v>
      </c>
      <c r="O463">
        <v>1</v>
      </c>
    </row>
    <row r="464" spans="1:15" ht="27" x14ac:dyDescent="0.3">
      <c r="A464" s="26" t="s">
        <v>334</v>
      </c>
      <c r="B464" s="28" t="s">
        <v>70</v>
      </c>
      <c r="C464" s="28" t="s">
        <v>12</v>
      </c>
      <c r="D464" s="37" t="s">
        <v>919</v>
      </c>
      <c r="E464" s="37" t="s">
        <v>920</v>
      </c>
      <c r="F464" s="74">
        <v>44136</v>
      </c>
      <c r="G464" s="74">
        <v>44166</v>
      </c>
      <c r="H464" s="32" t="str">
        <f t="shared" si="14"/>
        <v>ODD</v>
      </c>
      <c r="I464" s="103">
        <v>0</v>
      </c>
      <c r="J464" s="46" t="str">
        <f>UPPER(TEXT(F464,"mmm")) &amp; " - " &amp; UPPER(TEXT(G464,"mmm"))</f>
        <v>NOV - DEC</v>
      </c>
      <c r="K464" s="46" t="s">
        <v>882</v>
      </c>
      <c r="L464" s="99" t="s">
        <v>3895</v>
      </c>
      <c r="M464" s="32" t="str">
        <f t="shared" si="15"/>
        <v>No</v>
      </c>
      <c r="N464" s="32">
        <f>G464 - F464</f>
        <v>30</v>
      </c>
      <c r="O464">
        <v>1</v>
      </c>
    </row>
    <row r="465" spans="1:15" ht="27" x14ac:dyDescent="0.3">
      <c r="A465" s="26" t="s">
        <v>855</v>
      </c>
      <c r="B465" s="28" t="s">
        <v>66</v>
      </c>
      <c r="C465" s="28" t="s">
        <v>12</v>
      </c>
      <c r="D465" s="37" t="s">
        <v>921</v>
      </c>
      <c r="E465" s="37" t="s">
        <v>922</v>
      </c>
      <c r="F465" s="74">
        <v>44054</v>
      </c>
      <c r="G465" s="74">
        <v>44146</v>
      </c>
      <c r="H465" s="32" t="str">
        <f t="shared" si="14"/>
        <v>ODD</v>
      </c>
      <c r="I465" s="103">
        <v>0</v>
      </c>
      <c r="J465" s="46" t="str">
        <f>UPPER(TEXT(F465,"mmm")) &amp; " - " &amp; UPPER(TEXT(G465,"mmm"))</f>
        <v>AUG - NOV</v>
      </c>
      <c r="K465" s="46" t="s">
        <v>882</v>
      </c>
      <c r="L465" s="28" t="s">
        <v>895</v>
      </c>
      <c r="M465" s="32" t="str">
        <f t="shared" si="15"/>
        <v>No</v>
      </c>
      <c r="N465" s="32">
        <f>G465 - F465</f>
        <v>92</v>
      </c>
      <c r="O465">
        <v>1</v>
      </c>
    </row>
    <row r="466" spans="1:15" x14ac:dyDescent="0.3">
      <c r="A466" s="26" t="s">
        <v>923</v>
      </c>
      <c r="B466" s="28" t="s">
        <v>66</v>
      </c>
      <c r="C466" s="28" t="s">
        <v>12</v>
      </c>
      <c r="D466" s="37" t="s">
        <v>924</v>
      </c>
      <c r="E466" s="37" t="s">
        <v>897</v>
      </c>
      <c r="F466" s="74">
        <v>44064</v>
      </c>
      <c r="G466" s="74">
        <v>44156</v>
      </c>
      <c r="H466" s="32" t="str">
        <f t="shared" si="14"/>
        <v>ODD</v>
      </c>
      <c r="I466" s="103">
        <v>0</v>
      </c>
      <c r="J466" s="46" t="str">
        <f>UPPER(TEXT(F466,"mmm")) &amp; " - " &amp; UPPER(TEXT(G466,"mmm"))</f>
        <v>AUG - NOV</v>
      </c>
      <c r="K466" s="46" t="s">
        <v>882</v>
      </c>
      <c r="L466" s="28" t="s">
        <v>895</v>
      </c>
      <c r="M466" s="32" t="str">
        <f t="shared" si="15"/>
        <v>No</v>
      </c>
      <c r="N466" s="32">
        <f>G466 - F466</f>
        <v>92</v>
      </c>
      <c r="O466">
        <v>1</v>
      </c>
    </row>
    <row r="467" spans="1:15" x14ac:dyDescent="0.3">
      <c r="A467" s="26" t="s">
        <v>925</v>
      </c>
      <c r="B467" s="28" t="s">
        <v>78</v>
      </c>
      <c r="C467" s="28" t="s">
        <v>12</v>
      </c>
      <c r="D467" s="37" t="s">
        <v>926</v>
      </c>
      <c r="E467" s="37" t="s">
        <v>927</v>
      </c>
      <c r="F467" s="74">
        <v>44105</v>
      </c>
      <c r="G467" s="74">
        <v>44166</v>
      </c>
      <c r="H467" s="32" t="str">
        <f t="shared" si="14"/>
        <v>ODD</v>
      </c>
      <c r="I467" s="103">
        <v>0</v>
      </c>
      <c r="J467" s="46" t="str">
        <f>UPPER(TEXT(F467,"mmm")) &amp; " - " &amp; UPPER(TEXT(G467,"mmm"))</f>
        <v>OCT - DEC</v>
      </c>
      <c r="K467" s="46" t="s">
        <v>882</v>
      </c>
      <c r="L467" s="28" t="s">
        <v>895</v>
      </c>
      <c r="M467" s="32" t="str">
        <f t="shared" si="15"/>
        <v>No</v>
      </c>
      <c r="N467" s="32">
        <f>G467 - F467</f>
        <v>61</v>
      </c>
      <c r="O467">
        <v>1</v>
      </c>
    </row>
    <row r="468" spans="1:15" ht="27" x14ac:dyDescent="0.3">
      <c r="A468" s="26" t="s">
        <v>928</v>
      </c>
      <c r="B468" s="28" t="s">
        <v>66</v>
      </c>
      <c r="C468" s="28" t="s">
        <v>12</v>
      </c>
      <c r="D468" s="37" t="s">
        <v>25</v>
      </c>
      <c r="E468" s="37" t="s">
        <v>929</v>
      </c>
      <c r="F468" s="74">
        <v>44013</v>
      </c>
      <c r="G468" s="74">
        <v>44043</v>
      </c>
      <c r="H468" s="32" t="str">
        <f t="shared" si="14"/>
        <v>EVEN</v>
      </c>
      <c r="I468" s="103">
        <v>0</v>
      </c>
      <c r="J468" s="46" t="str">
        <f>UPPER(TEXT(F468,"mmm")) &amp; " - " &amp; UPPER(TEXT(G468,"mmm"))</f>
        <v>JUL - JUL</v>
      </c>
      <c r="K468" s="46" t="s">
        <v>882</v>
      </c>
      <c r="L468" s="28" t="s">
        <v>895</v>
      </c>
      <c r="M468" s="32" t="str">
        <f t="shared" si="15"/>
        <v>No</v>
      </c>
      <c r="N468" s="32">
        <f>G468 - F468</f>
        <v>30</v>
      </c>
      <c r="O468">
        <v>1</v>
      </c>
    </row>
    <row r="469" spans="1:15" x14ac:dyDescent="0.3">
      <c r="A469" s="26" t="s">
        <v>928</v>
      </c>
      <c r="B469" s="28" t="s">
        <v>66</v>
      </c>
      <c r="C469" s="28" t="s">
        <v>12</v>
      </c>
      <c r="D469" s="37" t="s">
        <v>25</v>
      </c>
      <c r="E469" s="37" t="s">
        <v>930</v>
      </c>
      <c r="F469" s="74">
        <v>44013</v>
      </c>
      <c r="G469" s="74">
        <v>44108</v>
      </c>
      <c r="H469" s="32" t="str">
        <f t="shared" si="14"/>
        <v>EVEN</v>
      </c>
      <c r="I469" s="103">
        <v>0</v>
      </c>
      <c r="J469" s="46" t="str">
        <f>UPPER(TEXT(F469,"mmm")) &amp; " - " &amp; UPPER(TEXT(G469,"mmm"))</f>
        <v>JUL - OCT</v>
      </c>
      <c r="K469" s="46" t="s">
        <v>882</v>
      </c>
      <c r="L469" s="28" t="s">
        <v>895</v>
      </c>
      <c r="M469" s="32" t="str">
        <f t="shared" si="15"/>
        <v>No</v>
      </c>
      <c r="N469" s="32">
        <f>G469 - F469</f>
        <v>95</v>
      </c>
      <c r="O469">
        <v>1</v>
      </c>
    </row>
    <row r="470" spans="1:15" ht="27" x14ac:dyDescent="0.3">
      <c r="A470" s="26" t="s">
        <v>320</v>
      </c>
      <c r="B470" s="28" t="s">
        <v>66</v>
      </c>
      <c r="C470" s="28" t="s">
        <v>12</v>
      </c>
      <c r="D470" s="37" t="s">
        <v>893</v>
      </c>
      <c r="E470" s="37" t="s">
        <v>277</v>
      </c>
      <c r="F470" s="74">
        <v>44064</v>
      </c>
      <c r="G470" s="74">
        <v>44156</v>
      </c>
      <c r="H470" s="32" t="str">
        <f t="shared" si="14"/>
        <v>ODD</v>
      </c>
      <c r="I470" s="103">
        <v>0</v>
      </c>
      <c r="J470" s="46" t="str">
        <f>UPPER(TEXT(F470,"mmm")) &amp; " - " &amp; UPPER(TEXT(G470,"mmm"))</f>
        <v>AUG - NOV</v>
      </c>
      <c r="K470" s="46" t="s">
        <v>882</v>
      </c>
      <c r="L470" s="28" t="s">
        <v>895</v>
      </c>
      <c r="M470" s="32" t="str">
        <f t="shared" si="15"/>
        <v>No</v>
      </c>
      <c r="N470" s="32">
        <f>G470 - F470</f>
        <v>92</v>
      </c>
      <c r="O470">
        <v>1</v>
      </c>
    </row>
    <row r="471" spans="1:15" x14ac:dyDescent="0.3">
      <c r="A471" s="26" t="s">
        <v>657</v>
      </c>
      <c r="B471" s="28" t="s">
        <v>66</v>
      </c>
      <c r="C471" s="28" t="s">
        <v>12</v>
      </c>
      <c r="D471" s="37" t="s">
        <v>931</v>
      </c>
      <c r="E471" s="37" t="s">
        <v>393</v>
      </c>
      <c r="F471" s="74">
        <v>43891</v>
      </c>
      <c r="G471" s="74">
        <v>44074</v>
      </c>
      <c r="H471" s="32" t="str">
        <f t="shared" si="14"/>
        <v>EVEN</v>
      </c>
      <c r="I471" s="103">
        <v>0</v>
      </c>
      <c r="J471" s="46" t="str">
        <f>UPPER(TEXT(F471,"mmm")) &amp; " - " &amp; UPPER(TEXT(G471,"mmm"))</f>
        <v>MAR - AUG</v>
      </c>
      <c r="K471" s="46" t="s">
        <v>882</v>
      </c>
      <c r="L471" s="99" t="s">
        <v>3895</v>
      </c>
      <c r="M471" s="32" t="str">
        <f t="shared" si="15"/>
        <v>No</v>
      </c>
      <c r="N471" s="32">
        <f>G471 - F471</f>
        <v>183</v>
      </c>
      <c r="O471">
        <v>1</v>
      </c>
    </row>
    <row r="472" spans="1:15" x14ac:dyDescent="0.3">
      <c r="A472" s="26" t="s">
        <v>932</v>
      </c>
      <c r="B472" s="28" t="s">
        <v>78</v>
      </c>
      <c r="C472" s="28" t="s">
        <v>12</v>
      </c>
      <c r="D472" s="37" t="s">
        <v>25</v>
      </c>
      <c r="E472" s="37" t="s">
        <v>933</v>
      </c>
      <c r="F472" s="74">
        <v>44173</v>
      </c>
      <c r="G472" s="74">
        <v>44182</v>
      </c>
      <c r="H472" s="32" t="str">
        <f t="shared" si="14"/>
        <v>ODD</v>
      </c>
      <c r="I472" s="103">
        <v>0</v>
      </c>
      <c r="J472" s="46" t="str">
        <f>UPPER(TEXT(F472,"mmm")) &amp; " - " &amp; UPPER(TEXT(G472,"mmm"))</f>
        <v>DEC - DEC</v>
      </c>
      <c r="K472" s="46" t="s">
        <v>882</v>
      </c>
      <c r="L472" s="28" t="s">
        <v>895</v>
      </c>
      <c r="M472" s="32" t="str">
        <f t="shared" si="15"/>
        <v>No</v>
      </c>
      <c r="N472" s="32">
        <f>G472 - F472</f>
        <v>9</v>
      </c>
      <c r="O472">
        <v>1</v>
      </c>
    </row>
    <row r="473" spans="1:15" ht="27" x14ac:dyDescent="0.3">
      <c r="A473" s="26" t="s">
        <v>934</v>
      </c>
      <c r="B473" s="28" t="s">
        <v>78</v>
      </c>
      <c r="C473" s="28" t="s">
        <v>12</v>
      </c>
      <c r="D473" s="37" t="s">
        <v>935</v>
      </c>
      <c r="E473" s="37" t="s">
        <v>936</v>
      </c>
      <c r="F473" s="74">
        <v>44173</v>
      </c>
      <c r="G473" s="74">
        <v>44182</v>
      </c>
      <c r="H473" s="32" t="str">
        <f t="shared" si="14"/>
        <v>ODD</v>
      </c>
      <c r="I473" s="103">
        <v>0</v>
      </c>
      <c r="J473" s="46" t="str">
        <f>UPPER(TEXT(F473,"mmm")) &amp; " - " &amp; UPPER(TEXT(G473,"mmm"))</f>
        <v>DEC - DEC</v>
      </c>
      <c r="K473" s="46" t="s">
        <v>882</v>
      </c>
      <c r="L473" s="28" t="s">
        <v>895</v>
      </c>
      <c r="M473" s="32" t="str">
        <f t="shared" si="15"/>
        <v>No</v>
      </c>
      <c r="N473" s="32">
        <f>G473 - F473</f>
        <v>9</v>
      </c>
      <c r="O473">
        <v>1</v>
      </c>
    </row>
    <row r="474" spans="1:15" ht="27" x14ac:dyDescent="0.3">
      <c r="A474" s="26" t="s">
        <v>937</v>
      </c>
      <c r="B474" s="28" t="s">
        <v>70</v>
      </c>
      <c r="C474" s="28" t="s">
        <v>12</v>
      </c>
      <c r="D474" s="37" t="s">
        <v>149</v>
      </c>
      <c r="E474" s="37" t="s">
        <v>938</v>
      </c>
      <c r="F474" s="74">
        <v>44060</v>
      </c>
      <c r="G474" s="74">
        <v>44182</v>
      </c>
      <c r="H474" s="32" t="str">
        <f t="shared" si="14"/>
        <v>ODD</v>
      </c>
      <c r="I474" s="103">
        <v>0</v>
      </c>
      <c r="J474" s="46" t="str">
        <f>UPPER(TEXT(F474,"mmm")) &amp; " - " &amp; UPPER(TEXT(G474,"mmm"))</f>
        <v>AUG - DEC</v>
      </c>
      <c r="K474" s="46" t="s">
        <v>882</v>
      </c>
      <c r="L474" s="28" t="s">
        <v>895</v>
      </c>
      <c r="M474" s="32" t="str">
        <f t="shared" si="15"/>
        <v>No</v>
      </c>
      <c r="N474" s="32">
        <f>G474 - F474</f>
        <v>122</v>
      </c>
      <c r="O474">
        <v>1</v>
      </c>
    </row>
    <row r="475" spans="1:15" ht="40.200000000000003" x14ac:dyDescent="0.3">
      <c r="A475" s="26" t="s">
        <v>362</v>
      </c>
      <c r="B475" s="28" t="s">
        <v>66</v>
      </c>
      <c r="C475" s="28" t="s">
        <v>12</v>
      </c>
      <c r="D475" s="37" t="s">
        <v>939</v>
      </c>
      <c r="E475" s="37" t="s">
        <v>940</v>
      </c>
      <c r="F475" s="74">
        <v>44013</v>
      </c>
      <c r="G475" s="74">
        <v>44196</v>
      </c>
      <c r="H475" s="32" t="str">
        <f t="shared" si="14"/>
        <v>EVEN</v>
      </c>
      <c r="I475" s="103">
        <v>3000</v>
      </c>
      <c r="J475" s="46" t="str">
        <f>UPPER(TEXT(F475,"mmm")) &amp; " - " &amp; UPPER(TEXT(G475,"mmm"))</f>
        <v>JUL - DEC</v>
      </c>
      <c r="K475" s="46" t="s">
        <v>882</v>
      </c>
      <c r="L475" s="99" t="s">
        <v>3895</v>
      </c>
      <c r="M475" s="32" t="str">
        <f t="shared" si="15"/>
        <v>Yes</v>
      </c>
      <c r="N475" s="32">
        <f>G475 - F475</f>
        <v>183</v>
      </c>
      <c r="O475">
        <v>1</v>
      </c>
    </row>
    <row r="476" spans="1:15" x14ac:dyDescent="0.3">
      <c r="A476" s="26" t="s">
        <v>941</v>
      </c>
      <c r="B476" s="28" t="s">
        <v>66</v>
      </c>
      <c r="C476" s="28" t="s">
        <v>12</v>
      </c>
      <c r="D476" s="37" t="s">
        <v>942</v>
      </c>
      <c r="E476" s="37" t="s">
        <v>943</v>
      </c>
      <c r="F476" s="74">
        <v>43983</v>
      </c>
      <c r="G476" s="74">
        <v>44043</v>
      </c>
      <c r="H476" s="32" t="str">
        <f t="shared" si="14"/>
        <v>EVEN</v>
      </c>
      <c r="I476" s="103">
        <v>0</v>
      </c>
      <c r="J476" s="46" t="str">
        <f>UPPER(TEXT(F476,"mmm")) &amp; " - " &amp; UPPER(TEXT(G476,"mmm"))</f>
        <v>JUN - JUL</v>
      </c>
      <c r="K476" s="46" t="s">
        <v>882</v>
      </c>
      <c r="L476" s="99" t="s">
        <v>3895</v>
      </c>
      <c r="M476" s="32" t="str">
        <f t="shared" si="15"/>
        <v>No</v>
      </c>
      <c r="N476" s="32">
        <f>G476 - F476</f>
        <v>60</v>
      </c>
      <c r="O476">
        <v>1</v>
      </c>
    </row>
    <row r="477" spans="1:15" ht="27" x14ac:dyDescent="0.3">
      <c r="A477" s="26" t="s">
        <v>944</v>
      </c>
      <c r="B477" s="28" t="s">
        <v>66</v>
      </c>
      <c r="C477" s="28" t="s">
        <v>12</v>
      </c>
      <c r="D477" s="37" t="s">
        <v>945</v>
      </c>
      <c r="E477" s="37" t="s">
        <v>946</v>
      </c>
      <c r="F477" s="74">
        <v>44039</v>
      </c>
      <c r="G477" s="74">
        <v>44129</v>
      </c>
      <c r="H477" s="32" t="str">
        <f t="shared" si="14"/>
        <v>ODD</v>
      </c>
      <c r="I477" s="103">
        <v>13000</v>
      </c>
      <c r="J477" s="46" t="str">
        <f>UPPER(TEXT(F477,"mmm")) &amp; " - " &amp; UPPER(TEXT(G477,"mmm"))</f>
        <v>JUL - OCT</v>
      </c>
      <c r="K477" s="46" t="s">
        <v>882</v>
      </c>
      <c r="L477" s="99" t="s">
        <v>3895</v>
      </c>
      <c r="M477" s="32" t="str">
        <f t="shared" si="15"/>
        <v>Yes</v>
      </c>
      <c r="N477" s="32">
        <f>G477 - F477</f>
        <v>90</v>
      </c>
      <c r="O477">
        <v>1</v>
      </c>
    </row>
    <row r="478" spans="1:15" ht="40.200000000000003" x14ac:dyDescent="0.3">
      <c r="A478" s="26" t="s">
        <v>947</v>
      </c>
      <c r="B478" s="28" t="s">
        <v>66</v>
      </c>
      <c r="C478" s="28" t="s">
        <v>12</v>
      </c>
      <c r="D478" s="37" t="s">
        <v>948</v>
      </c>
      <c r="E478" s="37" t="s">
        <v>949</v>
      </c>
      <c r="F478" s="74">
        <v>44051</v>
      </c>
      <c r="G478" s="74">
        <v>44129</v>
      </c>
      <c r="H478" s="32" t="str">
        <f t="shared" si="14"/>
        <v>ODD</v>
      </c>
      <c r="I478" s="103">
        <v>5000</v>
      </c>
      <c r="J478" s="46" t="str">
        <f>UPPER(TEXT(F478,"mmm")) &amp; " - " &amp; UPPER(TEXT(G478,"mmm"))</f>
        <v>AUG - OCT</v>
      </c>
      <c r="K478" s="46" t="s">
        <v>882</v>
      </c>
      <c r="L478" s="99" t="s">
        <v>3895</v>
      </c>
      <c r="M478" s="32" t="str">
        <f t="shared" si="15"/>
        <v>Yes</v>
      </c>
      <c r="N478" s="32">
        <f>G478 - F478</f>
        <v>78</v>
      </c>
      <c r="O478">
        <v>1</v>
      </c>
    </row>
    <row r="479" spans="1:15" ht="27" x14ac:dyDescent="0.3">
      <c r="A479" s="26" t="s">
        <v>950</v>
      </c>
      <c r="B479" s="28" t="s">
        <v>11</v>
      </c>
      <c r="C479" s="28" t="s">
        <v>12</v>
      </c>
      <c r="D479" s="37" t="s">
        <v>951</v>
      </c>
      <c r="E479" s="37" t="s">
        <v>952</v>
      </c>
      <c r="F479" s="74">
        <v>44124</v>
      </c>
      <c r="G479" s="74">
        <v>44185</v>
      </c>
      <c r="H479" s="32" t="str">
        <f t="shared" si="14"/>
        <v>ODD</v>
      </c>
      <c r="I479" s="103">
        <v>0</v>
      </c>
      <c r="J479" s="46" t="str">
        <f>UPPER(TEXT(F479,"mmm")) &amp; " - " &amp; UPPER(TEXT(G479,"mmm"))</f>
        <v>OCT - DEC</v>
      </c>
      <c r="K479" s="46" t="s">
        <v>882</v>
      </c>
      <c r="L479" s="99" t="s">
        <v>3895</v>
      </c>
      <c r="M479" s="32" t="str">
        <f t="shared" si="15"/>
        <v>No</v>
      </c>
      <c r="N479" s="32">
        <f>G479 - F479</f>
        <v>61</v>
      </c>
      <c r="O479">
        <v>1</v>
      </c>
    </row>
    <row r="480" spans="1:15" ht="27" x14ac:dyDescent="0.3">
      <c r="A480" s="26" t="s">
        <v>858</v>
      </c>
      <c r="B480" s="28" t="s">
        <v>66</v>
      </c>
      <c r="C480" s="28" t="s">
        <v>12</v>
      </c>
      <c r="D480" s="37" t="s">
        <v>953</v>
      </c>
      <c r="E480" s="37" t="s">
        <v>954</v>
      </c>
      <c r="F480" s="74">
        <v>44018</v>
      </c>
      <c r="G480" s="74">
        <v>44071</v>
      </c>
      <c r="H480" s="32" t="str">
        <f t="shared" si="14"/>
        <v>EVEN</v>
      </c>
      <c r="I480" s="103">
        <v>0</v>
      </c>
      <c r="J480" s="46" t="str">
        <f>UPPER(TEXT(F480,"mmm")) &amp; " - " &amp; UPPER(TEXT(G480,"mmm"))</f>
        <v>JUL - AUG</v>
      </c>
      <c r="K480" s="46" t="s">
        <v>882</v>
      </c>
      <c r="L480" s="99" t="s">
        <v>3895</v>
      </c>
      <c r="M480" s="32" t="str">
        <f t="shared" si="15"/>
        <v>No</v>
      </c>
      <c r="N480" s="32">
        <f>G480 - F480</f>
        <v>53</v>
      </c>
      <c r="O480">
        <v>1</v>
      </c>
    </row>
    <row r="481" spans="1:15" x14ac:dyDescent="0.3">
      <c r="A481" s="26" t="s">
        <v>374</v>
      </c>
      <c r="B481" s="28" t="s">
        <v>66</v>
      </c>
      <c r="C481" s="28" t="s">
        <v>12</v>
      </c>
      <c r="D481" s="37" t="s">
        <v>955</v>
      </c>
      <c r="E481" s="37" t="s">
        <v>956</v>
      </c>
      <c r="F481" s="74">
        <v>44105</v>
      </c>
      <c r="G481" s="74">
        <v>44171</v>
      </c>
      <c r="H481" s="32" t="str">
        <f t="shared" si="14"/>
        <v>ODD</v>
      </c>
      <c r="I481" s="103">
        <v>0</v>
      </c>
      <c r="J481" s="46" t="str">
        <f>UPPER(TEXT(F481,"mmm")) &amp; " - " &amp; UPPER(TEXT(G481,"mmm"))</f>
        <v>OCT - DEC</v>
      </c>
      <c r="K481" s="46" t="s">
        <v>882</v>
      </c>
      <c r="L481" s="99" t="s">
        <v>3895</v>
      </c>
      <c r="M481" s="32" t="str">
        <f t="shared" si="15"/>
        <v>No</v>
      </c>
      <c r="N481" s="32">
        <f>G481 - F481</f>
        <v>66</v>
      </c>
      <c r="O481">
        <v>1</v>
      </c>
    </row>
    <row r="482" spans="1:15" ht="27" x14ac:dyDescent="0.3">
      <c r="A482" s="26" t="s">
        <v>879</v>
      </c>
      <c r="B482" s="28" t="s">
        <v>66</v>
      </c>
      <c r="C482" s="28" t="s">
        <v>12</v>
      </c>
      <c r="D482" s="37" t="s">
        <v>957</v>
      </c>
      <c r="E482" s="37" t="s">
        <v>958</v>
      </c>
      <c r="F482" s="74">
        <v>44047</v>
      </c>
      <c r="G482" s="74">
        <v>44078</v>
      </c>
      <c r="H482" s="32" t="str">
        <f t="shared" si="14"/>
        <v>ODD</v>
      </c>
      <c r="I482" s="103">
        <v>0</v>
      </c>
      <c r="J482" s="46" t="str">
        <f>UPPER(TEXT(F482,"mmm")) &amp; " - " &amp; UPPER(TEXT(G482,"mmm"))</f>
        <v>AUG - SEP</v>
      </c>
      <c r="K482" s="46" t="s">
        <v>882</v>
      </c>
      <c r="L482" s="99" t="s">
        <v>3895</v>
      </c>
      <c r="M482" s="32" t="str">
        <f t="shared" si="15"/>
        <v>No</v>
      </c>
      <c r="N482" s="32">
        <f>G482 - F482</f>
        <v>31</v>
      </c>
      <c r="O482">
        <v>1</v>
      </c>
    </row>
    <row r="483" spans="1:15" x14ac:dyDescent="0.3">
      <c r="A483" s="26" t="s">
        <v>959</v>
      </c>
      <c r="B483" s="28" t="s">
        <v>66</v>
      </c>
      <c r="C483" s="28" t="s">
        <v>12</v>
      </c>
      <c r="D483" s="37" t="s">
        <v>921</v>
      </c>
      <c r="E483" s="37" t="s">
        <v>897</v>
      </c>
      <c r="F483" s="74">
        <v>44064</v>
      </c>
      <c r="G483" s="74">
        <v>44156</v>
      </c>
      <c r="H483" s="32" t="str">
        <f t="shared" si="14"/>
        <v>ODD</v>
      </c>
      <c r="I483" s="103">
        <v>0</v>
      </c>
      <c r="J483" s="46" t="str">
        <f>UPPER(TEXT(F483,"mmm")) &amp; " - " &amp; UPPER(TEXT(G483,"mmm"))</f>
        <v>AUG - NOV</v>
      </c>
      <c r="K483" s="46" t="s">
        <v>882</v>
      </c>
      <c r="L483" s="99" t="s">
        <v>3895</v>
      </c>
      <c r="M483" s="32" t="str">
        <f t="shared" si="15"/>
        <v>No</v>
      </c>
      <c r="N483" s="32">
        <f>G483 - F483</f>
        <v>92</v>
      </c>
      <c r="O483">
        <v>1</v>
      </c>
    </row>
    <row r="484" spans="1:15" x14ac:dyDescent="0.3">
      <c r="A484" s="26" t="s">
        <v>373</v>
      </c>
      <c r="B484" s="28" t="s">
        <v>66</v>
      </c>
      <c r="C484" s="28" t="s">
        <v>12</v>
      </c>
      <c r="D484" s="37" t="s">
        <v>888</v>
      </c>
      <c r="E484" s="37" t="s">
        <v>262</v>
      </c>
      <c r="F484" s="74">
        <v>44025</v>
      </c>
      <c r="G484" s="74">
        <v>44074</v>
      </c>
      <c r="H484" s="32" t="str">
        <f t="shared" si="14"/>
        <v>EVEN</v>
      </c>
      <c r="I484" s="103">
        <v>0</v>
      </c>
      <c r="J484" s="46" t="str">
        <f>UPPER(TEXT(F484,"mmm")) &amp; " - " &amp; UPPER(TEXT(G484,"mmm"))</f>
        <v>JUL - AUG</v>
      </c>
      <c r="K484" s="46" t="s">
        <v>882</v>
      </c>
      <c r="L484" s="99" t="s">
        <v>3895</v>
      </c>
      <c r="M484" s="32" t="str">
        <f t="shared" si="15"/>
        <v>No</v>
      </c>
      <c r="N484" s="32">
        <f>G484 - F484</f>
        <v>49</v>
      </c>
      <c r="O484">
        <v>1</v>
      </c>
    </row>
    <row r="485" spans="1:15" ht="27" x14ac:dyDescent="0.3">
      <c r="A485" s="26" t="s">
        <v>960</v>
      </c>
      <c r="B485" s="28" t="s">
        <v>78</v>
      </c>
      <c r="C485" s="28" t="s">
        <v>12</v>
      </c>
      <c r="D485" s="37" t="s">
        <v>961</v>
      </c>
      <c r="E485" s="37" t="s">
        <v>962</v>
      </c>
      <c r="F485" s="74">
        <v>44067</v>
      </c>
      <c r="G485" s="74">
        <v>44128</v>
      </c>
      <c r="H485" s="32" t="str">
        <f t="shared" si="14"/>
        <v>ODD</v>
      </c>
      <c r="I485" s="103">
        <v>2000</v>
      </c>
      <c r="J485" s="46" t="str">
        <f>UPPER(TEXT(F485,"mmm")) &amp; " - " &amp; UPPER(TEXT(G485,"mmm"))</f>
        <v>AUG - OCT</v>
      </c>
      <c r="K485" s="46" t="s">
        <v>882</v>
      </c>
      <c r="L485" s="99" t="s">
        <v>3895</v>
      </c>
      <c r="M485" s="32" t="str">
        <f t="shared" si="15"/>
        <v>Yes</v>
      </c>
      <c r="N485" s="32">
        <f>G485 - F485</f>
        <v>61</v>
      </c>
      <c r="O485">
        <v>1</v>
      </c>
    </row>
    <row r="486" spans="1:15" x14ac:dyDescent="0.3">
      <c r="A486" s="26" t="s">
        <v>963</v>
      </c>
      <c r="B486" s="28" t="s">
        <v>66</v>
      </c>
      <c r="C486" s="28" t="s">
        <v>12</v>
      </c>
      <c r="D486" s="37" t="s">
        <v>964</v>
      </c>
      <c r="E486" s="37" t="s">
        <v>965</v>
      </c>
      <c r="F486" s="74">
        <v>44013</v>
      </c>
      <c r="G486" s="74">
        <v>44058</v>
      </c>
      <c r="H486" s="32" t="str">
        <f t="shared" si="14"/>
        <v>EVEN</v>
      </c>
      <c r="I486" s="103">
        <v>0</v>
      </c>
      <c r="J486" s="46" t="str">
        <f>UPPER(TEXT(F486,"mmm")) &amp; " - " &amp; UPPER(TEXT(G486,"mmm"))</f>
        <v>JUL - AUG</v>
      </c>
      <c r="K486" s="46" t="s">
        <v>882</v>
      </c>
      <c r="L486" s="99" t="s">
        <v>3895</v>
      </c>
      <c r="M486" s="32" t="str">
        <f t="shared" si="15"/>
        <v>No</v>
      </c>
      <c r="N486" s="32">
        <f>G486 - F486</f>
        <v>45</v>
      </c>
      <c r="O486">
        <v>1</v>
      </c>
    </row>
    <row r="487" spans="1:15" x14ac:dyDescent="0.3">
      <c r="A487" s="26" t="s">
        <v>966</v>
      </c>
      <c r="B487" s="28" t="s">
        <v>66</v>
      </c>
      <c r="C487" s="28" t="s">
        <v>12</v>
      </c>
      <c r="D487" s="37" t="s">
        <v>967</v>
      </c>
      <c r="E487" s="37" t="s">
        <v>408</v>
      </c>
      <c r="F487" s="74">
        <v>44088</v>
      </c>
      <c r="G487" s="74">
        <v>44179</v>
      </c>
      <c r="H487" s="32" t="str">
        <f t="shared" si="14"/>
        <v>ODD</v>
      </c>
      <c r="I487" s="103">
        <v>0</v>
      </c>
      <c r="J487" s="46" t="str">
        <f>UPPER(TEXT(F487,"mmm")) &amp; " - " &amp; UPPER(TEXT(G487,"mmm"))</f>
        <v>SEP - DEC</v>
      </c>
      <c r="K487" s="46" t="s">
        <v>882</v>
      </c>
      <c r="L487" s="99" t="s">
        <v>3895</v>
      </c>
      <c r="M487" s="32" t="str">
        <f t="shared" si="15"/>
        <v>No</v>
      </c>
      <c r="N487" s="32">
        <f>G487 - F487</f>
        <v>91</v>
      </c>
      <c r="O487">
        <v>1</v>
      </c>
    </row>
    <row r="488" spans="1:15" x14ac:dyDescent="0.3">
      <c r="A488" s="26" t="s">
        <v>339</v>
      </c>
      <c r="B488" s="28" t="s">
        <v>78</v>
      </c>
      <c r="C488" s="28" t="s">
        <v>12</v>
      </c>
      <c r="D488" s="37" t="s">
        <v>907</v>
      </c>
      <c r="E488" s="37" t="s">
        <v>968</v>
      </c>
      <c r="F488" s="74">
        <v>44025</v>
      </c>
      <c r="G488" s="74">
        <v>44074</v>
      </c>
      <c r="H488" s="32" t="str">
        <f t="shared" si="14"/>
        <v>EVEN</v>
      </c>
      <c r="I488" s="103">
        <v>0</v>
      </c>
      <c r="J488" s="46" t="str">
        <f>UPPER(TEXT(F488,"mmm")) &amp; " - " &amp; UPPER(TEXT(G488,"mmm"))</f>
        <v>JUL - AUG</v>
      </c>
      <c r="K488" s="46" t="s">
        <v>882</v>
      </c>
      <c r="L488" s="99" t="s">
        <v>3895</v>
      </c>
      <c r="M488" s="32" t="str">
        <f t="shared" si="15"/>
        <v>No</v>
      </c>
      <c r="N488" s="32">
        <f>G488 - F488</f>
        <v>49</v>
      </c>
      <c r="O488">
        <v>1</v>
      </c>
    </row>
    <row r="489" spans="1:15" x14ac:dyDescent="0.3">
      <c r="A489" s="26" t="s">
        <v>969</v>
      </c>
      <c r="B489" s="28" t="s">
        <v>78</v>
      </c>
      <c r="C489" s="28" t="s">
        <v>12</v>
      </c>
      <c r="D489" s="37" t="s">
        <v>907</v>
      </c>
      <c r="E489" s="37" t="s">
        <v>262</v>
      </c>
      <c r="F489" s="74">
        <v>44025</v>
      </c>
      <c r="G489" s="74">
        <v>44074</v>
      </c>
      <c r="H489" s="32" t="str">
        <f t="shared" si="14"/>
        <v>EVEN</v>
      </c>
      <c r="I489" s="103">
        <v>0</v>
      </c>
      <c r="J489" s="46" t="str">
        <f>UPPER(TEXT(F489,"mmm")) &amp; " - " &amp; UPPER(TEXT(G489,"mmm"))</f>
        <v>JUL - AUG</v>
      </c>
      <c r="K489" s="46" t="s">
        <v>882</v>
      </c>
      <c r="L489" s="99" t="s">
        <v>3895</v>
      </c>
      <c r="M489" s="32" t="str">
        <f t="shared" si="15"/>
        <v>No</v>
      </c>
      <c r="N489" s="32">
        <f>G489 - F489</f>
        <v>49</v>
      </c>
      <c r="O489">
        <v>1</v>
      </c>
    </row>
    <row r="490" spans="1:15" x14ac:dyDescent="0.3">
      <c r="A490" s="26" t="s">
        <v>969</v>
      </c>
      <c r="B490" s="28" t="s">
        <v>78</v>
      </c>
      <c r="C490" s="28" t="s">
        <v>12</v>
      </c>
      <c r="D490" s="37" t="s">
        <v>907</v>
      </c>
      <c r="E490" s="37" t="s">
        <v>262</v>
      </c>
      <c r="F490" s="74">
        <v>44025</v>
      </c>
      <c r="G490" s="74">
        <v>44074</v>
      </c>
      <c r="H490" s="32" t="str">
        <f t="shared" si="14"/>
        <v>EVEN</v>
      </c>
      <c r="I490" s="103">
        <v>0</v>
      </c>
      <c r="J490" s="46" t="str">
        <f>UPPER(TEXT(F490,"mmm")) &amp; " - " &amp; UPPER(TEXT(G490,"mmm"))</f>
        <v>JUL - AUG</v>
      </c>
      <c r="K490" s="46" t="s">
        <v>882</v>
      </c>
      <c r="L490" s="99" t="s">
        <v>3895</v>
      </c>
      <c r="M490" s="32" t="str">
        <f t="shared" si="15"/>
        <v>No</v>
      </c>
      <c r="N490" s="32">
        <f>G490 - F490</f>
        <v>49</v>
      </c>
      <c r="O490">
        <v>1</v>
      </c>
    </row>
    <row r="491" spans="1:15" ht="40.200000000000003" x14ac:dyDescent="0.3">
      <c r="A491" s="26" t="s">
        <v>970</v>
      </c>
      <c r="B491" s="28" t="s">
        <v>66</v>
      </c>
      <c r="C491" s="28" t="s">
        <v>12</v>
      </c>
      <c r="D491" s="37" t="s">
        <v>971</v>
      </c>
      <c r="E491" s="37" t="s">
        <v>972</v>
      </c>
      <c r="F491" s="74">
        <v>44009</v>
      </c>
      <c r="G491" s="74">
        <v>44069</v>
      </c>
      <c r="H491" s="32" t="str">
        <f t="shared" si="14"/>
        <v>EVEN</v>
      </c>
      <c r="I491" s="103">
        <v>0</v>
      </c>
      <c r="J491" s="46" t="str">
        <f>UPPER(TEXT(F491,"mmm")) &amp; " - " &amp; UPPER(TEXT(G491,"mmm"))</f>
        <v>JUN - AUG</v>
      </c>
      <c r="K491" s="46" t="s">
        <v>882</v>
      </c>
      <c r="L491" s="99" t="s">
        <v>3895</v>
      </c>
      <c r="M491" s="32" t="str">
        <f t="shared" si="15"/>
        <v>No</v>
      </c>
      <c r="N491" s="32">
        <f>G491 - F491</f>
        <v>60</v>
      </c>
      <c r="O491">
        <v>1</v>
      </c>
    </row>
    <row r="492" spans="1:15" x14ac:dyDescent="0.3">
      <c r="A492" s="26" t="s">
        <v>973</v>
      </c>
      <c r="B492" s="28" t="s">
        <v>66</v>
      </c>
      <c r="C492" s="28" t="s">
        <v>12</v>
      </c>
      <c r="D492" s="37" t="s">
        <v>974</v>
      </c>
      <c r="E492" s="37" t="s">
        <v>775</v>
      </c>
      <c r="F492" s="74">
        <v>44000</v>
      </c>
      <c r="G492" s="74">
        <v>44064</v>
      </c>
      <c r="H492" s="32" t="str">
        <f t="shared" si="14"/>
        <v>EVEN</v>
      </c>
      <c r="I492" s="103">
        <v>0</v>
      </c>
      <c r="J492" s="46" t="str">
        <f>UPPER(TEXT(F492,"mmm")) &amp; " - " &amp; UPPER(TEXT(G492,"mmm"))</f>
        <v>JUN - AUG</v>
      </c>
      <c r="K492" s="46" t="s">
        <v>882</v>
      </c>
      <c r="L492" s="28" t="s">
        <v>895</v>
      </c>
      <c r="M492" s="32" t="str">
        <f t="shared" si="15"/>
        <v>No</v>
      </c>
      <c r="N492" s="32">
        <f>G492 - F492</f>
        <v>64</v>
      </c>
      <c r="O492">
        <v>1</v>
      </c>
    </row>
    <row r="493" spans="1:15" ht="53.4" x14ac:dyDescent="0.3">
      <c r="A493" s="26" t="s">
        <v>975</v>
      </c>
      <c r="B493" s="28" t="s">
        <v>66</v>
      </c>
      <c r="C493" s="28" t="s">
        <v>12</v>
      </c>
      <c r="D493" s="37" t="s">
        <v>976</v>
      </c>
      <c r="E493" s="37" t="s">
        <v>977</v>
      </c>
      <c r="F493" s="74">
        <v>44013</v>
      </c>
      <c r="G493" s="74">
        <v>44074</v>
      </c>
      <c r="H493" s="32" t="str">
        <f t="shared" si="14"/>
        <v>EVEN</v>
      </c>
      <c r="I493" s="103">
        <v>0</v>
      </c>
      <c r="J493" s="46" t="str">
        <f>UPPER(TEXT(F493,"mmm")) &amp; " - " &amp; UPPER(TEXT(G493,"mmm"))</f>
        <v>JUL - AUG</v>
      </c>
      <c r="K493" s="46" t="s">
        <v>882</v>
      </c>
      <c r="L493" s="28" t="s">
        <v>895</v>
      </c>
      <c r="M493" s="32" t="str">
        <f t="shared" si="15"/>
        <v>No</v>
      </c>
      <c r="N493" s="32">
        <f>G493 - F493</f>
        <v>61</v>
      </c>
      <c r="O493">
        <v>1</v>
      </c>
    </row>
    <row r="494" spans="1:15" ht="53.4" x14ac:dyDescent="0.3">
      <c r="A494" s="26" t="s">
        <v>978</v>
      </c>
      <c r="B494" s="28" t="s">
        <v>66</v>
      </c>
      <c r="C494" s="28" t="s">
        <v>12</v>
      </c>
      <c r="D494" s="37" t="s">
        <v>976</v>
      </c>
      <c r="E494" s="37" t="s">
        <v>977</v>
      </c>
      <c r="F494" s="74">
        <v>44013</v>
      </c>
      <c r="G494" s="74">
        <v>44439</v>
      </c>
      <c r="H494" s="32" t="str">
        <f t="shared" si="14"/>
        <v>EVEN</v>
      </c>
      <c r="I494" s="103">
        <v>0</v>
      </c>
      <c r="J494" s="46" t="str">
        <f>UPPER(TEXT(F494,"mmm")) &amp; " - " &amp; UPPER(TEXT(G494,"mmm"))</f>
        <v>JUL - AUG</v>
      </c>
      <c r="K494" s="46" t="s">
        <v>882</v>
      </c>
      <c r="L494" s="28" t="s">
        <v>895</v>
      </c>
      <c r="M494" s="32" t="str">
        <f t="shared" si="15"/>
        <v>No</v>
      </c>
      <c r="N494" s="32">
        <f>G494 - F494</f>
        <v>426</v>
      </c>
      <c r="O494">
        <v>1</v>
      </c>
    </row>
    <row r="495" spans="1:15" ht="53.4" x14ac:dyDescent="0.3">
      <c r="A495" s="26" t="s">
        <v>655</v>
      </c>
      <c r="B495" s="28" t="s">
        <v>66</v>
      </c>
      <c r="C495" s="28" t="s">
        <v>12</v>
      </c>
      <c r="D495" s="37" t="s">
        <v>979</v>
      </c>
      <c r="E495" s="37" t="s">
        <v>977</v>
      </c>
      <c r="F495" s="74">
        <v>44013</v>
      </c>
      <c r="G495" s="74">
        <v>44074</v>
      </c>
      <c r="H495" s="32" t="str">
        <f t="shared" si="14"/>
        <v>EVEN</v>
      </c>
      <c r="I495" s="103">
        <v>0</v>
      </c>
      <c r="J495" s="46" t="str">
        <f>UPPER(TEXT(F495,"mmm")) &amp; " - " &amp; UPPER(TEXT(G495,"mmm"))</f>
        <v>JUL - AUG</v>
      </c>
      <c r="K495" s="46" t="s">
        <v>882</v>
      </c>
      <c r="L495" s="28" t="s">
        <v>895</v>
      </c>
      <c r="M495" s="32" t="str">
        <f t="shared" si="15"/>
        <v>No</v>
      </c>
      <c r="N495" s="32">
        <f>G495 - F495</f>
        <v>61</v>
      </c>
      <c r="O495">
        <v>1</v>
      </c>
    </row>
    <row r="496" spans="1:15" ht="53.4" x14ac:dyDescent="0.3">
      <c r="A496" s="26" t="s">
        <v>980</v>
      </c>
      <c r="B496" s="28" t="s">
        <v>66</v>
      </c>
      <c r="C496" s="28" t="s">
        <v>12</v>
      </c>
      <c r="D496" s="37" t="s">
        <v>976</v>
      </c>
      <c r="E496" s="37" t="s">
        <v>977</v>
      </c>
      <c r="F496" s="74">
        <v>44013</v>
      </c>
      <c r="G496" s="74">
        <v>44074</v>
      </c>
      <c r="H496" s="32" t="str">
        <f t="shared" si="14"/>
        <v>EVEN</v>
      </c>
      <c r="I496" s="103">
        <v>0</v>
      </c>
      <c r="J496" s="46" t="str">
        <f>UPPER(TEXT(F496,"mmm")) &amp; " - " &amp; UPPER(TEXT(G496,"mmm"))</f>
        <v>JUL - AUG</v>
      </c>
      <c r="K496" s="46" t="s">
        <v>882</v>
      </c>
      <c r="L496" s="28" t="s">
        <v>895</v>
      </c>
      <c r="M496" s="32" t="str">
        <f t="shared" si="15"/>
        <v>No</v>
      </c>
      <c r="N496" s="32">
        <f>G496 - F496</f>
        <v>61</v>
      </c>
      <c r="O496">
        <v>1</v>
      </c>
    </row>
    <row r="497" spans="1:15" x14ac:dyDescent="0.3">
      <c r="A497" s="26" t="s">
        <v>327</v>
      </c>
      <c r="B497" s="28" t="s">
        <v>66</v>
      </c>
      <c r="C497" s="28" t="s">
        <v>12</v>
      </c>
      <c r="D497" s="37" t="s">
        <v>170</v>
      </c>
      <c r="E497" s="37" t="s">
        <v>981</v>
      </c>
      <c r="F497" s="74">
        <v>44000</v>
      </c>
      <c r="G497" s="74">
        <v>44064</v>
      </c>
      <c r="H497" s="32" t="str">
        <f t="shared" si="14"/>
        <v>EVEN</v>
      </c>
      <c r="I497" s="103">
        <v>0</v>
      </c>
      <c r="J497" s="46" t="str">
        <f>UPPER(TEXT(F497,"mmm")) &amp; " - " &amp; UPPER(TEXT(G497,"mmm"))</f>
        <v>JUN - AUG</v>
      </c>
      <c r="K497" s="46" t="s">
        <v>882</v>
      </c>
      <c r="L497" s="28" t="s">
        <v>895</v>
      </c>
      <c r="M497" s="32" t="str">
        <f t="shared" si="15"/>
        <v>No</v>
      </c>
      <c r="N497" s="32">
        <f>G497 - F497</f>
        <v>64</v>
      </c>
      <c r="O497">
        <v>1</v>
      </c>
    </row>
    <row r="498" spans="1:15" x14ac:dyDescent="0.3">
      <c r="A498" s="26" t="s">
        <v>320</v>
      </c>
      <c r="B498" s="28" t="s">
        <v>66</v>
      </c>
      <c r="C498" s="28" t="s">
        <v>12</v>
      </c>
      <c r="D498" s="37" t="s">
        <v>982</v>
      </c>
      <c r="E498" s="37" t="s">
        <v>552</v>
      </c>
      <c r="F498" s="74">
        <v>44063</v>
      </c>
      <c r="G498" s="74">
        <v>44165</v>
      </c>
      <c r="H498" s="32" t="str">
        <f t="shared" si="14"/>
        <v>ODD</v>
      </c>
      <c r="I498" s="103">
        <v>5000</v>
      </c>
      <c r="J498" s="46" t="str">
        <f>UPPER(TEXT(F498,"mmm")) &amp; " - " &amp; UPPER(TEXT(G498,"mmm"))</f>
        <v>AUG - NOV</v>
      </c>
      <c r="K498" s="46" t="s">
        <v>882</v>
      </c>
      <c r="L498" s="99" t="s">
        <v>3895</v>
      </c>
      <c r="M498" s="32" t="str">
        <f t="shared" si="15"/>
        <v>Yes</v>
      </c>
      <c r="N498" s="32">
        <f>G498 - F498</f>
        <v>102</v>
      </c>
      <c r="O498">
        <v>1</v>
      </c>
    </row>
    <row r="499" spans="1:15" x14ac:dyDescent="0.3">
      <c r="A499" s="26" t="s">
        <v>923</v>
      </c>
      <c r="B499" s="28" t="s">
        <v>66</v>
      </c>
      <c r="C499" s="28" t="s">
        <v>12</v>
      </c>
      <c r="D499" s="37" t="s">
        <v>974</v>
      </c>
      <c r="E499" s="37" t="s">
        <v>983</v>
      </c>
      <c r="F499" s="74">
        <v>43976</v>
      </c>
      <c r="G499" s="74">
        <v>44058</v>
      </c>
      <c r="H499" s="32" t="str">
        <f t="shared" si="14"/>
        <v>EVEN</v>
      </c>
      <c r="I499" s="103">
        <v>0</v>
      </c>
      <c r="J499" s="46" t="str">
        <f>UPPER(TEXT(F499,"mmm")) &amp; " - " &amp; UPPER(TEXT(G499,"mmm"))</f>
        <v>MAY - AUG</v>
      </c>
      <c r="K499" s="46" t="s">
        <v>882</v>
      </c>
      <c r="L499" s="28" t="s">
        <v>895</v>
      </c>
      <c r="M499" s="32" t="str">
        <f t="shared" si="15"/>
        <v>No</v>
      </c>
      <c r="N499" s="32">
        <f>G499 - F499</f>
        <v>82</v>
      </c>
      <c r="O499">
        <v>1</v>
      </c>
    </row>
    <row r="500" spans="1:15" x14ac:dyDescent="0.3">
      <c r="A500" s="26" t="s">
        <v>335</v>
      </c>
      <c r="B500" s="28" t="s">
        <v>66</v>
      </c>
      <c r="C500" s="28" t="s">
        <v>12</v>
      </c>
      <c r="D500" s="37" t="s">
        <v>170</v>
      </c>
      <c r="E500" s="37" t="s">
        <v>984</v>
      </c>
      <c r="F500" s="74">
        <v>43976</v>
      </c>
      <c r="G500" s="74">
        <v>44058</v>
      </c>
      <c r="H500" s="32" t="str">
        <f t="shared" si="14"/>
        <v>EVEN</v>
      </c>
      <c r="I500" s="103">
        <v>0</v>
      </c>
      <c r="J500" s="46" t="str">
        <f>UPPER(TEXT(F500,"mmm")) &amp; " - " &amp; UPPER(TEXT(G500,"mmm"))</f>
        <v>MAY - AUG</v>
      </c>
      <c r="K500" s="46" t="s">
        <v>882</v>
      </c>
      <c r="L500" s="28" t="s">
        <v>895</v>
      </c>
      <c r="M500" s="32" t="str">
        <f t="shared" si="15"/>
        <v>No</v>
      </c>
      <c r="N500" s="32">
        <f>G500 - F500</f>
        <v>82</v>
      </c>
      <c r="O500">
        <v>1</v>
      </c>
    </row>
    <row r="501" spans="1:15" x14ac:dyDescent="0.3">
      <c r="A501" s="26" t="s">
        <v>709</v>
      </c>
      <c r="B501" s="28" t="s">
        <v>66</v>
      </c>
      <c r="C501" s="28" t="s">
        <v>12</v>
      </c>
      <c r="D501" s="37" t="s">
        <v>985</v>
      </c>
      <c r="E501" s="37" t="s">
        <v>986</v>
      </c>
      <c r="F501" s="74">
        <v>44110</v>
      </c>
      <c r="G501" s="74">
        <v>44170</v>
      </c>
      <c r="H501" s="32" t="str">
        <f t="shared" si="14"/>
        <v>ODD</v>
      </c>
      <c r="I501" s="103">
        <v>0</v>
      </c>
      <c r="J501" s="46" t="str">
        <f>UPPER(TEXT(F501,"mmm")) &amp; " - " &amp; UPPER(TEXT(G501,"mmm"))</f>
        <v>OCT - DEC</v>
      </c>
      <c r="K501" s="46" t="s">
        <v>882</v>
      </c>
      <c r="L501" s="99" t="s">
        <v>3895</v>
      </c>
      <c r="M501" s="32" t="str">
        <f t="shared" si="15"/>
        <v>No</v>
      </c>
      <c r="N501" s="32">
        <f>G501 - F501</f>
        <v>60</v>
      </c>
      <c r="O501">
        <v>1</v>
      </c>
    </row>
    <row r="502" spans="1:15" ht="27" x14ac:dyDescent="0.3">
      <c r="A502" s="26" t="s">
        <v>987</v>
      </c>
      <c r="B502" s="28" t="s">
        <v>66</v>
      </c>
      <c r="C502" s="28" t="s">
        <v>12</v>
      </c>
      <c r="D502" s="37" t="s">
        <v>974</v>
      </c>
      <c r="E502" s="37" t="s">
        <v>988</v>
      </c>
      <c r="F502" s="74">
        <v>44021</v>
      </c>
      <c r="G502" s="74">
        <v>44064</v>
      </c>
      <c r="H502" s="32" t="str">
        <f t="shared" si="14"/>
        <v>EVEN</v>
      </c>
      <c r="I502" s="103">
        <v>0</v>
      </c>
      <c r="J502" s="46" t="str">
        <f>UPPER(TEXT(F502,"mmm")) &amp; " - " &amp; UPPER(TEXT(G502,"mmm"))</f>
        <v>JUL - AUG</v>
      </c>
      <c r="K502" s="46" t="s">
        <v>882</v>
      </c>
      <c r="L502" s="28" t="s">
        <v>895</v>
      </c>
      <c r="M502" s="32" t="str">
        <f t="shared" si="15"/>
        <v>No</v>
      </c>
      <c r="N502" s="32">
        <f>G502 - F502</f>
        <v>43</v>
      </c>
      <c r="O502">
        <v>1</v>
      </c>
    </row>
    <row r="503" spans="1:15" ht="40.200000000000003" x14ac:dyDescent="0.3">
      <c r="A503" s="26" t="s">
        <v>901</v>
      </c>
      <c r="B503" s="28" t="s">
        <v>78</v>
      </c>
      <c r="C503" s="28" t="s">
        <v>12</v>
      </c>
      <c r="D503" s="37" t="s">
        <v>25</v>
      </c>
      <c r="E503" s="37" t="s">
        <v>902</v>
      </c>
      <c r="F503" s="74">
        <v>44027</v>
      </c>
      <c r="G503" s="74">
        <v>44108</v>
      </c>
      <c r="H503" s="32" t="str">
        <f t="shared" si="14"/>
        <v>ODD</v>
      </c>
      <c r="I503" s="103">
        <v>0</v>
      </c>
      <c r="J503" s="46" t="str">
        <f>UPPER(TEXT(F503,"mmm")) &amp; " - " &amp; UPPER(TEXT(G503,"mmm"))</f>
        <v>JUL - OCT</v>
      </c>
      <c r="K503" s="46" t="s">
        <v>882</v>
      </c>
      <c r="L503" s="28" t="s">
        <v>895</v>
      </c>
      <c r="M503" s="32" t="str">
        <f t="shared" si="15"/>
        <v>No</v>
      </c>
      <c r="N503" s="32">
        <f>G503 - F503</f>
        <v>81</v>
      </c>
      <c r="O503">
        <v>1</v>
      </c>
    </row>
    <row r="504" spans="1:15" ht="40.200000000000003" x14ac:dyDescent="0.3">
      <c r="A504" s="26" t="s">
        <v>699</v>
      </c>
      <c r="B504" s="28" t="s">
        <v>66</v>
      </c>
      <c r="C504" s="28" t="s">
        <v>12</v>
      </c>
      <c r="D504" s="37" t="s">
        <v>593</v>
      </c>
      <c r="E504" s="37" t="s">
        <v>989</v>
      </c>
      <c r="F504" s="74">
        <v>43805</v>
      </c>
      <c r="G504" s="74">
        <v>44164</v>
      </c>
      <c r="H504" s="32" t="str">
        <f t="shared" si="14"/>
        <v>EVEN</v>
      </c>
      <c r="I504" s="103">
        <v>0</v>
      </c>
      <c r="J504" s="46" t="str">
        <f>UPPER(TEXT(F504,"mmm")) &amp; " - " &amp; UPPER(TEXT(G504,"mmm"))</f>
        <v>DEC - NOV</v>
      </c>
      <c r="K504" s="46" t="s">
        <v>882</v>
      </c>
      <c r="L504" s="28" t="s">
        <v>895</v>
      </c>
      <c r="M504" s="32" t="str">
        <f t="shared" si="15"/>
        <v>No</v>
      </c>
      <c r="N504" s="32">
        <f>G504 - F504</f>
        <v>359</v>
      </c>
      <c r="O504">
        <v>1</v>
      </c>
    </row>
    <row r="505" spans="1:15" x14ac:dyDescent="0.3">
      <c r="A505" s="26" t="s">
        <v>381</v>
      </c>
      <c r="B505" s="28" t="s">
        <v>66</v>
      </c>
      <c r="C505" s="28" t="s">
        <v>12</v>
      </c>
      <c r="D505" s="37" t="s">
        <v>964</v>
      </c>
      <c r="E505" s="37" t="s">
        <v>986</v>
      </c>
      <c r="F505" s="74">
        <v>44013</v>
      </c>
      <c r="G505" s="74">
        <v>44058</v>
      </c>
      <c r="H505" s="32" t="str">
        <f t="shared" si="14"/>
        <v>EVEN</v>
      </c>
      <c r="I505" s="103">
        <v>0</v>
      </c>
      <c r="J505" s="46" t="str">
        <f>UPPER(TEXT(F505,"mmm")) &amp; " - " &amp; UPPER(TEXT(G505,"mmm"))</f>
        <v>JUL - AUG</v>
      </c>
      <c r="K505" s="46" t="s">
        <v>882</v>
      </c>
      <c r="L505" s="99" t="s">
        <v>3895</v>
      </c>
      <c r="M505" s="32" t="str">
        <f t="shared" si="15"/>
        <v>No</v>
      </c>
      <c r="N505" s="32">
        <f>G505 - F505</f>
        <v>45</v>
      </c>
      <c r="O505">
        <v>1</v>
      </c>
    </row>
    <row r="506" spans="1:15" x14ac:dyDescent="0.3">
      <c r="A506" s="26" t="s">
        <v>45</v>
      </c>
      <c r="B506" s="28" t="s">
        <v>78</v>
      </c>
      <c r="C506" s="28" t="s">
        <v>12</v>
      </c>
      <c r="D506" s="37" t="s">
        <v>990</v>
      </c>
      <c r="E506" s="37" t="s">
        <v>986</v>
      </c>
      <c r="F506" s="74">
        <v>44013</v>
      </c>
      <c r="G506" s="74">
        <v>44058</v>
      </c>
      <c r="H506" s="32" t="str">
        <f t="shared" si="14"/>
        <v>EVEN</v>
      </c>
      <c r="I506" s="103">
        <v>0</v>
      </c>
      <c r="J506" s="46" t="str">
        <f>UPPER(TEXT(F506,"mmm")) &amp; " - " &amp; UPPER(TEXT(G506,"mmm"))</f>
        <v>JUL - AUG</v>
      </c>
      <c r="K506" s="46" t="s">
        <v>882</v>
      </c>
      <c r="L506" s="99" t="s">
        <v>3895</v>
      </c>
      <c r="M506" s="32" t="str">
        <f t="shared" si="15"/>
        <v>No</v>
      </c>
      <c r="N506" s="32">
        <f>G506 - F506</f>
        <v>45</v>
      </c>
      <c r="O506">
        <v>1</v>
      </c>
    </row>
    <row r="507" spans="1:15" ht="40.200000000000003" x14ac:dyDescent="0.3">
      <c r="A507" s="26" t="s">
        <v>872</v>
      </c>
      <c r="B507" s="28" t="s">
        <v>66</v>
      </c>
      <c r="C507" s="28" t="s">
        <v>12</v>
      </c>
      <c r="D507" s="37" t="s">
        <v>991</v>
      </c>
      <c r="E507" s="37" t="s">
        <v>992</v>
      </c>
      <c r="F507" s="74">
        <v>44013</v>
      </c>
      <c r="G507" s="74">
        <v>44075</v>
      </c>
      <c r="H507" s="32" t="str">
        <f t="shared" si="14"/>
        <v>EVEN</v>
      </c>
      <c r="I507" s="103">
        <v>0</v>
      </c>
      <c r="J507" s="46" t="str">
        <f>UPPER(TEXT(F507,"mmm")) &amp; " - " &amp; UPPER(TEXT(G507,"mmm"))</f>
        <v>JUL - SEP</v>
      </c>
      <c r="K507" s="46" t="s">
        <v>882</v>
      </c>
      <c r="L507" s="99" t="s">
        <v>3895</v>
      </c>
      <c r="M507" s="32" t="str">
        <f t="shared" si="15"/>
        <v>No</v>
      </c>
      <c r="N507" s="32">
        <f>G507 - F507</f>
        <v>62</v>
      </c>
      <c r="O507">
        <v>1</v>
      </c>
    </row>
    <row r="508" spans="1:15" x14ac:dyDescent="0.3">
      <c r="A508" s="26" t="s">
        <v>45</v>
      </c>
      <c r="B508" s="28" t="s">
        <v>66</v>
      </c>
      <c r="C508" s="28" t="s">
        <v>12</v>
      </c>
      <c r="D508" s="37" t="s">
        <v>993</v>
      </c>
      <c r="E508" s="37" t="s">
        <v>994</v>
      </c>
      <c r="F508" s="74">
        <v>43990</v>
      </c>
      <c r="G508" s="74">
        <v>44071</v>
      </c>
      <c r="H508" s="32" t="str">
        <f t="shared" si="14"/>
        <v>EVEN</v>
      </c>
      <c r="I508" s="103">
        <v>0</v>
      </c>
      <c r="J508" s="46" t="str">
        <f>UPPER(TEXT(F508,"mmm")) &amp; " - " &amp; UPPER(TEXT(G508,"mmm"))</f>
        <v>JUN - AUG</v>
      </c>
      <c r="K508" s="46" t="s">
        <v>882</v>
      </c>
      <c r="L508" s="99" t="s">
        <v>3895</v>
      </c>
      <c r="M508" s="32" t="str">
        <f t="shared" si="15"/>
        <v>No</v>
      </c>
      <c r="N508" s="32">
        <f>G508 - F508</f>
        <v>81</v>
      </c>
      <c r="O508">
        <v>1</v>
      </c>
    </row>
    <row r="509" spans="1:15" x14ac:dyDescent="0.3">
      <c r="A509" s="26" t="s">
        <v>670</v>
      </c>
      <c r="B509" s="28" t="s">
        <v>66</v>
      </c>
      <c r="C509" s="28" t="s">
        <v>12</v>
      </c>
      <c r="D509" s="37" t="s">
        <v>995</v>
      </c>
      <c r="E509" s="37" t="s">
        <v>996</v>
      </c>
      <c r="F509" s="74">
        <v>43990</v>
      </c>
      <c r="G509" s="74">
        <v>44071</v>
      </c>
      <c r="H509" s="32" t="str">
        <f t="shared" si="14"/>
        <v>EVEN</v>
      </c>
      <c r="I509" s="103">
        <v>0</v>
      </c>
      <c r="J509" s="46" t="str">
        <f>UPPER(TEXT(F509,"mmm")) &amp; " - " &amp; UPPER(TEXT(G509,"mmm"))</f>
        <v>JUN - AUG</v>
      </c>
      <c r="K509" s="46" t="s">
        <v>882</v>
      </c>
      <c r="L509" s="99" t="s">
        <v>3895</v>
      </c>
      <c r="M509" s="32" t="str">
        <f t="shared" si="15"/>
        <v>No</v>
      </c>
      <c r="N509" s="32">
        <f>G509 - F509</f>
        <v>81</v>
      </c>
      <c r="O509">
        <v>1</v>
      </c>
    </row>
    <row r="510" spans="1:15" x14ac:dyDescent="0.3">
      <c r="A510" s="26" t="s">
        <v>670</v>
      </c>
      <c r="B510" s="28" t="s">
        <v>66</v>
      </c>
      <c r="C510" s="28" t="s">
        <v>12</v>
      </c>
      <c r="D510" s="37" t="s">
        <v>997</v>
      </c>
      <c r="E510" s="37" t="s">
        <v>998</v>
      </c>
      <c r="F510" s="74">
        <v>43991</v>
      </c>
      <c r="G510" s="74">
        <v>44037</v>
      </c>
      <c r="H510" s="32" t="str">
        <f t="shared" si="14"/>
        <v>EVEN</v>
      </c>
      <c r="I510" s="103">
        <v>10000</v>
      </c>
      <c r="J510" s="46" t="str">
        <f>UPPER(TEXT(F510,"mmm")) &amp; " - " &amp; UPPER(TEXT(G510,"mmm"))</f>
        <v>JUN - JUL</v>
      </c>
      <c r="K510" s="46" t="s">
        <v>882</v>
      </c>
      <c r="L510" s="99" t="s">
        <v>3895</v>
      </c>
      <c r="M510" s="32" t="str">
        <f t="shared" si="15"/>
        <v>Yes</v>
      </c>
      <c r="N510" s="32">
        <f>G510 - F510</f>
        <v>46</v>
      </c>
      <c r="O510">
        <v>1</v>
      </c>
    </row>
    <row r="511" spans="1:15" ht="27" x14ac:dyDescent="0.3">
      <c r="A511" s="26" t="s">
        <v>999</v>
      </c>
      <c r="B511" s="28" t="s">
        <v>66</v>
      </c>
      <c r="C511" s="28" t="s">
        <v>12</v>
      </c>
      <c r="D511" s="37" t="s">
        <v>893</v>
      </c>
      <c r="E511" s="37" t="s">
        <v>1000</v>
      </c>
      <c r="F511" s="74">
        <v>44130</v>
      </c>
      <c r="G511" s="74">
        <v>44191</v>
      </c>
      <c r="H511" s="32" t="str">
        <f t="shared" si="14"/>
        <v>ODD</v>
      </c>
      <c r="I511" s="103">
        <v>0</v>
      </c>
      <c r="J511" s="46" t="str">
        <f>UPPER(TEXT(F511,"mmm")) &amp; " - " &amp; UPPER(TEXT(G511,"mmm"))</f>
        <v>OCT - DEC</v>
      </c>
      <c r="K511" s="46" t="s">
        <v>882</v>
      </c>
      <c r="L511" s="28" t="s">
        <v>895</v>
      </c>
      <c r="M511" s="32" t="str">
        <f t="shared" si="15"/>
        <v>No</v>
      </c>
      <c r="N511" s="32">
        <f>G511 - F511</f>
        <v>61</v>
      </c>
      <c r="O511">
        <v>1</v>
      </c>
    </row>
    <row r="512" spans="1:15" ht="40.200000000000003" x14ac:dyDescent="0.3">
      <c r="A512" s="26" t="s">
        <v>362</v>
      </c>
      <c r="B512" s="28" t="s">
        <v>66</v>
      </c>
      <c r="C512" s="28" t="s">
        <v>12</v>
      </c>
      <c r="D512" s="37" t="s">
        <v>1001</v>
      </c>
      <c r="E512" s="37" t="s">
        <v>1002</v>
      </c>
      <c r="F512" s="74">
        <v>44145</v>
      </c>
      <c r="G512" s="74">
        <v>44206</v>
      </c>
      <c r="H512" s="32" t="str">
        <f t="shared" ref="H512:H575" si="16">IF(AND(F512&gt;=DATE(2020,7,15), F512&lt;=DATE(2020,12,31)), "ODD", "EVEN")</f>
        <v>ODD</v>
      </c>
      <c r="I512" s="103">
        <v>2000</v>
      </c>
      <c r="J512" s="46" t="str">
        <f>UPPER(TEXT(F512,"mmm")) &amp; " - " &amp; UPPER(TEXT(G512,"mmm"))</f>
        <v>NOV - JAN</v>
      </c>
      <c r="K512" s="46" t="s">
        <v>882</v>
      </c>
      <c r="L512" s="99" t="s">
        <v>3895</v>
      </c>
      <c r="M512" s="32" t="str">
        <f t="shared" si="15"/>
        <v>Yes</v>
      </c>
      <c r="N512" s="32">
        <f>G512 - F512</f>
        <v>61</v>
      </c>
      <c r="O512">
        <v>1</v>
      </c>
    </row>
    <row r="513" spans="1:15" x14ac:dyDescent="0.3">
      <c r="A513" s="26" t="s">
        <v>1003</v>
      </c>
      <c r="B513" s="28" t="s">
        <v>66</v>
      </c>
      <c r="C513" s="28" t="s">
        <v>12</v>
      </c>
      <c r="D513" s="37" t="s">
        <v>906</v>
      </c>
      <c r="E513" s="37" t="s">
        <v>1004</v>
      </c>
      <c r="F513" s="74">
        <v>44144</v>
      </c>
      <c r="G513" s="74">
        <v>44236</v>
      </c>
      <c r="H513" s="32" t="str">
        <f t="shared" si="16"/>
        <v>ODD</v>
      </c>
      <c r="I513" s="103">
        <v>0</v>
      </c>
      <c r="J513" s="46" t="str">
        <f>UPPER(TEXT(F513,"mmm")) &amp; " - " &amp; UPPER(TEXT(G513,"mmm"))</f>
        <v>NOV - FEB</v>
      </c>
      <c r="K513" s="46" t="s">
        <v>882</v>
      </c>
      <c r="L513" s="99" t="s">
        <v>3895</v>
      </c>
      <c r="M513" s="32" t="str">
        <f t="shared" si="15"/>
        <v>No</v>
      </c>
      <c r="N513" s="32">
        <f>G513 - F513</f>
        <v>92</v>
      </c>
      <c r="O513">
        <v>1</v>
      </c>
    </row>
    <row r="514" spans="1:15" ht="27" x14ac:dyDescent="0.3">
      <c r="A514" s="26" t="s">
        <v>51</v>
      </c>
      <c r="B514" s="28" t="s">
        <v>66</v>
      </c>
      <c r="C514" s="28" t="s">
        <v>12</v>
      </c>
      <c r="D514" s="37" t="s">
        <v>1005</v>
      </c>
      <c r="E514" s="37" t="s">
        <v>1006</v>
      </c>
      <c r="F514" s="74">
        <v>44166</v>
      </c>
      <c r="G514" s="74">
        <v>44197</v>
      </c>
      <c r="H514" s="32" t="str">
        <f t="shared" si="16"/>
        <v>ODD</v>
      </c>
      <c r="I514" s="103">
        <v>0</v>
      </c>
      <c r="J514" s="46" t="str">
        <f>UPPER(TEXT(F514,"mmm")) &amp; " - " &amp; UPPER(TEXT(G514,"mmm"))</f>
        <v>DEC - JAN</v>
      </c>
      <c r="K514" s="46" t="s">
        <v>882</v>
      </c>
      <c r="L514" s="99" t="s">
        <v>3895</v>
      </c>
      <c r="M514" s="32" t="str">
        <f t="shared" si="15"/>
        <v>No</v>
      </c>
      <c r="N514" s="32">
        <f>G514 - F514</f>
        <v>31</v>
      </c>
      <c r="O514">
        <v>1</v>
      </c>
    </row>
    <row r="515" spans="1:15" ht="27" x14ac:dyDescent="0.3">
      <c r="A515" s="26" t="s">
        <v>709</v>
      </c>
      <c r="B515" s="28" t="s">
        <v>66</v>
      </c>
      <c r="C515" s="28" t="s">
        <v>12</v>
      </c>
      <c r="D515" s="37" t="s">
        <v>1007</v>
      </c>
      <c r="E515" s="37" t="s">
        <v>1008</v>
      </c>
      <c r="F515" s="74">
        <v>44197</v>
      </c>
      <c r="G515" s="74">
        <v>44228</v>
      </c>
      <c r="H515" s="32" t="str">
        <f t="shared" si="16"/>
        <v>EVEN</v>
      </c>
      <c r="I515" s="103">
        <v>0</v>
      </c>
      <c r="J515" s="46" t="str">
        <f>UPPER(TEXT(F515,"mmm")) &amp; " - " &amp; UPPER(TEXT(G515,"mmm"))</f>
        <v>JAN - FEB</v>
      </c>
      <c r="K515" s="46" t="s">
        <v>882</v>
      </c>
      <c r="L515" s="99" t="s">
        <v>3895</v>
      </c>
      <c r="M515" s="32" t="str">
        <f t="shared" ref="M515:M578" si="17">IF(I515 &gt; 0, "Yes", "No")</f>
        <v>No</v>
      </c>
      <c r="N515" s="32">
        <f>G515 - F515</f>
        <v>31</v>
      </c>
      <c r="O515">
        <v>1</v>
      </c>
    </row>
    <row r="516" spans="1:15" ht="27" x14ac:dyDescent="0.3">
      <c r="A516" s="26" t="s">
        <v>879</v>
      </c>
      <c r="B516" s="28" t="s">
        <v>66</v>
      </c>
      <c r="C516" s="28" t="s">
        <v>12</v>
      </c>
      <c r="D516" s="37" t="s">
        <v>1009</v>
      </c>
      <c r="E516" s="37" t="s">
        <v>1010</v>
      </c>
      <c r="F516" s="74">
        <v>44083</v>
      </c>
      <c r="G516" s="74">
        <v>44228</v>
      </c>
      <c r="H516" s="32" t="str">
        <f t="shared" si="16"/>
        <v>ODD</v>
      </c>
      <c r="I516" s="103">
        <v>0</v>
      </c>
      <c r="J516" s="46" t="str">
        <f>UPPER(TEXT(F516,"mmm")) &amp; " - " &amp; UPPER(TEXT(G516,"mmm"))</f>
        <v>SEP - FEB</v>
      </c>
      <c r="K516" s="46" t="s">
        <v>882</v>
      </c>
      <c r="L516" s="99" t="s">
        <v>3895</v>
      </c>
      <c r="M516" s="32" t="str">
        <f t="shared" si="17"/>
        <v>No</v>
      </c>
      <c r="N516" s="32">
        <f>G516 - F516</f>
        <v>145</v>
      </c>
      <c r="O516">
        <v>1</v>
      </c>
    </row>
    <row r="517" spans="1:15" ht="27" x14ac:dyDescent="0.3">
      <c r="A517" s="26" t="s">
        <v>879</v>
      </c>
      <c r="B517" s="28" t="s">
        <v>66</v>
      </c>
      <c r="C517" s="28" t="s">
        <v>12</v>
      </c>
      <c r="D517" s="37" t="s">
        <v>1011</v>
      </c>
      <c r="E517" s="37" t="s">
        <v>1012</v>
      </c>
      <c r="F517" s="74">
        <v>44155</v>
      </c>
      <c r="G517" s="74">
        <v>44240</v>
      </c>
      <c r="H517" s="32" t="str">
        <f t="shared" si="16"/>
        <v>ODD</v>
      </c>
      <c r="I517" s="103">
        <v>0</v>
      </c>
      <c r="J517" s="46" t="str">
        <f>UPPER(TEXT(F517,"mmm")) &amp; " - " &amp; UPPER(TEXT(G517,"mmm"))</f>
        <v>NOV - FEB</v>
      </c>
      <c r="K517" s="46" t="s">
        <v>882</v>
      </c>
      <c r="L517" s="99" t="s">
        <v>3895</v>
      </c>
      <c r="M517" s="32" t="str">
        <f t="shared" si="17"/>
        <v>No</v>
      </c>
      <c r="N517" s="32">
        <f>G517 - F517</f>
        <v>85</v>
      </c>
      <c r="O517">
        <v>1</v>
      </c>
    </row>
    <row r="518" spans="1:15" x14ac:dyDescent="0.3">
      <c r="A518" s="26" t="s">
        <v>1013</v>
      </c>
      <c r="B518" s="28" t="s">
        <v>66</v>
      </c>
      <c r="C518" s="28" t="s">
        <v>12</v>
      </c>
      <c r="D518" s="37" t="s">
        <v>903</v>
      </c>
      <c r="E518" s="37" t="s">
        <v>1014</v>
      </c>
      <c r="F518" s="74">
        <v>44165</v>
      </c>
      <c r="G518" s="74">
        <v>44256</v>
      </c>
      <c r="H518" s="32" t="str">
        <f t="shared" si="16"/>
        <v>ODD</v>
      </c>
      <c r="I518" s="103">
        <v>0</v>
      </c>
      <c r="J518" s="46" t="str">
        <f>UPPER(TEXT(F518,"mmm")) &amp; " - " &amp; UPPER(TEXT(G518,"mmm"))</f>
        <v>NOV - MAR</v>
      </c>
      <c r="K518" s="46" t="s">
        <v>882</v>
      </c>
      <c r="L518" s="99" t="s">
        <v>3895</v>
      </c>
      <c r="M518" s="32" t="str">
        <f t="shared" si="17"/>
        <v>No</v>
      </c>
      <c r="N518" s="32">
        <f>G518 - F518</f>
        <v>91</v>
      </c>
      <c r="O518">
        <v>1</v>
      </c>
    </row>
    <row r="519" spans="1:15" x14ac:dyDescent="0.3">
      <c r="A519" s="26" t="s">
        <v>28</v>
      </c>
      <c r="B519" s="28" t="s">
        <v>66</v>
      </c>
      <c r="C519" s="28" t="s">
        <v>12</v>
      </c>
      <c r="D519" s="37" t="s">
        <v>1007</v>
      </c>
      <c r="E519" s="37" t="s">
        <v>1015</v>
      </c>
      <c r="F519" s="74">
        <v>44228</v>
      </c>
      <c r="G519" s="74">
        <v>44256</v>
      </c>
      <c r="H519" s="32" t="str">
        <f t="shared" si="16"/>
        <v>EVEN</v>
      </c>
      <c r="I519" s="103">
        <v>0</v>
      </c>
      <c r="J519" s="46" t="str">
        <f>UPPER(TEXT(F519,"mmm")) &amp; " - " &amp; UPPER(TEXT(G519,"mmm"))</f>
        <v>FEB - MAR</v>
      </c>
      <c r="K519" s="46" t="s">
        <v>882</v>
      </c>
      <c r="L519" s="99" t="s">
        <v>3895</v>
      </c>
      <c r="M519" s="32" t="str">
        <f t="shared" si="17"/>
        <v>No</v>
      </c>
      <c r="N519" s="32">
        <f>G519 - F519</f>
        <v>28</v>
      </c>
      <c r="O519">
        <v>1</v>
      </c>
    </row>
    <row r="520" spans="1:15" ht="27" x14ac:dyDescent="0.3">
      <c r="A520" s="26" t="s">
        <v>63</v>
      </c>
      <c r="B520" s="28" t="s">
        <v>66</v>
      </c>
      <c r="C520" s="28" t="s">
        <v>12</v>
      </c>
      <c r="D520" s="37" t="s">
        <v>1007</v>
      </c>
      <c r="E520" s="37" t="s">
        <v>1016</v>
      </c>
      <c r="F520" s="74">
        <v>44228</v>
      </c>
      <c r="G520" s="74">
        <v>44256</v>
      </c>
      <c r="H520" s="32" t="str">
        <f t="shared" si="16"/>
        <v>EVEN</v>
      </c>
      <c r="I520" s="103">
        <v>0</v>
      </c>
      <c r="J520" s="46" t="str">
        <f>UPPER(TEXT(F520,"mmm")) &amp; " - " &amp; UPPER(TEXT(G520,"mmm"))</f>
        <v>FEB - MAR</v>
      </c>
      <c r="K520" s="46" t="s">
        <v>882</v>
      </c>
      <c r="L520" s="99" t="s">
        <v>3895</v>
      </c>
      <c r="M520" s="32" t="str">
        <f t="shared" si="17"/>
        <v>No</v>
      </c>
      <c r="N520" s="32">
        <f>G520 - F520</f>
        <v>28</v>
      </c>
      <c r="O520">
        <v>1</v>
      </c>
    </row>
    <row r="521" spans="1:15" x14ac:dyDescent="0.3">
      <c r="A521" s="26" t="s">
        <v>1017</v>
      </c>
      <c r="B521" s="28" t="s">
        <v>66</v>
      </c>
      <c r="C521" s="28" t="s">
        <v>12</v>
      </c>
      <c r="D521" s="37" t="s">
        <v>1018</v>
      </c>
      <c r="E521" s="37" t="s">
        <v>1019</v>
      </c>
      <c r="F521" s="74">
        <v>44198</v>
      </c>
      <c r="G521" s="74">
        <v>44260</v>
      </c>
      <c r="H521" s="32" t="str">
        <f t="shared" si="16"/>
        <v>EVEN</v>
      </c>
      <c r="I521" s="103">
        <v>0</v>
      </c>
      <c r="J521" s="46" t="str">
        <f>UPPER(TEXT(F521,"mmm")) &amp; " - " &amp; UPPER(TEXT(G521,"mmm"))</f>
        <v>JAN - MAR</v>
      </c>
      <c r="K521" s="46" t="s">
        <v>882</v>
      </c>
      <c r="L521" s="99" t="s">
        <v>3895</v>
      </c>
      <c r="M521" s="32" t="str">
        <f t="shared" si="17"/>
        <v>No</v>
      </c>
      <c r="N521" s="32">
        <f>G521 - F521</f>
        <v>62</v>
      </c>
      <c r="O521">
        <v>1</v>
      </c>
    </row>
    <row r="522" spans="1:15" x14ac:dyDescent="0.3">
      <c r="A522" s="26" t="s">
        <v>1020</v>
      </c>
      <c r="B522" s="28" t="s">
        <v>66</v>
      </c>
      <c r="C522" s="28" t="s">
        <v>12</v>
      </c>
      <c r="D522" s="37" t="s">
        <v>1021</v>
      </c>
      <c r="E522" s="37" t="s">
        <v>1022</v>
      </c>
      <c r="F522" s="74">
        <v>44198</v>
      </c>
      <c r="G522" s="74">
        <v>44260</v>
      </c>
      <c r="H522" s="32" t="str">
        <f t="shared" si="16"/>
        <v>EVEN</v>
      </c>
      <c r="I522" s="103">
        <v>0</v>
      </c>
      <c r="J522" s="46" t="str">
        <f>UPPER(TEXT(F522,"mmm")) &amp; " - " &amp; UPPER(TEXT(G522,"mmm"))</f>
        <v>JAN - MAR</v>
      </c>
      <c r="K522" s="46" t="s">
        <v>882</v>
      </c>
      <c r="L522" s="99" t="s">
        <v>3895</v>
      </c>
      <c r="M522" s="32" t="str">
        <f t="shared" si="17"/>
        <v>No</v>
      </c>
      <c r="N522" s="32">
        <f>G522 - F522</f>
        <v>62</v>
      </c>
      <c r="O522">
        <v>1</v>
      </c>
    </row>
    <row r="523" spans="1:15" x14ac:dyDescent="0.3">
      <c r="A523" s="26" t="s">
        <v>315</v>
      </c>
      <c r="B523" s="28" t="s">
        <v>66</v>
      </c>
      <c r="C523" s="28" t="s">
        <v>12</v>
      </c>
      <c r="D523" s="37" t="s">
        <v>1021</v>
      </c>
      <c r="E523" s="37" t="s">
        <v>1022</v>
      </c>
      <c r="F523" s="74">
        <v>44198</v>
      </c>
      <c r="G523" s="74">
        <v>44260</v>
      </c>
      <c r="H523" s="32" t="str">
        <f t="shared" si="16"/>
        <v>EVEN</v>
      </c>
      <c r="I523" s="103">
        <v>0</v>
      </c>
      <c r="J523" s="46" t="str">
        <f>UPPER(TEXT(F523,"mmm")) &amp; " - " &amp; UPPER(TEXT(G523,"mmm"))</f>
        <v>JAN - MAR</v>
      </c>
      <c r="K523" s="46" t="s">
        <v>882</v>
      </c>
      <c r="L523" s="99" t="s">
        <v>3895</v>
      </c>
      <c r="M523" s="32" t="str">
        <f t="shared" si="17"/>
        <v>No</v>
      </c>
      <c r="N523" s="32">
        <f>G523 - F523</f>
        <v>62</v>
      </c>
      <c r="O523">
        <v>1</v>
      </c>
    </row>
    <row r="524" spans="1:15" x14ac:dyDescent="0.3">
      <c r="A524" s="26" t="s">
        <v>1023</v>
      </c>
      <c r="B524" s="28" t="s">
        <v>66</v>
      </c>
      <c r="C524" s="28" t="s">
        <v>12</v>
      </c>
      <c r="D524" s="37" t="s">
        <v>1018</v>
      </c>
      <c r="E524" s="37" t="s">
        <v>1019</v>
      </c>
      <c r="F524" s="74">
        <v>44198</v>
      </c>
      <c r="G524" s="74">
        <v>44260</v>
      </c>
      <c r="H524" s="32" t="str">
        <f t="shared" si="16"/>
        <v>EVEN</v>
      </c>
      <c r="I524" s="103">
        <v>0</v>
      </c>
      <c r="J524" s="46" t="str">
        <f>UPPER(TEXT(F524,"mmm")) &amp; " - " &amp; UPPER(TEXT(G524,"mmm"))</f>
        <v>JAN - MAR</v>
      </c>
      <c r="K524" s="46" t="s">
        <v>882</v>
      </c>
      <c r="L524" s="99" t="s">
        <v>3895</v>
      </c>
      <c r="M524" s="32" t="str">
        <f t="shared" si="17"/>
        <v>No</v>
      </c>
      <c r="N524" s="32">
        <f>G524 - F524</f>
        <v>62</v>
      </c>
      <c r="O524">
        <v>1</v>
      </c>
    </row>
    <row r="525" spans="1:15" x14ac:dyDescent="0.3">
      <c r="A525" s="26" t="s">
        <v>1024</v>
      </c>
      <c r="B525" s="28" t="s">
        <v>78</v>
      </c>
      <c r="C525" s="28" t="s">
        <v>12</v>
      </c>
      <c r="D525" s="37" t="s">
        <v>1025</v>
      </c>
      <c r="E525" s="37" t="s">
        <v>1026</v>
      </c>
      <c r="F525" s="74">
        <v>44008</v>
      </c>
      <c r="G525" s="74">
        <v>44085</v>
      </c>
      <c r="H525" s="32" t="str">
        <f t="shared" si="16"/>
        <v>EVEN</v>
      </c>
      <c r="I525" s="103">
        <v>0</v>
      </c>
      <c r="J525" s="46" t="str">
        <f>UPPER(TEXT(F525,"mmm")) &amp; " - " &amp; UPPER(TEXT(G525,"mmm"))</f>
        <v>JUN - SEP</v>
      </c>
      <c r="K525" s="46" t="s">
        <v>882</v>
      </c>
      <c r="L525" s="28" t="s">
        <v>895</v>
      </c>
      <c r="M525" s="32" t="str">
        <f t="shared" si="17"/>
        <v>No</v>
      </c>
      <c r="N525" s="32">
        <f>G525 - F525</f>
        <v>77</v>
      </c>
      <c r="O525">
        <v>1</v>
      </c>
    </row>
    <row r="526" spans="1:15" x14ac:dyDescent="0.3">
      <c r="A526" s="26" t="s">
        <v>1027</v>
      </c>
      <c r="B526" s="28" t="s">
        <v>78</v>
      </c>
      <c r="C526" s="28" t="s">
        <v>12</v>
      </c>
      <c r="D526" s="37" t="s">
        <v>25</v>
      </c>
      <c r="E526" s="37" t="s">
        <v>1028</v>
      </c>
      <c r="F526" s="74">
        <v>44008</v>
      </c>
      <c r="G526" s="74">
        <v>44085</v>
      </c>
      <c r="H526" s="32" t="str">
        <f t="shared" si="16"/>
        <v>EVEN</v>
      </c>
      <c r="I526" s="103">
        <v>0</v>
      </c>
      <c r="J526" s="46" t="str">
        <f>UPPER(TEXT(F526,"mmm")) &amp; " - " &amp; UPPER(TEXT(G526,"mmm"))</f>
        <v>JUN - SEP</v>
      </c>
      <c r="K526" s="46" t="s">
        <v>882</v>
      </c>
      <c r="L526" s="28" t="s">
        <v>895</v>
      </c>
      <c r="M526" s="32" t="str">
        <f t="shared" si="17"/>
        <v>No</v>
      </c>
      <c r="N526" s="32">
        <f>G526 - F526</f>
        <v>77</v>
      </c>
      <c r="O526">
        <v>1</v>
      </c>
    </row>
    <row r="527" spans="1:15" x14ac:dyDescent="0.3">
      <c r="A527" s="26" t="s">
        <v>1029</v>
      </c>
      <c r="B527" s="28" t="s">
        <v>78</v>
      </c>
      <c r="C527" s="28" t="s">
        <v>12</v>
      </c>
      <c r="D527" s="37" t="s">
        <v>1030</v>
      </c>
      <c r="E527" s="37" t="s">
        <v>1031</v>
      </c>
      <c r="F527" s="74">
        <v>44088</v>
      </c>
      <c r="G527" s="74">
        <v>44210</v>
      </c>
      <c r="H527" s="32" t="str">
        <f t="shared" si="16"/>
        <v>ODD</v>
      </c>
      <c r="I527" s="103">
        <v>88</v>
      </c>
      <c r="J527" s="46" t="str">
        <f>UPPER(TEXT(F527,"mmm")) &amp; " - " &amp; UPPER(TEXT(G527,"mmm"))</f>
        <v>SEP - JAN</v>
      </c>
      <c r="K527" s="46" t="s">
        <v>882</v>
      </c>
      <c r="L527" s="99" t="s">
        <v>3895</v>
      </c>
      <c r="M527" s="32" t="str">
        <f t="shared" si="17"/>
        <v>Yes</v>
      </c>
      <c r="N527" s="32">
        <f>G527 - F527</f>
        <v>122</v>
      </c>
      <c r="O527">
        <v>1</v>
      </c>
    </row>
    <row r="528" spans="1:15" ht="27" x14ac:dyDescent="0.3">
      <c r="A528" s="26" t="s">
        <v>597</v>
      </c>
      <c r="B528" s="28" t="s">
        <v>66</v>
      </c>
      <c r="C528" s="28" t="s">
        <v>12</v>
      </c>
      <c r="D528" s="37" t="s">
        <v>1032</v>
      </c>
      <c r="E528" s="37" t="s">
        <v>1033</v>
      </c>
      <c r="F528" s="74">
        <v>44215</v>
      </c>
      <c r="G528" s="74">
        <v>44271</v>
      </c>
      <c r="H528" s="32" t="str">
        <f t="shared" si="16"/>
        <v>EVEN</v>
      </c>
      <c r="I528" s="103">
        <v>0</v>
      </c>
      <c r="J528" s="46" t="str">
        <f>UPPER(TEXT(F528,"mmm")) &amp; " - " &amp; UPPER(TEXT(G528,"mmm"))</f>
        <v>JAN - MAR</v>
      </c>
      <c r="K528" s="46" t="s">
        <v>882</v>
      </c>
      <c r="L528" s="99" t="s">
        <v>3895</v>
      </c>
      <c r="M528" s="32" t="str">
        <f t="shared" si="17"/>
        <v>No</v>
      </c>
      <c r="N528" s="32">
        <f>G528 - F528</f>
        <v>56</v>
      </c>
      <c r="O528">
        <v>1</v>
      </c>
    </row>
    <row r="529" spans="1:15" x14ac:dyDescent="0.3">
      <c r="A529" s="26" t="s">
        <v>1034</v>
      </c>
      <c r="B529" s="28" t="s">
        <v>66</v>
      </c>
      <c r="C529" s="28" t="s">
        <v>12</v>
      </c>
      <c r="D529" s="37" t="s">
        <v>1035</v>
      </c>
      <c r="E529" s="37" t="s">
        <v>1036</v>
      </c>
      <c r="F529" s="74">
        <v>44136</v>
      </c>
      <c r="G529" s="74">
        <v>44211</v>
      </c>
      <c r="H529" s="32" t="str">
        <f t="shared" si="16"/>
        <v>ODD</v>
      </c>
      <c r="I529" s="103">
        <v>0</v>
      </c>
      <c r="J529" s="46" t="str">
        <f>UPPER(TEXT(F529,"mmm")) &amp; " - " &amp; UPPER(TEXT(G529,"mmm"))</f>
        <v>NOV - JAN</v>
      </c>
      <c r="K529" s="46" t="s">
        <v>882</v>
      </c>
      <c r="L529" s="28" t="s">
        <v>895</v>
      </c>
      <c r="M529" s="32" t="str">
        <f t="shared" si="17"/>
        <v>No</v>
      </c>
      <c r="N529" s="32">
        <f>G529 - F529</f>
        <v>75</v>
      </c>
      <c r="O529">
        <v>1</v>
      </c>
    </row>
    <row r="530" spans="1:15" ht="27" x14ac:dyDescent="0.3">
      <c r="A530" s="26" t="s">
        <v>1037</v>
      </c>
      <c r="B530" s="28" t="s">
        <v>66</v>
      </c>
      <c r="C530" s="28" t="s">
        <v>12</v>
      </c>
      <c r="D530" s="37" t="s">
        <v>1038</v>
      </c>
      <c r="E530" s="37" t="s">
        <v>1039</v>
      </c>
      <c r="F530" s="74">
        <v>44136</v>
      </c>
      <c r="G530" s="74">
        <v>44211</v>
      </c>
      <c r="H530" s="32" t="str">
        <f t="shared" si="16"/>
        <v>ODD</v>
      </c>
      <c r="I530" s="103">
        <v>0</v>
      </c>
      <c r="J530" s="46" t="str">
        <f>UPPER(TEXT(F530,"mmm")) &amp; " - " &amp; UPPER(TEXT(G530,"mmm"))</f>
        <v>NOV - JAN</v>
      </c>
      <c r="K530" s="46" t="s">
        <v>882</v>
      </c>
      <c r="L530" s="28" t="s">
        <v>895</v>
      </c>
      <c r="M530" s="32" t="str">
        <f t="shared" si="17"/>
        <v>No</v>
      </c>
      <c r="N530" s="32">
        <f>G530 - F530</f>
        <v>75</v>
      </c>
      <c r="O530">
        <v>1</v>
      </c>
    </row>
    <row r="531" spans="1:15" x14ac:dyDescent="0.3">
      <c r="A531" s="26" t="s">
        <v>1040</v>
      </c>
      <c r="B531" s="28" t="s">
        <v>66</v>
      </c>
      <c r="C531" s="28" t="s">
        <v>12</v>
      </c>
      <c r="D531" s="37" t="s">
        <v>1035</v>
      </c>
      <c r="E531" s="37" t="s">
        <v>1036</v>
      </c>
      <c r="F531" s="74">
        <v>44136</v>
      </c>
      <c r="G531" s="74">
        <v>44211</v>
      </c>
      <c r="H531" s="32" t="str">
        <f t="shared" si="16"/>
        <v>ODD</v>
      </c>
      <c r="I531" s="103">
        <v>0</v>
      </c>
      <c r="J531" s="46" t="str">
        <f>UPPER(TEXT(F531,"mmm")) &amp; " - " &amp; UPPER(TEXT(G531,"mmm"))</f>
        <v>NOV - JAN</v>
      </c>
      <c r="K531" s="46" t="s">
        <v>882</v>
      </c>
      <c r="L531" s="28" t="s">
        <v>895</v>
      </c>
      <c r="M531" s="32" t="str">
        <f t="shared" si="17"/>
        <v>No</v>
      </c>
      <c r="N531" s="32">
        <f>G531 - F531</f>
        <v>75</v>
      </c>
      <c r="O531">
        <v>1</v>
      </c>
    </row>
    <row r="532" spans="1:15" ht="27" x14ac:dyDescent="0.3">
      <c r="A532" s="26" t="s">
        <v>1041</v>
      </c>
      <c r="B532" s="28" t="s">
        <v>66</v>
      </c>
      <c r="C532" s="28" t="s">
        <v>12</v>
      </c>
      <c r="D532" s="37" t="s">
        <v>1042</v>
      </c>
      <c r="E532" s="37" t="s">
        <v>1043</v>
      </c>
      <c r="F532" s="74">
        <v>44256</v>
      </c>
      <c r="G532" s="74">
        <v>44286</v>
      </c>
      <c r="H532" s="32" t="str">
        <f t="shared" si="16"/>
        <v>EVEN</v>
      </c>
      <c r="I532" s="103">
        <v>0</v>
      </c>
      <c r="J532" s="46" t="str">
        <f>UPPER(TEXT(F532,"mmm")) &amp; " - " &amp; UPPER(TEXT(G532,"mmm"))</f>
        <v>MAR - MAR</v>
      </c>
      <c r="K532" s="46" t="s">
        <v>882</v>
      </c>
      <c r="L532" s="99" t="s">
        <v>3895</v>
      </c>
      <c r="M532" s="32" t="str">
        <f t="shared" si="17"/>
        <v>No</v>
      </c>
      <c r="N532" s="32">
        <f>G532 - F532</f>
        <v>30</v>
      </c>
      <c r="O532">
        <v>1</v>
      </c>
    </row>
    <row r="533" spans="1:15" x14ac:dyDescent="0.3">
      <c r="A533" s="26" t="s">
        <v>57</v>
      </c>
      <c r="B533" s="28" t="s">
        <v>66</v>
      </c>
      <c r="C533" s="28" t="s">
        <v>12</v>
      </c>
      <c r="D533" s="37" t="s">
        <v>1007</v>
      </c>
      <c r="E533" s="37" t="s">
        <v>1044</v>
      </c>
      <c r="F533" s="74">
        <v>44197</v>
      </c>
      <c r="G533" s="74">
        <v>44228</v>
      </c>
      <c r="H533" s="32" t="str">
        <f t="shared" si="16"/>
        <v>EVEN</v>
      </c>
      <c r="I533" s="103">
        <v>0</v>
      </c>
      <c r="J533" s="46" t="str">
        <f>UPPER(TEXT(F533,"mmm")) &amp; " - " &amp; UPPER(TEXT(G533,"mmm"))</f>
        <v>JAN - FEB</v>
      </c>
      <c r="K533" s="46" t="s">
        <v>882</v>
      </c>
      <c r="L533" s="99" t="s">
        <v>3895</v>
      </c>
      <c r="M533" s="32" t="str">
        <f t="shared" si="17"/>
        <v>No</v>
      </c>
      <c r="N533" s="32">
        <f>G533 - F533</f>
        <v>31</v>
      </c>
      <c r="O533">
        <v>1</v>
      </c>
    </row>
    <row r="534" spans="1:15" x14ac:dyDescent="0.3">
      <c r="A534" s="26" t="s">
        <v>1045</v>
      </c>
      <c r="B534" s="28" t="s">
        <v>66</v>
      </c>
      <c r="C534" s="28" t="s">
        <v>12</v>
      </c>
      <c r="D534" s="37" t="s">
        <v>1046</v>
      </c>
      <c r="E534" s="37" t="s">
        <v>1047</v>
      </c>
      <c r="F534" s="74">
        <v>44215</v>
      </c>
      <c r="G534" s="74">
        <v>44271</v>
      </c>
      <c r="H534" s="32" t="str">
        <f t="shared" si="16"/>
        <v>EVEN</v>
      </c>
      <c r="I534" s="103">
        <v>0</v>
      </c>
      <c r="J534" s="46" t="str">
        <f>UPPER(TEXT(F534,"mmm")) &amp; " - " &amp; UPPER(TEXT(G534,"mmm"))</f>
        <v>JAN - MAR</v>
      </c>
      <c r="K534" s="46" t="s">
        <v>882</v>
      </c>
      <c r="L534" s="99" t="s">
        <v>3895</v>
      </c>
      <c r="M534" s="32" t="str">
        <f t="shared" si="17"/>
        <v>No</v>
      </c>
      <c r="N534" s="32">
        <f>G534 - F534</f>
        <v>56</v>
      </c>
      <c r="O534">
        <v>1</v>
      </c>
    </row>
    <row r="535" spans="1:15" ht="27" x14ac:dyDescent="0.3">
      <c r="A535" s="26" t="s">
        <v>1040</v>
      </c>
      <c r="B535" s="28" t="s">
        <v>66</v>
      </c>
      <c r="C535" s="28" t="s">
        <v>12</v>
      </c>
      <c r="D535" s="37" t="s">
        <v>1046</v>
      </c>
      <c r="E535" s="37" t="s">
        <v>1033</v>
      </c>
      <c r="F535" s="74">
        <v>44215</v>
      </c>
      <c r="G535" s="74">
        <v>44271</v>
      </c>
      <c r="H535" s="32" t="str">
        <f t="shared" si="16"/>
        <v>EVEN</v>
      </c>
      <c r="I535" s="103">
        <v>0</v>
      </c>
      <c r="J535" s="46" t="str">
        <f>UPPER(TEXT(F535,"mmm")) &amp; " - " &amp; UPPER(TEXT(G535,"mmm"))</f>
        <v>JAN - MAR</v>
      </c>
      <c r="K535" s="46" t="s">
        <v>882</v>
      </c>
      <c r="L535" s="99" t="s">
        <v>3895</v>
      </c>
      <c r="M535" s="32" t="str">
        <f t="shared" si="17"/>
        <v>No</v>
      </c>
      <c r="N535" s="32">
        <f>G535 - F535</f>
        <v>56</v>
      </c>
      <c r="O535">
        <v>1</v>
      </c>
    </row>
    <row r="536" spans="1:15" ht="27" x14ac:dyDescent="0.3">
      <c r="A536" s="26" t="s">
        <v>1048</v>
      </c>
      <c r="B536" s="28" t="s">
        <v>66</v>
      </c>
      <c r="C536" s="28" t="s">
        <v>12</v>
      </c>
      <c r="D536" s="37" t="s">
        <v>1049</v>
      </c>
      <c r="E536" s="37" t="s">
        <v>1050</v>
      </c>
      <c r="F536" s="74">
        <v>44221</v>
      </c>
      <c r="G536" s="74">
        <v>44238</v>
      </c>
      <c r="H536" s="32" t="str">
        <f t="shared" si="16"/>
        <v>EVEN</v>
      </c>
      <c r="I536" s="103">
        <v>0</v>
      </c>
      <c r="J536" s="46" t="str">
        <f>UPPER(TEXT(F536,"mmm")) &amp; " - " &amp; UPPER(TEXT(G536,"mmm"))</f>
        <v>JAN - FEB</v>
      </c>
      <c r="K536" s="46" t="s">
        <v>882</v>
      </c>
      <c r="L536" s="28" t="s">
        <v>895</v>
      </c>
      <c r="M536" s="32" t="str">
        <f t="shared" si="17"/>
        <v>No</v>
      </c>
      <c r="N536" s="32">
        <f>G536 - F536</f>
        <v>17</v>
      </c>
      <c r="O536">
        <v>1</v>
      </c>
    </row>
    <row r="537" spans="1:15" ht="27" x14ac:dyDescent="0.3">
      <c r="A537" s="26" t="s">
        <v>1051</v>
      </c>
      <c r="B537" s="28" t="s">
        <v>78</v>
      </c>
      <c r="C537" s="28" t="s">
        <v>12</v>
      </c>
      <c r="D537" s="37" t="s">
        <v>1052</v>
      </c>
      <c r="E537" s="37" t="s">
        <v>1053</v>
      </c>
      <c r="F537" s="74">
        <v>44143</v>
      </c>
      <c r="G537" s="74">
        <v>44255</v>
      </c>
      <c r="H537" s="32" t="str">
        <f t="shared" si="16"/>
        <v>ODD</v>
      </c>
      <c r="I537" s="103">
        <v>0</v>
      </c>
      <c r="J537" s="46" t="str">
        <f>UPPER(TEXT(F537,"mmm")) &amp; " - " &amp; UPPER(TEXT(G537,"mmm"))</f>
        <v>NOV - FEB</v>
      </c>
      <c r="K537" s="46" t="s">
        <v>882</v>
      </c>
      <c r="L537" s="99" t="s">
        <v>3895</v>
      </c>
      <c r="M537" s="32" t="str">
        <f t="shared" si="17"/>
        <v>No</v>
      </c>
      <c r="N537" s="32">
        <f>G537 - F537</f>
        <v>112</v>
      </c>
      <c r="O537">
        <v>1</v>
      </c>
    </row>
    <row r="538" spans="1:15" ht="27" x14ac:dyDescent="0.3">
      <c r="A538" s="26" t="s">
        <v>684</v>
      </c>
      <c r="B538" s="28" t="s">
        <v>66</v>
      </c>
      <c r="C538" s="28" t="s">
        <v>12</v>
      </c>
      <c r="D538" s="37" t="s">
        <v>1054</v>
      </c>
      <c r="E538" s="37" t="s">
        <v>1047</v>
      </c>
      <c r="F538" s="74">
        <v>44215</v>
      </c>
      <c r="G538" s="74">
        <v>44271</v>
      </c>
      <c r="H538" s="32" t="str">
        <f t="shared" si="16"/>
        <v>EVEN</v>
      </c>
      <c r="I538" s="103">
        <v>0</v>
      </c>
      <c r="J538" s="46" t="str">
        <f>UPPER(TEXT(F538,"mmm")) &amp; " - " &amp; UPPER(TEXT(G538,"mmm"))</f>
        <v>JAN - MAR</v>
      </c>
      <c r="K538" s="46" t="s">
        <v>882</v>
      </c>
      <c r="L538" s="99" t="s">
        <v>3895</v>
      </c>
      <c r="M538" s="32" t="str">
        <f t="shared" si="17"/>
        <v>No</v>
      </c>
      <c r="N538" s="32">
        <f>G538 - F538</f>
        <v>56</v>
      </c>
      <c r="O538">
        <v>1</v>
      </c>
    </row>
    <row r="539" spans="1:15" x14ac:dyDescent="0.3">
      <c r="A539" s="26" t="s">
        <v>663</v>
      </c>
      <c r="B539" s="28" t="s">
        <v>66</v>
      </c>
      <c r="C539" s="28" t="s">
        <v>12</v>
      </c>
      <c r="D539" s="37" t="s">
        <v>1046</v>
      </c>
      <c r="E539" s="37" t="s">
        <v>1055</v>
      </c>
      <c r="F539" s="74">
        <v>44215</v>
      </c>
      <c r="G539" s="74">
        <v>44271</v>
      </c>
      <c r="H539" s="32" t="str">
        <f t="shared" si="16"/>
        <v>EVEN</v>
      </c>
      <c r="I539" s="103">
        <v>0</v>
      </c>
      <c r="J539" s="46" t="str">
        <f>UPPER(TEXT(F539,"mmm")) &amp; " - " &amp; UPPER(TEXT(G539,"mmm"))</f>
        <v>JAN - MAR</v>
      </c>
      <c r="K539" s="46" t="s">
        <v>882</v>
      </c>
      <c r="L539" s="99" t="s">
        <v>3895</v>
      </c>
      <c r="M539" s="32" t="str">
        <f t="shared" si="17"/>
        <v>No</v>
      </c>
      <c r="N539" s="32">
        <f>G539 - F539</f>
        <v>56</v>
      </c>
      <c r="O539">
        <v>1</v>
      </c>
    </row>
    <row r="540" spans="1:15" ht="27" x14ac:dyDescent="0.3">
      <c r="A540" s="26" t="s">
        <v>57</v>
      </c>
      <c r="B540" s="28" t="s">
        <v>66</v>
      </c>
      <c r="C540" s="28" t="s">
        <v>12</v>
      </c>
      <c r="D540" s="37" t="s">
        <v>1007</v>
      </c>
      <c r="E540" s="37" t="s">
        <v>1056</v>
      </c>
      <c r="F540" s="74">
        <v>44228</v>
      </c>
      <c r="G540" s="74">
        <v>44287</v>
      </c>
      <c r="H540" s="32" t="str">
        <f t="shared" si="16"/>
        <v>EVEN</v>
      </c>
      <c r="I540" s="103">
        <v>0</v>
      </c>
      <c r="J540" s="46" t="str">
        <f>UPPER(TEXT(F540,"mmm")) &amp; " - " &amp; UPPER(TEXT(G540,"mmm"))</f>
        <v>FEB - APR</v>
      </c>
      <c r="K540" s="46" t="s">
        <v>882</v>
      </c>
      <c r="L540" s="99" t="s">
        <v>3895</v>
      </c>
      <c r="M540" s="32" t="str">
        <f t="shared" si="17"/>
        <v>No</v>
      </c>
      <c r="N540" s="32">
        <f>G540 - F540</f>
        <v>59</v>
      </c>
      <c r="O540">
        <v>1</v>
      </c>
    </row>
    <row r="541" spans="1:15" ht="40.200000000000003" x14ac:dyDescent="0.3">
      <c r="A541" s="26" t="s">
        <v>1057</v>
      </c>
      <c r="B541" s="28" t="s">
        <v>78</v>
      </c>
      <c r="C541" s="28" t="s">
        <v>12</v>
      </c>
      <c r="D541" s="37" t="s">
        <v>1058</v>
      </c>
      <c r="E541" s="37" t="s">
        <v>1059</v>
      </c>
      <c r="F541" s="74">
        <v>43980</v>
      </c>
      <c r="G541" s="74">
        <v>44027</v>
      </c>
      <c r="H541" s="32" t="str">
        <f t="shared" si="16"/>
        <v>EVEN</v>
      </c>
      <c r="I541" s="103">
        <v>0</v>
      </c>
      <c r="J541" s="46" t="str">
        <f>UPPER(TEXT(F541,"mmm")) &amp; " - " &amp; UPPER(TEXT(G541,"mmm"))</f>
        <v>MAY - JUL</v>
      </c>
      <c r="K541" s="46" t="s">
        <v>882</v>
      </c>
      <c r="L541" s="99" t="s">
        <v>3895</v>
      </c>
      <c r="M541" s="32" t="str">
        <f t="shared" si="17"/>
        <v>No</v>
      </c>
      <c r="N541" s="32">
        <f>G541 - F541</f>
        <v>47</v>
      </c>
      <c r="O541">
        <v>1</v>
      </c>
    </row>
    <row r="542" spans="1:15" ht="27" x14ac:dyDescent="0.3">
      <c r="A542" s="26" t="s">
        <v>1060</v>
      </c>
      <c r="B542" s="28" t="s">
        <v>66</v>
      </c>
      <c r="C542" s="28" t="s">
        <v>12</v>
      </c>
      <c r="D542" s="37" t="s">
        <v>982</v>
      </c>
      <c r="E542" s="37" t="s">
        <v>1061</v>
      </c>
      <c r="F542" s="74">
        <v>44204</v>
      </c>
      <c r="G542" s="74">
        <v>44286</v>
      </c>
      <c r="H542" s="32" t="str">
        <f t="shared" si="16"/>
        <v>EVEN</v>
      </c>
      <c r="I542" s="103">
        <v>4000</v>
      </c>
      <c r="J542" s="46" t="str">
        <f>UPPER(TEXT(F542,"mmm")) &amp; " - " &amp; UPPER(TEXT(G542,"mmm"))</f>
        <v>JAN - MAR</v>
      </c>
      <c r="K542" s="46" t="s">
        <v>882</v>
      </c>
      <c r="L542" s="99" t="s">
        <v>3895</v>
      </c>
      <c r="M542" s="32" t="str">
        <f t="shared" si="17"/>
        <v>Yes</v>
      </c>
      <c r="N542" s="32">
        <f>G542 - F542</f>
        <v>82</v>
      </c>
      <c r="O542">
        <v>1</v>
      </c>
    </row>
    <row r="543" spans="1:15" ht="27" x14ac:dyDescent="0.3">
      <c r="A543" s="26" t="s">
        <v>1062</v>
      </c>
      <c r="B543" s="28" t="s">
        <v>78</v>
      </c>
      <c r="C543" s="28" t="s">
        <v>12</v>
      </c>
      <c r="D543" s="37" t="s">
        <v>1063</v>
      </c>
      <c r="E543" s="37" t="s">
        <v>1064</v>
      </c>
      <c r="F543" s="74">
        <v>44067</v>
      </c>
      <c r="G543" s="74">
        <v>44277</v>
      </c>
      <c r="H543" s="32" t="str">
        <f t="shared" si="16"/>
        <v>ODD</v>
      </c>
      <c r="I543" s="103">
        <v>15000</v>
      </c>
      <c r="J543" s="46" t="str">
        <f>UPPER(TEXT(F543,"mmm")) &amp; " - " &amp; UPPER(TEXT(G543,"mmm"))</f>
        <v>AUG - MAR</v>
      </c>
      <c r="K543" s="46" t="s">
        <v>882</v>
      </c>
      <c r="L543" s="99" t="s">
        <v>3895</v>
      </c>
      <c r="M543" s="32" t="str">
        <f t="shared" si="17"/>
        <v>Yes</v>
      </c>
      <c r="N543" s="32">
        <f>G543 - F543</f>
        <v>210</v>
      </c>
      <c r="O543">
        <v>1</v>
      </c>
    </row>
    <row r="544" spans="1:15" ht="27" x14ac:dyDescent="0.3">
      <c r="A544" s="26" t="s">
        <v>379</v>
      </c>
      <c r="B544" s="28" t="s">
        <v>78</v>
      </c>
      <c r="C544" s="28" t="s">
        <v>12</v>
      </c>
      <c r="D544" s="37" t="s">
        <v>1065</v>
      </c>
      <c r="E544" s="37" t="s">
        <v>1066</v>
      </c>
      <c r="F544" s="74">
        <v>44117</v>
      </c>
      <c r="G544" s="74">
        <v>44298</v>
      </c>
      <c r="H544" s="32" t="str">
        <f t="shared" si="16"/>
        <v>ODD</v>
      </c>
      <c r="I544" s="103">
        <v>4000</v>
      </c>
      <c r="J544" s="46" t="str">
        <f>UPPER(TEXT(F544,"mmm")) &amp; " - " &amp; UPPER(TEXT(G544,"mmm"))</f>
        <v>OCT - APR</v>
      </c>
      <c r="K544" s="46" t="s">
        <v>882</v>
      </c>
      <c r="L544" s="99" t="s">
        <v>3895</v>
      </c>
      <c r="M544" s="32" t="str">
        <f t="shared" si="17"/>
        <v>Yes</v>
      </c>
      <c r="N544" s="32">
        <f>G544 - F544</f>
        <v>181</v>
      </c>
      <c r="O544">
        <v>1</v>
      </c>
    </row>
    <row r="545" spans="1:15" ht="27" x14ac:dyDescent="0.3">
      <c r="A545" s="26" t="s">
        <v>1067</v>
      </c>
      <c r="B545" s="28" t="s">
        <v>66</v>
      </c>
      <c r="C545" s="28" t="s">
        <v>12</v>
      </c>
      <c r="D545" s="37" t="s">
        <v>1068</v>
      </c>
      <c r="E545" s="37" t="s">
        <v>1069</v>
      </c>
      <c r="F545" s="74">
        <v>44230</v>
      </c>
      <c r="G545" s="74">
        <v>44303</v>
      </c>
      <c r="H545" s="32" t="str">
        <f t="shared" si="16"/>
        <v>EVEN</v>
      </c>
      <c r="I545" s="103">
        <v>0</v>
      </c>
      <c r="J545" s="46" t="str">
        <f>UPPER(TEXT(F545,"mmm")) &amp; " - " &amp; UPPER(TEXT(G545,"mmm"))</f>
        <v>FEB - APR</v>
      </c>
      <c r="K545" s="46" t="s">
        <v>882</v>
      </c>
      <c r="L545" s="99" t="s">
        <v>3895</v>
      </c>
      <c r="M545" s="32" t="str">
        <f t="shared" si="17"/>
        <v>No</v>
      </c>
      <c r="N545" s="32">
        <f>G545 - F545</f>
        <v>73</v>
      </c>
      <c r="O545">
        <v>1</v>
      </c>
    </row>
    <row r="546" spans="1:15" ht="27" x14ac:dyDescent="0.3">
      <c r="A546" s="26" t="s">
        <v>1070</v>
      </c>
      <c r="B546" s="28" t="s">
        <v>66</v>
      </c>
      <c r="C546" s="28" t="s">
        <v>12</v>
      </c>
      <c r="D546" s="37" t="s">
        <v>1071</v>
      </c>
      <c r="E546" s="37" t="s">
        <v>1072</v>
      </c>
      <c r="F546" s="74">
        <v>44013</v>
      </c>
      <c r="G546" s="74">
        <v>44104</v>
      </c>
      <c r="H546" s="32" t="str">
        <f t="shared" si="16"/>
        <v>EVEN</v>
      </c>
      <c r="I546" s="103">
        <v>0</v>
      </c>
      <c r="J546" s="46" t="str">
        <f>UPPER(TEXT(F546,"mmm")) &amp; " - " &amp; UPPER(TEXT(G546,"mmm"))</f>
        <v>JUL - SEP</v>
      </c>
      <c r="K546" s="46" t="s">
        <v>882</v>
      </c>
      <c r="L546" s="99" t="s">
        <v>3895</v>
      </c>
      <c r="M546" s="32" t="str">
        <f t="shared" si="17"/>
        <v>No</v>
      </c>
      <c r="N546" s="32">
        <f>G546 - F546</f>
        <v>91</v>
      </c>
      <c r="O546">
        <v>1</v>
      </c>
    </row>
    <row r="547" spans="1:15" x14ac:dyDescent="0.3">
      <c r="A547" s="26" t="s">
        <v>1073</v>
      </c>
      <c r="B547" s="28" t="s">
        <v>66</v>
      </c>
      <c r="C547" s="28" t="s">
        <v>12</v>
      </c>
      <c r="D547" s="37" t="s">
        <v>109</v>
      </c>
      <c r="E547" s="37" t="s">
        <v>1074</v>
      </c>
      <c r="F547" s="74">
        <v>44105</v>
      </c>
      <c r="G547" s="74">
        <v>44171</v>
      </c>
      <c r="H547" s="32" t="str">
        <f t="shared" si="16"/>
        <v>ODD</v>
      </c>
      <c r="I547" s="103">
        <v>0</v>
      </c>
      <c r="J547" s="46" t="str">
        <f>UPPER(TEXT(F547,"mmm")) &amp; " - " &amp; UPPER(TEXT(G547,"mmm"))</f>
        <v>OCT - DEC</v>
      </c>
      <c r="K547" s="46" t="s">
        <v>882</v>
      </c>
      <c r="L547" s="99" t="s">
        <v>3895</v>
      </c>
      <c r="M547" s="32" t="str">
        <f t="shared" si="17"/>
        <v>No</v>
      </c>
      <c r="N547" s="32">
        <f>G547 - F547</f>
        <v>66</v>
      </c>
      <c r="O547">
        <v>1</v>
      </c>
    </row>
    <row r="548" spans="1:15" x14ac:dyDescent="0.3">
      <c r="A548" s="26" t="s">
        <v>45</v>
      </c>
      <c r="B548" s="28" t="s">
        <v>66</v>
      </c>
      <c r="C548" s="28" t="s">
        <v>12</v>
      </c>
      <c r="D548" s="37" t="s">
        <v>964</v>
      </c>
      <c r="E548" s="37" t="s">
        <v>986</v>
      </c>
      <c r="F548" s="74">
        <v>44013</v>
      </c>
      <c r="G548" s="74">
        <v>44058</v>
      </c>
      <c r="H548" s="32" t="str">
        <f t="shared" si="16"/>
        <v>EVEN</v>
      </c>
      <c r="I548" s="103">
        <v>0</v>
      </c>
      <c r="J548" s="46" t="str">
        <f>UPPER(TEXT(F548,"mmm")) &amp; " - " &amp; UPPER(TEXT(G548,"mmm"))</f>
        <v>JUL - AUG</v>
      </c>
      <c r="K548" s="46" t="s">
        <v>882</v>
      </c>
      <c r="L548" s="28" t="s">
        <v>895</v>
      </c>
      <c r="M548" s="32" t="str">
        <f t="shared" si="17"/>
        <v>No</v>
      </c>
      <c r="N548" s="32">
        <f>G548 - F548</f>
        <v>45</v>
      </c>
      <c r="O548">
        <v>1</v>
      </c>
    </row>
    <row r="549" spans="1:15" x14ac:dyDescent="0.3">
      <c r="A549" s="26" t="s">
        <v>373</v>
      </c>
      <c r="B549" s="28" t="s">
        <v>66</v>
      </c>
      <c r="C549" s="28" t="s">
        <v>12</v>
      </c>
      <c r="D549" s="37" t="s">
        <v>885</v>
      </c>
      <c r="E549" s="37" t="s">
        <v>889</v>
      </c>
      <c r="F549" s="74">
        <v>44025</v>
      </c>
      <c r="G549" s="74">
        <v>44074</v>
      </c>
      <c r="H549" s="32" t="str">
        <f t="shared" si="16"/>
        <v>EVEN</v>
      </c>
      <c r="I549" s="103">
        <v>0</v>
      </c>
      <c r="J549" s="46" t="str">
        <f>UPPER(TEXT(F549,"mmm")) &amp; " - " &amp; UPPER(TEXT(G549,"mmm"))</f>
        <v>JUL - AUG</v>
      </c>
      <c r="K549" s="46" t="s">
        <v>882</v>
      </c>
      <c r="L549" s="99" t="s">
        <v>3895</v>
      </c>
      <c r="M549" s="32" t="str">
        <f t="shared" si="17"/>
        <v>No</v>
      </c>
      <c r="N549" s="32">
        <f>G549 - F549</f>
        <v>49</v>
      </c>
      <c r="O549">
        <v>1</v>
      </c>
    </row>
    <row r="550" spans="1:15" x14ac:dyDescent="0.3">
      <c r="A550" s="26" t="s">
        <v>1075</v>
      </c>
      <c r="B550" s="28" t="s">
        <v>66</v>
      </c>
      <c r="C550" s="28" t="s">
        <v>12</v>
      </c>
      <c r="D550" s="37" t="s">
        <v>964</v>
      </c>
      <c r="E550" s="37" t="s">
        <v>1076</v>
      </c>
      <c r="F550" s="74">
        <v>44013</v>
      </c>
      <c r="G550" s="74">
        <v>44058</v>
      </c>
      <c r="H550" s="32" t="str">
        <f t="shared" si="16"/>
        <v>EVEN</v>
      </c>
      <c r="I550" s="103">
        <v>0</v>
      </c>
      <c r="J550" s="46" t="str">
        <f>UPPER(TEXT(F550,"mmm")) &amp; " - " &amp; UPPER(TEXT(G550,"mmm"))</f>
        <v>JUL - AUG</v>
      </c>
      <c r="K550" s="46" t="s">
        <v>882</v>
      </c>
      <c r="L550" s="99" t="s">
        <v>3895</v>
      </c>
      <c r="M550" s="32" t="str">
        <f t="shared" si="17"/>
        <v>No</v>
      </c>
      <c r="N550" s="32">
        <f>G550 - F550</f>
        <v>45</v>
      </c>
      <c r="O550">
        <v>1</v>
      </c>
    </row>
    <row r="551" spans="1:15" ht="40.200000000000003" x14ac:dyDescent="0.3">
      <c r="A551" s="26" t="s">
        <v>169</v>
      </c>
      <c r="B551" s="28" t="s">
        <v>70</v>
      </c>
      <c r="C551" s="28" t="s">
        <v>12</v>
      </c>
      <c r="D551" s="37" t="s">
        <v>1077</v>
      </c>
      <c r="E551" s="37" t="s">
        <v>1078</v>
      </c>
      <c r="F551" s="74">
        <v>44155</v>
      </c>
      <c r="G551" s="74">
        <v>44240</v>
      </c>
      <c r="H551" s="32" t="str">
        <f t="shared" si="16"/>
        <v>ODD</v>
      </c>
      <c r="I551" s="103">
        <v>0</v>
      </c>
      <c r="J551" s="46" t="str">
        <f>UPPER(TEXT(F551,"mmm")) &amp; " - " &amp; UPPER(TEXT(G551,"mmm"))</f>
        <v>NOV - FEB</v>
      </c>
      <c r="K551" s="46" t="s">
        <v>882</v>
      </c>
      <c r="L551" s="99" t="s">
        <v>3895</v>
      </c>
      <c r="M551" s="32" t="str">
        <f t="shared" si="17"/>
        <v>No</v>
      </c>
      <c r="N551" s="32">
        <f>G551 - F551</f>
        <v>85</v>
      </c>
      <c r="O551">
        <v>1</v>
      </c>
    </row>
    <row r="552" spans="1:15" ht="27" x14ac:dyDescent="0.3">
      <c r="A552" s="26" t="s">
        <v>944</v>
      </c>
      <c r="B552" s="28" t="s">
        <v>66</v>
      </c>
      <c r="C552" s="28" t="s">
        <v>12</v>
      </c>
      <c r="D552" s="37" t="s">
        <v>1046</v>
      </c>
      <c r="E552" s="37" t="s">
        <v>1079</v>
      </c>
      <c r="F552" s="74">
        <v>44215</v>
      </c>
      <c r="G552" s="74">
        <v>44271</v>
      </c>
      <c r="H552" s="32" t="str">
        <f t="shared" si="16"/>
        <v>EVEN</v>
      </c>
      <c r="I552" s="103">
        <v>0</v>
      </c>
      <c r="J552" s="46" t="str">
        <f>UPPER(TEXT(F552,"mmm")) &amp; " - " &amp; UPPER(TEXT(G552,"mmm"))</f>
        <v>JAN - MAR</v>
      </c>
      <c r="K552" s="46" t="s">
        <v>882</v>
      </c>
      <c r="L552" s="99" t="s">
        <v>3895</v>
      </c>
      <c r="M552" s="32" t="str">
        <f t="shared" si="17"/>
        <v>No</v>
      </c>
      <c r="N552" s="32">
        <f>G552 - F552</f>
        <v>56</v>
      </c>
      <c r="O552">
        <v>1</v>
      </c>
    </row>
    <row r="553" spans="1:15" x14ac:dyDescent="0.3">
      <c r="A553" s="26" t="s">
        <v>1080</v>
      </c>
      <c r="B553" s="28" t="s">
        <v>78</v>
      </c>
      <c r="C553" s="28" t="s">
        <v>12</v>
      </c>
      <c r="D553" s="37" t="s">
        <v>990</v>
      </c>
      <c r="E553" s="37" t="s">
        <v>1081</v>
      </c>
      <c r="F553" s="74">
        <v>44214</v>
      </c>
      <c r="G553" s="74">
        <v>44259</v>
      </c>
      <c r="H553" s="32" t="str">
        <f t="shared" si="16"/>
        <v>EVEN</v>
      </c>
      <c r="I553" s="103">
        <v>0</v>
      </c>
      <c r="J553" s="46" t="str">
        <f>UPPER(TEXT(F553,"mmm")) &amp; " - " &amp; UPPER(TEXT(G553,"mmm"))</f>
        <v>JAN - MAR</v>
      </c>
      <c r="K553" s="46" t="s">
        <v>882</v>
      </c>
      <c r="L553" s="99" t="s">
        <v>3895</v>
      </c>
      <c r="M553" s="32" t="str">
        <f t="shared" si="17"/>
        <v>No</v>
      </c>
      <c r="N553" s="32">
        <f>G553 - F553</f>
        <v>45</v>
      </c>
      <c r="O553">
        <v>1</v>
      </c>
    </row>
    <row r="554" spans="1:15" x14ac:dyDescent="0.3">
      <c r="A554" s="26" t="s">
        <v>1082</v>
      </c>
      <c r="B554" s="28" t="s">
        <v>66</v>
      </c>
      <c r="C554" s="28" t="s">
        <v>12</v>
      </c>
      <c r="D554" s="37" t="s">
        <v>25</v>
      </c>
      <c r="E554" s="37" t="s">
        <v>1083</v>
      </c>
      <c r="F554" s="74">
        <v>44008</v>
      </c>
      <c r="G554" s="74">
        <v>44085</v>
      </c>
      <c r="H554" s="32" t="str">
        <f t="shared" si="16"/>
        <v>EVEN</v>
      </c>
      <c r="I554" s="103">
        <v>0</v>
      </c>
      <c r="J554" s="46" t="str">
        <f>UPPER(TEXT(F554,"mmm")) &amp; " - " &amp; UPPER(TEXT(G554,"mmm"))</f>
        <v>JUN - SEP</v>
      </c>
      <c r="K554" s="46" t="s">
        <v>882</v>
      </c>
      <c r="L554" s="28" t="s">
        <v>895</v>
      </c>
      <c r="M554" s="32" t="str">
        <f t="shared" si="17"/>
        <v>No</v>
      </c>
      <c r="N554" s="32">
        <f>G554 - F554</f>
        <v>77</v>
      </c>
      <c r="O554">
        <v>1</v>
      </c>
    </row>
    <row r="555" spans="1:15" x14ac:dyDescent="0.3">
      <c r="A555" s="26" t="s">
        <v>1084</v>
      </c>
      <c r="B555" s="28" t="s">
        <v>66</v>
      </c>
      <c r="C555" s="28" t="s">
        <v>12</v>
      </c>
      <c r="D555" s="37" t="s">
        <v>1085</v>
      </c>
      <c r="E555" s="37" t="s">
        <v>1086</v>
      </c>
      <c r="F555" s="74">
        <v>44008</v>
      </c>
      <c r="G555" s="74">
        <v>44085</v>
      </c>
      <c r="H555" s="32" t="str">
        <f t="shared" si="16"/>
        <v>EVEN</v>
      </c>
      <c r="I555" s="103">
        <v>0</v>
      </c>
      <c r="J555" s="46" t="str">
        <f>UPPER(TEXT(F555,"mmm")) &amp; " - " &amp; UPPER(TEXT(G555,"mmm"))</f>
        <v>JUN - SEP</v>
      </c>
      <c r="K555" s="46" t="s">
        <v>882</v>
      </c>
      <c r="L555" s="28" t="s">
        <v>895</v>
      </c>
      <c r="M555" s="32" t="str">
        <f t="shared" si="17"/>
        <v>No</v>
      </c>
      <c r="N555" s="32">
        <f>G555 - F555</f>
        <v>77</v>
      </c>
      <c r="O555">
        <v>1</v>
      </c>
    </row>
    <row r="556" spans="1:15" x14ac:dyDescent="0.3">
      <c r="A556" s="26" t="s">
        <v>1087</v>
      </c>
      <c r="B556" s="28" t="s">
        <v>66</v>
      </c>
      <c r="C556" s="28" t="s">
        <v>12</v>
      </c>
      <c r="D556" s="37" t="s">
        <v>25</v>
      </c>
      <c r="E556" s="37" t="s">
        <v>1088</v>
      </c>
      <c r="F556" s="74">
        <v>44008</v>
      </c>
      <c r="G556" s="74">
        <v>44085</v>
      </c>
      <c r="H556" s="32" t="str">
        <f t="shared" si="16"/>
        <v>EVEN</v>
      </c>
      <c r="I556" s="103">
        <v>0</v>
      </c>
      <c r="J556" s="46" t="str">
        <f>UPPER(TEXT(F556,"mmm")) &amp; " - " &amp; UPPER(TEXT(G556,"mmm"))</f>
        <v>JUN - SEP</v>
      </c>
      <c r="K556" s="46" t="s">
        <v>882</v>
      </c>
      <c r="L556" s="28" t="s">
        <v>895</v>
      </c>
      <c r="M556" s="32" t="str">
        <f t="shared" si="17"/>
        <v>No</v>
      </c>
      <c r="N556" s="32">
        <f>G556 - F556</f>
        <v>77</v>
      </c>
      <c r="O556">
        <v>1</v>
      </c>
    </row>
    <row r="557" spans="1:15" ht="27" x14ac:dyDescent="0.3">
      <c r="A557" s="26" t="s">
        <v>28</v>
      </c>
      <c r="B557" s="28" t="s">
        <v>66</v>
      </c>
      <c r="C557" s="28" t="s">
        <v>12</v>
      </c>
      <c r="D557" s="37" t="s">
        <v>1089</v>
      </c>
      <c r="E557" s="37" t="s">
        <v>447</v>
      </c>
      <c r="F557" s="74">
        <v>44292</v>
      </c>
      <c r="G557" s="74">
        <v>44316</v>
      </c>
      <c r="H557" s="32" t="str">
        <f t="shared" si="16"/>
        <v>EVEN</v>
      </c>
      <c r="I557" s="103">
        <v>0</v>
      </c>
      <c r="J557" s="46" t="str">
        <f>UPPER(TEXT(F557,"mmm")) &amp; " - " &amp; UPPER(TEXT(G557,"mmm"))</f>
        <v>APR - APR</v>
      </c>
      <c r="K557" s="46" t="s">
        <v>882</v>
      </c>
      <c r="L557" s="99" t="s">
        <v>3895</v>
      </c>
      <c r="M557" s="32" t="str">
        <f t="shared" si="17"/>
        <v>No</v>
      </c>
      <c r="N557" s="32">
        <f>G557 - F557</f>
        <v>24</v>
      </c>
      <c r="O557">
        <v>1</v>
      </c>
    </row>
    <row r="558" spans="1:15" ht="27" x14ac:dyDescent="0.3">
      <c r="A558" s="26" t="s">
        <v>28</v>
      </c>
      <c r="B558" s="28" t="s">
        <v>66</v>
      </c>
      <c r="C558" s="28" t="s">
        <v>12</v>
      </c>
      <c r="D558" s="37" t="s">
        <v>1089</v>
      </c>
      <c r="E558" s="37" t="s">
        <v>1090</v>
      </c>
      <c r="F558" s="74">
        <v>44292</v>
      </c>
      <c r="G558" s="74">
        <v>44311</v>
      </c>
      <c r="H558" s="32" t="str">
        <f t="shared" si="16"/>
        <v>EVEN</v>
      </c>
      <c r="I558" s="103">
        <v>0</v>
      </c>
      <c r="J558" s="46" t="str">
        <f>UPPER(TEXT(F558,"mmm")) &amp; " - " &amp; UPPER(TEXT(G558,"mmm"))</f>
        <v>APR - APR</v>
      </c>
      <c r="K558" s="46" t="s">
        <v>882</v>
      </c>
      <c r="L558" s="99" t="s">
        <v>3895</v>
      </c>
      <c r="M558" s="32" t="str">
        <f t="shared" si="17"/>
        <v>No</v>
      </c>
      <c r="N558" s="32">
        <f>G558 - F558</f>
        <v>19</v>
      </c>
      <c r="O558">
        <v>1</v>
      </c>
    </row>
    <row r="559" spans="1:15" x14ac:dyDescent="0.3">
      <c r="A559" s="26" t="s">
        <v>1091</v>
      </c>
      <c r="B559" s="28" t="s">
        <v>78</v>
      </c>
      <c r="C559" s="28" t="s">
        <v>12</v>
      </c>
      <c r="D559" s="37" t="s">
        <v>1046</v>
      </c>
      <c r="E559" s="37" t="s">
        <v>1055</v>
      </c>
      <c r="F559" s="74">
        <v>44215</v>
      </c>
      <c r="G559" s="74">
        <v>44271</v>
      </c>
      <c r="H559" s="32" t="str">
        <f t="shared" si="16"/>
        <v>EVEN</v>
      </c>
      <c r="I559" s="103">
        <v>0</v>
      </c>
      <c r="J559" s="46" t="str">
        <f>UPPER(TEXT(F559,"mmm")) &amp; " - " &amp; UPPER(TEXT(G559,"mmm"))</f>
        <v>JAN - MAR</v>
      </c>
      <c r="K559" s="46" t="s">
        <v>882</v>
      </c>
      <c r="L559" s="99" t="s">
        <v>3895</v>
      </c>
      <c r="M559" s="32" t="str">
        <f t="shared" si="17"/>
        <v>No</v>
      </c>
      <c r="N559" s="32">
        <f>G559 - F559</f>
        <v>56</v>
      </c>
      <c r="O559">
        <v>1</v>
      </c>
    </row>
    <row r="560" spans="1:15" ht="27" x14ac:dyDescent="0.3">
      <c r="A560" s="26" t="s">
        <v>315</v>
      </c>
      <c r="B560" s="28" t="s">
        <v>66</v>
      </c>
      <c r="C560" s="28" t="s">
        <v>12</v>
      </c>
      <c r="D560" s="37" t="s">
        <v>1092</v>
      </c>
      <c r="E560" s="37" t="s">
        <v>1093</v>
      </c>
      <c r="F560" s="74">
        <v>44243</v>
      </c>
      <c r="G560" s="74">
        <v>44302</v>
      </c>
      <c r="H560" s="32" t="str">
        <f t="shared" si="16"/>
        <v>EVEN</v>
      </c>
      <c r="I560" s="103">
        <v>0</v>
      </c>
      <c r="J560" s="46" t="str">
        <f>UPPER(TEXT(F560,"mmm")) &amp; " - " &amp; UPPER(TEXT(G560,"mmm"))</f>
        <v>FEB - APR</v>
      </c>
      <c r="K560" s="46" t="s">
        <v>882</v>
      </c>
      <c r="L560" s="99" t="s">
        <v>3895</v>
      </c>
      <c r="M560" s="32" t="str">
        <f t="shared" si="17"/>
        <v>No</v>
      </c>
      <c r="N560" s="32">
        <f>G560 - F560</f>
        <v>59</v>
      </c>
      <c r="O560">
        <v>1</v>
      </c>
    </row>
    <row r="561" spans="1:15" ht="27" x14ac:dyDescent="0.3">
      <c r="A561" s="26" t="s">
        <v>975</v>
      </c>
      <c r="B561" s="28" t="s">
        <v>66</v>
      </c>
      <c r="C561" s="28" t="s">
        <v>12</v>
      </c>
      <c r="D561" s="37" t="s">
        <v>1094</v>
      </c>
      <c r="E561" s="37" t="s">
        <v>1095</v>
      </c>
      <c r="F561" s="74">
        <v>44244</v>
      </c>
      <c r="G561" s="74">
        <v>44288</v>
      </c>
      <c r="H561" s="32" t="str">
        <f t="shared" si="16"/>
        <v>EVEN</v>
      </c>
      <c r="I561" s="103">
        <v>0</v>
      </c>
      <c r="J561" s="46" t="str">
        <f>UPPER(TEXT(F561,"mmm")) &amp; " - " &amp; UPPER(TEXT(G561,"mmm"))</f>
        <v>FEB - APR</v>
      </c>
      <c r="K561" s="46" t="s">
        <v>882</v>
      </c>
      <c r="L561" s="99" t="s">
        <v>3895</v>
      </c>
      <c r="M561" s="32" t="str">
        <f t="shared" si="17"/>
        <v>No</v>
      </c>
      <c r="N561" s="32">
        <f>G561 - F561</f>
        <v>44</v>
      </c>
      <c r="O561">
        <v>1</v>
      </c>
    </row>
    <row r="562" spans="1:15" x14ac:dyDescent="0.3">
      <c r="A562" s="26" t="s">
        <v>663</v>
      </c>
      <c r="B562" s="28" t="s">
        <v>66</v>
      </c>
      <c r="C562" s="28" t="s">
        <v>12</v>
      </c>
      <c r="D562" s="37" t="s">
        <v>1092</v>
      </c>
      <c r="E562" s="37" t="s">
        <v>1096</v>
      </c>
      <c r="F562" s="74">
        <v>44243</v>
      </c>
      <c r="G562" s="74">
        <v>44302</v>
      </c>
      <c r="H562" s="32" t="str">
        <f t="shared" si="16"/>
        <v>EVEN</v>
      </c>
      <c r="I562" s="103">
        <v>0</v>
      </c>
      <c r="J562" s="46" t="str">
        <f>UPPER(TEXT(F562,"mmm")) &amp; " - " &amp; UPPER(TEXT(G562,"mmm"))</f>
        <v>FEB - APR</v>
      </c>
      <c r="K562" s="46" t="s">
        <v>882</v>
      </c>
      <c r="L562" s="99" t="s">
        <v>3895</v>
      </c>
      <c r="M562" s="32" t="str">
        <f t="shared" si="17"/>
        <v>No</v>
      </c>
      <c r="N562" s="32">
        <f>G562 - F562</f>
        <v>59</v>
      </c>
      <c r="O562">
        <v>1</v>
      </c>
    </row>
    <row r="563" spans="1:15" ht="40.200000000000003" x14ac:dyDescent="0.3">
      <c r="A563" s="26" t="s">
        <v>328</v>
      </c>
      <c r="B563" s="28" t="s">
        <v>78</v>
      </c>
      <c r="C563" s="28" t="s">
        <v>12</v>
      </c>
      <c r="D563" s="37" t="s">
        <v>1097</v>
      </c>
      <c r="E563" s="37" t="s">
        <v>1098</v>
      </c>
      <c r="F563" s="74">
        <v>44205</v>
      </c>
      <c r="G563" s="74">
        <v>44295</v>
      </c>
      <c r="H563" s="32" t="str">
        <f t="shared" si="16"/>
        <v>EVEN</v>
      </c>
      <c r="I563" s="103">
        <v>3000</v>
      </c>
      <c r="J563" s="46" t="str">
        <f>UPPER(TEXT(F563,"mmm")) &amp; " - " &amp; UPPER(TEXT(G563,"mmm"))</f>
        <v>JAN - APR</v>
      </c>
      <c r="K563" s="46" t="s">
        <v>882</v>
      </c>
      <c r="L563" s="99" t="s">
        <v>3895</v>
      </c>
      <c r="M563" s="32" t="str">
        <f t="shared" si="17"/>
        <v>Yes</v>
      </c>
      <c r="N563" s="32">
        <f>G563 - F563</f>
        <v>90</v>
      </c>
      <c r="O563">
        <v>1</v>
      </c>
    </row>
    <row r="564" spans="1:15" ht="40.200000000000003" x14ac:dyDescent="0.3">
      <c r="A564" s="26" t="s">
        <v>1099</v>
      </c>
      <c r="B564" s="28" t="s">
        <v>66</v>
      </c>
      <c r="C564" s="28" t="s">
        <v>12</v>
      </c>
      <c r="D564" s="37" t="s">
        <v>1100</v>
      </c>
      <c r="E564" s="37" t="s">
        <v>1101</v>
      </c>
      <c r="F564" s="74">
        <v>43678</v>
      </c>
      <c r="G564" s="74">
        <v>43936</v>
      </c>
      <c r="H564" s="32" t="str">
        <f t="shared" si="16"/>
        <v>EVEN</v>
      </c>
      <c r="I564" s="103">
        <v>0</v>
      </c>
      <c r="J564" s="46" t="str">
        <f>UPPER(TEXT(F564,"mmm")) &amp; " - " &amp; UPPER(TEXT(G564,"mmm"))</f>
        <v>AUG - APR</v>
      </c>
      <c r="K564" s="46" t="s">
        <v>882</v>
      </c>
      <c r="L564" s="28" t="s">
        <v>895</v>
      </c>
      <c r="M564" s="32" t="str">
        <f t="shared" si="17"/>
        <v>No</v>
      </c>
      <c r="N564" s="32">
        <f>G564 - F564</f>
        <v>258</v>
      </c>
      <c r="O564">
        <v>1</v>
      </c>
    </row>
    <row r="565" spans="1:15" ht="27" x14ac:dyDescent="0.3">
      <c r="A565" s="26" t="s">
        <v>637</v>
      </c>
      <c r="B565" s="28" t="s">
        <v>66</v>
      </c>
      <c r="C565" s="28" t="s">
        <v>12</v>
      </c>
      <c r="D565" s="37" t="s">
        <v>1046</v>
      </c>
      <c r="E565" s="37" t="s">
        <v>1102</v>
      </c>
      <c r="F565" s="74">
        <v>44215</v>
      </c>
      <c r="G565" s="74">
        <v>44271</v>
      </c>
      <c r="H565" s="32" t="str">
        <f t="shared" si="16"/>
        <v>EVEN</v>
      </c>
      <c r="I565" s="103">
        <v>0</v>
      </c>
      <c r="J565" s="46" t="str">
        <f>UPPER(TEXT(F565,"mmm")) &amp; " - " &amp; UPPER(TEXT(G565,"mmm"))</f>
        <v>JAN - MAR</v>
      </c>
      <c r="K565" s="46" t="s">
        <v>882</v>
      </c>
      <c r="L565" s="99" t="s">
        <v>3895</v>
      </c>
      <c r="M565" s="32" t="str">
        <f t="shared" si="17"/>
        <v>No</v>
      </c>
      <c r="N565" s="32">
        <f>G565 - F565</f>
        <v>56</v>
      </c>
      <c r="O565">
        <v>1</v>
      </c>
    </row>
    <row r="566" spans="1:15" x14ac:dyDescent="0.3">
      <c r="A566" s="26" t="s">
        <v>361</v>
      </c>
      <c r="B566" s="28" t="s">
        <v>78</v>
      </c>
      <c r="C566" s="28" t="s">
        <v>12</v>
      </c>
      <c r="D566" s="37" t="s">
        <v>1103</v>
      </c>
      <c r="E566" s="37" t="s">
        <v>1104</v>
      </c>
      <c r="F566" s="74">
        <v>44204</v>
      </c>
      <c r="G566" s="74">
        <v>44269</v>
      </c>
      <c r="H566" s="32" t="str">
        <f t="shared" si="16"/>
        <v>EVEN</v>
      </c>
      <c r="I566" s="103">
        <v>0</v>
      </c>
      <c r="J566" s="46" t="str">
        <f>UPPER(TEXT(F566,"mmm")) &amp; " - " &amp; UPPER(TEXT(G566,"mmm"))</f>
        <v>JAN - MAR</v>
      </c>
      <c r="K566" s="46" t="s">
        <v>882</v>
      </c>
      <c r="L566" s="99" t="s">
        <v>3895</v>
      </c>
      <c r="M566" s="32" t="str">
        <f t="shared" si="17"/>
        <v>No</v>
      </c>
      <c r="N566" s="32">
        <f>G566 - F566</f>
        <v>65</v>
      </c>
      <c r="O566">
        <v>1</v>
      </c>
    </row>
    <row r="567" spans="1:15" x14ac:dyDescent="0.3">
      <c r="A567" s="26" t="s">
        <v>1105</v>
      </c>
      <c r="B567" s="28" t="s">
        <v>66</v>
      </c>
      <c r="C567" s="28" t="s">
        <v>12</v>
      </c>
      <c r="D567" s="37" t="s">
        <v>1106</v>
      </c>
      <c r="E567" s="37" t="s">
        <v>1107</v>
      </c>
      <c r="F567" s="74">
        <v>44244</v>
      </c>
      <c r="G567" s="74">
        <v>44288</v>
      </c>
      <c r="H567" s="32" t="str">
        <f t="shared" si="16"/>
        <v>EVEN</v>
      </c>
      <c r="I567" s="103">
        <v>0</v>
      </c>
      <c r="J567" s="46" t="str">
        <f>UPPER(TEXT(F567,"mmm")) &amp; " - " &amp; UPPER(TEXT(G567,"mmm"))</f>
        <v>FEB - APR</v>
      </c>
      <c r="K567" s="46" t="s">
        <v>882</v>
      </c>
      <c r="L567" s="28" t="s">
        <v>895</v>
      </c>
      <c r="M567" s="32" t="str">
        <f t="shared" si="17"/>
        <v>No</v>
      </c>
      <c r="N567" s="32">
        <f>G567 - F567</f>
        <v>44</v>
      </c>
      <c r="O567">
        <v>1</v>
      </c>
    </row>
    <row r="568" spans="1:15" x14ac:dyDescent="0.3">
      <c r="A568" s="26" t="s">
        <v>923</v>
      </c>
      <c r="B568" s="28" t="s">
        <v>66</v>
      </c>
      <c r="C568" s="28" t="s">
        <v>12</v>
      </c>
      <c r="D568" s="37" t="s">
        <v>25</v>
      </c>
      <c r="E568" s="37" t="s">
        <v>1108</v>
      </c>
      <c r="F568" s="74">
        <v>44022</v>
      </c>
      <c r="G568" s="74">
        <v>44053</v>
      </c>
      <c r="H568" s="32" t="str">
        <f t="shared" si="16"/>
        <v>EVEN</v>
      </c>
      <c r="I568" s="103">
        <v>0</v>
      </c>
      <c r="J568" s="46" t="str">
        <f>UPPER(TEXT(F568,"mmm")) &amp; " - " &amp; UPPER(TEXT(G568,"mmm"))</f>
        <v>JUL - AUG</v>
      </c>
      <c r="K568" s="46" t="s">
        <v>882</v>
      </c>
      <c r="L568" s="28" t="s">
        <v>895</v>
      </c>
      <c r="M568" s="32" t="str">
        <f t="shared" si="17"/>
        <v>No</v>
      </c>
      <c r="N568" s="32">
        <f>G568 - F568</f>
        <v>31</v>
      </c>
      <c r="O568">
        <v>1</v>
      </c>
    </row>
    <row r="569" spans="1:15" x14ac:dyDescent="0.3">
      <c r="A569" s="26" t="s">
        <v>1109</v>
      </c>
      <c r="B569" s="28" t="s">
        <v>78</v>
      </c>
      <c r="C569" s="28" t="s">
        <v>12</v>
      </c>
      <c r="D569" s="37" t="s">
        <v>25</v>
      </c>
      <c r="E569" s="37" t="s">
        <v>1110</v>
      </c>
      <c r="F569" s="74">
        <v>43997</v>
      </c>
      <c r="G569" s="74">
        <v>44088</v>
      </c>
      <c r="H569" s="32" t="str">
        <f t="shared" si="16"/>
        <v>EVEN</v>
      </c>
      <c r="I569" s="103">
        <v>0</v>
      </c>
      <c r="J569" s="46" t="str">
        <f>UPPER(TEXT(F569,"mmm")) &amp; " - " &amp; UPPER(TEXT(G569,"mmm"))</f>
        <v>JUN - SEP</v>
      </c>
      <c r="K569" s="46" t="s">
        <v>882</v>
      </c>
      <c r="L569" s="28" t="s">
        <v>895</v>
      </c>
      <c r="M569" s="32" t="str">
        <f t="shared" si="17"/>
        <v>No</v>
      </c>
      <c r="N569" s="32">
        <f>G569 - F569</f>
        <v>91</v>
      </c>
      <c r="O569">
        <v>1</v>
      </c>
    </row>
    <row r="570" spans="1:15" x14ac:dyDescent="0.3">
      <c r="A570" s="26" t="s">
        <v>1070</v>
      </c>
      <c r="B570" s="28" t="s">
        <v>66</v>
      </c>
      <c r="C570" s="28" t="s">
        <v>12</v>
      </c>
      <c r="D570" s="37" t="s">
        <v>1111</v>
      </c>
      <c r="E570" s="37" t="s">
        <v>310</v>
      </c>
      <c r="F570" s="74">
        <v>44076</v>
      </c>
      <c r="G570" s="74">
        <v>44136</v>
      </c>
      <c r="H570" s="32" t="str">
        <f t="shared" si="16"/>
        <v>ODD</v>
      </c>
      <c r="I570" s="103">
        <v>0</v>
      </c>
      <c r="J570" s="46" t="str">
        <f>UPPER(TEXT(F570,"mmm")) &amp; " - " &amp; UPPER(TEXT(G570,"mmm"))</f>
        <v>SEP - NOV</v>
      </c>
      <c r="K570" s="46" t="s">
        <v>882</v>
      </c>
      <c r="L570" s="99" t="s">
        <v>3895</v>
      </c>
      <c r="M570" s="32" t="str">
        <f t="shared" si="17"/>
        <v>No</v>
      </c>
      <c r="N570" s="32">
        <f>G570 - F570</f>
        <v>60</v>
      </c>
      <c r="O570">
        <v>1</v>
      </c>
    </row>
    <row r="571" spans="1:15" ht="27" x14ac:dyDescent="0.3">
      <c r="A571" s="26" t="s">
        <v>657</v>
      </c>
      <c r="B571" s="28" t="s">
        <v>66</v>
      </c>
      <c r="C571" s="28" t="s">
        <v>12</v>
      </c>
      <c r="D571" s="37" t="s">
        <v>1112</v>
      </c>
      <c r="E571" s="37" t="s">
        <v>1016</v>
      </c>
      <c r="F571" s="74">
        <v>44233</v>
      </c>
      <c r="G571" s="74">
        <v>44261</v>
      </c>
      <c r="H571" s="32" t="str">
        <f t="shared" si="16"/>
        <v>EVEN</v>
      </c>
      <c r="I571" s="103">
        <v>0</v>
      </c>
      <c r="J571" s="46" t="str">
        <f>UPPER(TEXT(F571,"mmm")) &amp; " - " &amp; UPPER(TEXT(G571,"mmm"))</f>
        <v>FEB - MAR</v>
      </c>
      <c r="K571" s="46" t="s">
        <v>882</v>
      </c>
      <c r="L571" s="99" t="s">
        <v>3895</v>
      </c>
      <c r="M571" s="32" t="str">
        <f t="shared" si="17"/>
        <v>No</v>
      </c>
      <c r="N571" s="32">
        <f>G571 - F571</f>
        <v>28</v>
      </c>
      <c r="O571">
        <v>1</v>
      </c>
    </row>
    <row r="572" spans="1:15" ht="27" x14ac:dyDescent="0.3">
      <c r="A572" s="26" t="s">
        <v>41</v>
      </c>
      <c r="B572" s="28" t="s">
        <v>66</v>
      </c>
      <c r="C572" s="28" t="s">
        <v>12</v>
      </c>
      <c r="D572" s="37" t="s">
        <v>1113</v>
      </c>
      <c r="E572" s="37" t="s">
        <v>1114</v>
      </c>
      <c r="F572" s="74">
        <v>44230</v>
      </c>
      <c r="G572" s="74">
        <v>44319</v>
      </c>
      <c r="H572" s="32" t="str">
        <f t="shared" si="16"/>
        <v>EVEN</v>
      </c>
      <c r="I572" s="103">
        <v>10000</v>
      </c>
      <c r="J572" s="46" t="str">
        <f>UPPER(TEXT(F572,"mmm")) &amp; " - " &amp; UPPER(TEXT(G572,"mmm"))</f>
        <v>FEB - MAY</v>
      </c>
      <c r="K572" s="46" t="s">
        <v>882</v>
      </c>
      <c r="L572" s="99" t="s">
        <v>3895</v>
      </c>
      <c r="M572" s="32" t="str">
        <f t="shared" si="17"/>
        <v>Yes</v>
      </c>
      <c r="N572" s="32">
        <f>G572 - F572</f>
        <v>89</v>
      </c>
      <c r="O572">
        <v>1</v>
      </c>
    </row>
    <row r="573" spans="1:15" ht="27" x14ac:dyDescent="0.3">
      <c r="A573" s="26" t="s">
        <v>317</v>
      </c>
      <c r="B573" s="28" t="s">
        <v>66</v>
      </c>
      <c r="C573" s="28" t="s">
        <v>12</v>
      </c>
      <c r="D573" s="37" t="s">
        <v>201</v>
      </c>
      <c r="E573" s="37" t="s">
        <v>1115</v>
      </c>
      <c r="F573" s="74">
        <v>44275</v>
      </c>
      <c r="G573" s="74">
        <v>44294</v>
      </c>
      <c r="H573" s="32" t="str">
        <f t="shared" si="16"/>
        <v>EVEN</v>
      </c>
      <c r="I573" s="103">
        <v>0</v>
      </c>
      <c r="J573" s="46" t="str">
        <f>UPPER(TEXT(F573,"mmm")) &amp; " - " &amp; UPPER(TEXT(G573,"mmm"))</f>
        <v>MAR - APR</v>
      </c>
      <c r="K573" s="46" t="s">
        <v>882</v>
      </c>
      <c r="L573" s="28" t="s">
        <v>895</v>
      </c>
      <c r="M573" s="32" t="str">
        <f t="shared" si="17"/>
        <v>No</v>
      </c>
      <c r="N573" s="32">
        <f>G573 - F573</f>
        <v>19</v>
      </c>
      <c r="O573">
        <v>1</v>
      </c>
    </row>
    <row r="574" spans="1:15" ht="27" x14ac:dyDescent="0.3">
      <c r="A574" s="26" t="s">
        <v>360</v>
      </c>
      <c r="B574" s="28" t="s">
        <v>66</v>
      </c>
      <c r="C574" s="28" t="s">
        <v>12</v>
      </c>
      <c r="D574" s="37" t="s">
        <v>201</v>
      </c>
      <c r="E574" s="37" t="s">
        <v>1116</v>
      </c>
      <c r="F574" s="74">
        <v>44275</v>
      </c>
      <c r="G574" s="74">
        <v>44293</v>
      </c>
      <c r="H574" s="32" t="str">
        <f t="shared" si="16"/>
        <v>EVEN</v>
      </c>
      <c r="I574" s="103">
        <v>0</v>
      </c>
      <c r="J574" s="46" t="str">
        <f>UPPER(TEXT(F574,"mmm")) &amp; " - " &amp; UPPER(TEXT(G574,"mmm"))</f>
        <v>MAR - APR</v>
      </c>
      <c r="K574" s="46" t="s">
        <v>882</v>
      </c>
      <c r="L574" s="28" t="s">
        <v>895</v>
      </c>
      <c r="M574" s="32" t="str">
        <f t="shared" si="17"/>
        <v>No</v>
      </c>
      <c r="N574" s="32">
        <f>G574 - F574</f>
        <v>18</v>
      </c>
      <c r="O574">
        <v>1</v>
      </c>
    </row>
    <row r="575" spans="1:15" ht="27" x14ac:dyDescent="0.3">
      <c r="A575" s="26" t="s">
        <v>362</v>
      </c>
      <c r="B575" s="28" t="s">
        <v>66</v>
      </c>
      <c r="C575" s="28" t="s">
        <v>12</v>
      </c>
      <c r="D575" s="37" t="s">
        <v>939</v>
      </c>
      <c r="E575" s="37" t="s">
        <v>1117</v>
      </c>
      <c r="F575" s="74">
        <v>44151</v>
      </c>
      <c r="G575" s="74">
        <v>44243</v>
      </c>
      <c r="H575" s="32" t="str">
        <f t="shared" si="16"/>
        <v>ODD</v>
      </c>
      <c r="I575" s="103">
        <v>10000</v>
      </c>
      <c r="J575" s="46" t="str">
        <f>UPPER(TEXT(F575,"mmm")) &amp; " - " &amp; UPPER(TEXT(G575,"mmm"))</f>
        <v>NOV - FEB</v>
      </c>
      <c r="K575" s="46" t="s">
        <v>882</v>
      </c>
      <c r="L575" s="99" t="s">
        <v>3895</v>
      </c>
      <c r="M575" s="32" t="str">
        <f t="shared" si="17"/>
        <v>Yes</v>
      </c>
      <c r="N575" s="32">
        <f>G575 - F575</f>
        <v>92</v>
      </c>
      <c r="O575">
        <v>1</v>
      </c>
    </row>
    <row r="576" spans="1:15" x14ac:dyDescent="0.3">
      <c r="A576" s="26" t="s">
        <v>378</v>
      </c>
      <c r="B576" s="28" t="s">
        <v>66</v>
      </c>
      <c r="C576" s="28" t="s">
        <v>12</v>
      </c>
      <c r="D576" s="37" t="s">
        <v>939</v>
      </c>
      <c r="E576" s="37" t="s">
        <v>1118</v>
      </c>
      <c r="F576" s="74">
        <v>44151</v>
      </c>
      <c r="G576" s="74">
        <v>44243</v>
      </c>
      <c r="H576" s="32" t="str">
        <f t="shared" ref="H576:H638" si="18">IF(AND(F576&gt;=DATE(2020,7,15), F576&lt;=DATE(2020,12,31)), "ODD", "EVEN")</f>
        <v>ODD</v>
      </c>
      <c r="I576" s="103">
        <v>10000</v>
      </c>
      <c r="J576" s="46" t="str">
        <f>UPPER(TEXT(F576,"mmm")) &amp; " - " &amp; UPPER(TEXT(G576,"mmm"))</f>
        <v>NOV - FEB</v>
      </c>
      <c r="K576" s="46" t="s">
        <v>882</v>
      </c>
      <c r="L576" s="99" t="s">
        <v>3895</v>
      </c>
      <c r="M576" s="32" t="str">
        <f t="shared" si="17"/>
        <v>Yes</v>
      </c>
      <c r="N576" s="32">
        <f>G576 - F576</f>
        <v>92</v>
      </c>
      <c r="O576">
        <v>1</v>
      </c>
    </row>
    <row r="577" spans="1:15" x14ac:dyDescent="0.3">
      <c r="A577" s="26" t="s">
        <v>375</v>
      </c>
      <c r="B577" s="28" t="s">
        <v>66</v>
      </c>
      <c r="C577" s="28" t="s">
        <v>12</v>
      </c>
      <c r="D577" s="37" t="s">
        <v>939</v>
      </c>
      <c r="E577" s="37" t="s">
        <v>1119</v>
      </c>
      <c r="F577" s="74">
        <v>44151</v>
      </c>
      <c r="G577" s="74">
        <v>44243</v>
      </c>
      <c r="H577" s="32" t="str">
        <f t="shared" si="18"/>
        <v>ODD</v>
      </c>
      <c r="I577" s="103">
        <v>10000</v>
      </c>
      <c r="J577" s="46" t="str">
        <f>UPPER(TEXT(F577,"mmm")) &amp; " - " &amp; UPPER(TEXT(G577,"mmm"))</f>
        <v>NOV - FEB</v>
      </c>
      <c r="K577" s="46" t="s">
        <v>882</v>
      </c>
      <c r="L577" s="99" t="s">
        <v>3895</v>
      </c>
      <c r="M577" s="32" t="str">
        <f t="shared" si="17"/>
        <v>Yes</v>
      </c>
      <c r="N577" s="32">
        <f>G577 - F577</f>
        <v>92</v>
      </c>
      <c r="O577">
        <v>1</v>
      </c>
    </row>
    <row r="578" spans="1:15" ht="40.200000000000003" x14ac:dyDescent="0.3">
      <c r="A578" s="26" t="s">
        <v>1120</v>
      </c>
      <c r="B578" s="28" t="s">
        <v>78</v>
      </c>
      <c r="C578" s="28" t="s">
        <v>12</v>
      </c>
      <c r="D578" s="37" t="s">
        <v>1121</v>
      </c>
      <c r="E578" s="37" t="s">
        <v>1122</v>
      </c>
      <c r="F578" s="74">
        <v>44067</v>
      </c>
      <c r="G578" s="74">
        <v>44250</v>
      </c>
      <c r="H578" s="32" t="str">
        <f t="shared" si="18"/>
        <v>ODD</v>
      </c>
      <c r="I578" s="103">
        <v>20000</v>
      </c>
      <c r="J578" s="46" t="str">
        <f>UPPER(TEXT(F578,"mmm")) &amp; " - " &amp; UPPER(TEXT(G578,"mmm"))</f>
        <v>AUG - FEB</v>
      </c>
      <c r="K578" s="46" t="s">
        <v>882</v>
      </c>
      <c r="L578" s="99" t="s">
        <v>3895</v>
      </c>
      <c r="M578" s="32" t="str">
        <f t="shared" si="17"/>
        <v>Yes</v>
      </c>
      <c r="N578" s="32">
        <f>G578 - F578</f>
        <v>183</v>
      </c>
      <c r="O578">
        <v>1</v>
      </c>
    </row>
    <row r="579" spans="1:15" x14ac:dyDescent="0.3">
      <c r="A579" s="26" t="s">
        <v>1123</v>
      </c>
      <c r="B579" s="28" t="s">
        <v>78</v>
      </c>
      <c r="C579" s="28" t="s">
        <v>12</v>
      </c>
      <c r="D579" s="37" t="s">
        <v>1124</v>
      </c>
      <c r="E579" s="37" t="s">
        <v>1125</v>
      </c>
      <c r="F579" s="74">
        <v>44235</v>
      </c>
      <c r="G579" s="74">
        <v>44324</v>
      </c>
      <c r="H579" s="32" t="str">
        <f t="shared" si="18"/>
        <v>EVEN</v>
      </c>
      <c r="I579" s="103">
        <v>18000</v>
      </c>
      <c r="J579" s="46" t="str">
        <f>UPPER(TEXT(F579,"mmm")) &amp; " - " &amp; UPPER(TEXT(G579,"mmm"))</f>
        <v>FEB - MAY</v>
      </c>
      <c r="K579" s="46" t="s">
        <v>882</v>
      </c>
      <c r="L579" s="99" t="s">
        <v>3895</v>
      </c>
      <c r="M579" s="32" t="str">
        <f t="shared" ref="M579:M641" si="19">IF(I579 &gt; 0, "Yes", "No")</f>
        <v>Yes</v>
      </c>
      <c r="N579" s="32">
        <f>G579 - F579</f>
        <v>89</v>
      </c>
      <c r="O579">
        <v>1</v>
      </c>
    </row>
    <row r="580" spans="1:15" x14ac:dyDescent="0.3">
      <c r="A580" s="26" t="s">
        <v>1126</v>
      </c>
      <c r="B580" s="28" t="s">
        <v>66</v>
      </c>
      <c r="C580" s="28" t="s">
        <v>12</v>
      </c>
      <c r="D580" s="37" t="s">
        <v>109</v>
      </c>
      <c r="E580" s="37" t="s">
        <v>1127</v>
      </c>
      <c r="F580" s="74">
        <v>44105</v>
      </c>
      <c r="G580" s="74">
        <v>44171</v>
      </c>
      <c r="H580" s="32" t="str">
        <f t="shared" si="18"/>
        <v>ODD</v>
      </c>
      <c r="I580" s="103">
        <v>0</v>
      </c>
      <c r="J580" s="46" t="str">
        <f>UPPER(TEXT(F580,"mmm")) &amp; " - " &amp; UPPER(TEXT(G580,"mmm"))</f>
        <v>OCT - DEC</v>
      </c>
      <c r="K580" s="46" t="s">
        <v>882</v>
      </c>
      <c r="L580" s="99" t="s">
        <v>3895</v>
      </c>
      <c r="M580" s="32" t="str">
        <f t="shared" si="19"/>
        <v>No</v>
      </c>
      <c r="N580" s="32">
        <f>G580 - F580</f>
        <v>66</v>
      </c>
      <c r="O580">
        <v>1</v>
      </c>
    </row>
    <row r="581" spans="1:15" x14ac:dyDescent="0.3">
      <c r="A581" s="26" t="s">
        <v>1128</v>
      </c>
      <c r="B581" s="28" t="s">
        <v>11</v>
      </c>
      <c r="C581" s="28" t="s">
        <v>12</v>
      </c>
      <c r="D581" s="37" t="s">
        <v>1129</v>
      </c>
      <c r="E581" s="37" t="s">
        <v>1130</v>
      </c>
      <c r="F581" s="74">
        <v>44117</v>
      </c>
      <c r="G581" s="74">
        <v>44240</v>
      </c>
      <c r="H581" s="32" t="str">
        <f t="shared" si="18"/>
        <v>ODD</v>
      </c>
      <c r="I581" s="103">
        <v>0</v>
      </c>
      <c r="J581" s="46" t="str">
        <f>UPPER(TEXT(F581,"mmm")) &amp; " - " &amp; UPPER(TEXT(G581,"mmm"))</f>
        <v>OCT - FEB</v>
      </c>
      <c r="K581" s="46" t="s">
        <v>882</v>
      </c>
      <c r="L581" s="99" t="s">
        <v>3895</v>
      </c>
      <c r="M581" s="32" t="str">
        <f t="shared" si="19"/>
        <v>No</v>
      </c>
      <c r="N581" s="32">
        <f>G581 - F581</f>
        <v>123</v>
      </c>
      <c r="O581">
        <v>1</v>
      </c>
    </row>
    <row r="582" spans="1:15" x14ac:dyDescent="0.3">
      <c r="A582" s="26" t="s">
        <v>1131</v>
      </c>
      <c r="B582" s="28" t="s">
        <v>11</v>
      </c>
      <c r="C582" s="28" t="s">
        <v>12</v>
      </c>
      <c r="D582" s="37" t="s">
        <v>906</v>
      </c>
      <c r="E582" s="37" t="s">
        <v>958</v>
      </c>
      <c r="F582" s="74">
        <v>44117</v>
      </c>
      <c r="G582" s="74">
        <v>44240</v>
      </c>
      <c r="H582" s="32" t="str">
        <f t="shared" si="18"/>
        <v>ODD</v>
      </c>
      <c r="I582" s="103">
        <v>0</v>
      </c>
      <c r="J582" s="46" t="str">
        <f>UPPER(TEXT(F582,"mmm")) &amp; " - " &amp; UPPER(TEXT(G582,"mmm"))</f>
        <v>OCT - FEB</v>
      </c>
      <c r="K582" s="46" t="s">
        <v>882</v>
      </c>
      <c r="L582" s="99" t="s">
        <v>3895</v>
      </c>
      <c r="M582" s="32" t="str">
        <f t="shared" si="19"/>
        <v>No</v>
      </c>
      <c r="N582" s="32">
        <f>G582 - F582</f>
        <v>123</v>
      </c>
      <c r="O582">
        <v>1</v>
      </c>
    </row>
    <row r="583" spans="1:15" ht="40.200000000000003" x14ac:dyDescent="0.3">
      <c r="A583" s="26" t="s">
        <v>1132</v>
      </c>
      <c r="B583" s="28" t="s">
        <v>66</v>
      </c>
      <c r="C583" s="28" t="s">
        <v>12</v>
      </c>
      <c r="D583" s="37" t="s">
        <v>1133</v>
      </c>
      <c r="E583" s="37" t="s">
        <v>1134</v>
      </c>
      <c r="F583" s="74">
        <v>44197</v>
      </c>
      <c r="G583" s="74">
        <v>44287</v>
      </c>
      <c r="H583" s="32" t="str">
        <f t="shared" si="18"/>
        <v>EVEN</v>
      </c>
      <c r="I583" s="103">
        <v>0</v>
      </c>
      <c r="J583" s="46" t="str">
        <f>UPPER(TEXT(F583,"mmm")) &amp; " - " &amp; UPPER(TEXT(G583,"mmm"))</f>
        <v>JAN - APR</v>
      </c>
      <c r="K583" s="46" t="s">
        <v>882</v>
      </c>
      <c r="L583" s="99" t="s">
        <v>3895</v>
      </c>
      <c r="M583" s="32" t="str">
        <f t="shared" si="19"/>
        <v>No</v>
      </c>
      <c r="N583" s="32">
        <f>G583 - F583</f>
        <v>90</v>
      </c>
      <c r="O583">
        <v>1</v>
      </c>
    </row>
    <row r="584" spans="1:15" x14ac:dyDescent="0.3">
      <c r="A584" s="26" t="s">
        <v>334</v>
      </c>
      <c r="B584" s="28" t="s">
        <v>70</v>
      </c>
      <c r="C584" s="28" t="s">
        <v>12</v>
      </c>
      <c r="D584" s="37" t="s">
        <v>919</v>
      </c>
      <c r="E584" s="37" t="s">
        <v>277</v>
      </c>
      <c r="F584" s="74">
        <v>44247</v>
      </c>
      <c r="G584" s="74">
        <v>44291</v>
      </c>
      <c r="H584" s="32" t="str">
        <f t="shared" si="18"/>
        <v>EVEN</v>
      </c>
      <c r="I584" s="103">
        <v>0</v>
      </c>
      <c r="J584" s="46" t="str">
        <f>UPPER(TEXT(F584,"mmm")) &amp; " - " &amp; UPPER(TEXT(G584,"mmm"))</f>
        <v>FEB - APR</v>
      </c>
      <c r="K584" s="46" t="s">
        <v>882</v>
      </c>
      <c r="L584" s="99" t="s">
        <v>3895</v>
      </c>
      <c r="M584" s="32" t="str">
        <f t="shared" si="19"/>
        <v>No</v>
      </c>
      <c r="N584" s="32">
        <f>G584 - F584</f>
        <v>44</v>
      </c>
      <c r="O584">
        <v>1</v>
      </c>
    </row>
    <row r="585" spans="1:15" x14ac:dyDescent="0.3">
      <c r="A585" s="26" t="s">
        <v>334</v>
      </c>
      <c r="B585" s="28" t="s">
        <v>70</v>
      </c>
      <c r="C585" s="28" t="s">
        <v>12</v>
      </c>
      <c r="D585" s="37" t="s">
        <v>907</v>
      </c>
      <c r="E585" s="37" t="s">
        <v>1135</v>
      </c>
      <c r="F585" s="74">
        <v>44200</v>
      </c>
      <c r="G585" s="74">
        <v>44258</v>
      </c>
      <c r="H585" s="32" t="str">
        <f t="shared" si="18"/>
        <v>EVEN</v>
      </c>
      <c r="I585" s="103">
        <v>0</v>
      </c>
      <c r="J585" s="46" t="str">
        <f>UPPER(TEXT(F585,"mmm")) &amp; " - " &amp; UPPER(TEXT(G585,"mmm"))</f>
        <v>JAN - MAR</v>
      </c>
      <c r="K585" s="46" t="s">
        <v>882</v>
      </c>
      <c r="L585" s="99" t="s">
        <v>3895</v>
      </c>
      <c r="M585" s="32" t="str">
        <f t="shared" si="19"/>
        <v>No</v>
      </c>
      <c r="N585" s="32">
        <f>G585 - F585</f>
        <v>58</v>
      </c>
      <c r="O585">
        <v>1</v>
      </c>
    </row>
    <row r="586" spans="1:15" x14ac:dyDescent="0.3">
      <c r="A586" s="26" t="s">
        <v>334</v>
      </c>
      <c r="B586" s="28" t="s">
        <v>70</v>
      </c>
      <c r="C586" s="28" t="s">
        <v>12</v>
      </c>
      <c r="D586" s="37" t="s">
        <v>1136</v>
      </c>
      <c r="E586" s="37" t="s">
        <v>1137</v>
      </c>
      <c r="F586" s="74">
        <v>44200</v>
      </c>
      <c r="G586" s="74">
        <v>44227</v>
      </c>
      <c r="H586" s="32" t="str">
        <f t="shared" si="18"/>
        <v>EVEN</v>
      </c>
      <c r="I586" s="103">
        <v>0</v>
      </c>
      <c r="J586" s="46" t="str">
        <f>UPPER(TEXT(F586,"mmm")) &amp; " - " &amp; UPPER(TEXT(G586,"mmm"))</f>
        <v>JAN - JAN</v>
      </c>
      <c r="K586" s="46" t="s">
        <v>882</v>
      </c>
      <c r="L586" s="99" t="s">
        <v>3895</v>
      </c>
      <c r="M586" s="32" t="str">
        <f t="shared" si="19"/>
        <v>No</v>
      </c>
      <c r="N586" s="32">
        <f>G586 - F586</f>
        <v>27</v>
      </c>
      <c r="O586">
        <v>1</v>
      </c>
    </row>
    <row r="587" spans="1:15" ht="27" x14ac:dyDescent="0.3">
      <c r="A587" s="26" t="s">
        <v>50</v>
      </c>
      <c r="B587" s="28" t="s">
        <v>66</v>
      </c>
      <c r="C587" s="28" t="s">
        <v>12</v>
      </c>
      <c r="D587" s="37" t="s">
        <v>1007</v>
      </c>
      <c r="E587" s="37" t="s">
        <v>1056</v>
      </c>
      <c r="F587" s="74">
        <v>44228</v>
      </c>
      <c r="G587" s="74">
        <v>44256</v>
      </c>
      <c r="H587" s="32" t="str">
        <f t="shared" si="18"/>
        <v>EVEN</v>
      </c>
      <c r="I587" s="103">
        <v>0</v>
      </c>
      <c r="J587" s="46" t="str">
        <f>UPPER(TEXT(F587,"mmm")) &amp; " - " &amp; UPPER(TEXT(G587,"mmm"))</f>
        <v>FEB - MAR</v>
      </c>
      <c r="K587" s="46" t="s">
        <v>882</v>
      </c>
      <c r="L587" s="99" t="s">
        <v>3895</v>
      </c>
      <c r="M587" s="32" t="str">
        <f t="shared" si="19"/>
        <v>No</v>
      </c>
      <c r="N587" s="32">
        <f>G587 - F587</f>
        <v>28</v>
      </c>
      <c r="O587">
        <v>1</v>
      </c>
    </row>
    <row r="588" spans="1:15" ht="27" x14ac:dyDescent="0.3">
      <c r="A588" s="26" t="s">
        <v>1138</v>
      </c>
      <c r="B588" s="28" t="s">
        <v>11</v>
      </c>
      <c r="C588" s="28" t="s">
        <v>12</v>
      </c>
      <c r="D588" s="37" t="s">
        <v>624</v>
      </c>
      <c r="E588" s="37" t="s">
        <v>1139</v>
      </c>
      <c r="F588" s="74">
        <v>44290</v>
      </c>
      <c r="G588" s="74">
        <v>44300</v>
      </c>
      <c r="H588" s="32" t="str">
        <f t="shared" si="18"/>
        <v>EVEN</v>
      </c>
      <c r="I588" s="103">
        <v>0</v>
      </c>
      <c r="J588" s="46" t="str">
        <f>UPPER(TEXT(F588,"mmm")) &amp; " - " &amp; UPPER(TEXT(G588,"mmm"))</f>
        <v>APR - APR</v>
      </c>
      <c r="K588" s="46" t="s">
        <v>882</v>
      </c>
      <c r="L588" s="28" t="s">
        <v>895</v>
      </c>
      <c r="M588" s="32" t="str">
        <f t="shared" si="19"/>
        <v>No</v>
      </c>
      <c r="N588" s="32">
        <f>G588 - F588</f>
        <v>10</v>
      </c>
      <c r="O588">
        <v>1</v>
      </c>
    </row>
    <row r="589" spans="1:15" ht="27" x14ac:dyDescent="0.3">
      <c r="A589" s="26" t="s">
        <v>637</v>
      </c>
      <c r="B589" s="28" t="s">
        <v>66</v>
      </c>
      <c r="C589" s="28" t="s">
        <v>12</v>
      </c>
      <c r="D589" s="37" t="s">
        <v>201</v>
      </c>
      <c r="E589" s="37" t="s">
        <v>1140</v>
      </c>
      <c r="F589" s="74">
        <v>44290</v>
      </c>
      <c r="G589" s="74">
        <v>44300</v>
      </c>
      <c r="H589" s="32" t="str">
        <f t="shared" si="18"/>
        <v>EVEN</v>
      </c>
      <c r="I589" s="103">
        <v>0</v>
      </c>
      <c r="J589" s="46" t="str">
        <f>UPPER(TEXT(F589,"mmm")) &amp; " - " &amp; UPPER(TEXT(G589,"mmm"))</f>
        <v>APR - APR</v>
      </c>
      <c r="K589" s="46" t="s">
        <v>882</v>
      </c>
      <c r="L589" s="28" t="s">
        <v>895</v>
      </c>
      <c r="M589" s="32" t="str">
        <f t="shared" si="19"/>
        <v>No</v>
      </c>
      <c r="N589" s="32">
        <f>G589 - F589</f>
        <v>10</v>
      </c>
      <c r="O589">
        <v>1</v>
      </c>
    </row>
    <row r="590" spans="1:15" ht="27" x14ac:dyDescent="0.3">
      <c r="A590" s="26" t="s">
        <v>1141</v>
      </c>
      <c r="B590" s="28" t="s">
        <v>11</v>
      </c>
      <c r="C590" s="28" t="s">
        <v>12</v>
      </c>
      <c r="D590" s="37" t="s">
        <v>201</v>
      </c>
      <c r="E590" s="37" t="s">
        <v>1142</v>
      </c>
      <c r="F590" s="74">
        <v>44275</v>
      </c>
      <c r="G590" s="74">
        <v>44284</v>
      </c>
      <c r="H590" s="32" t="str">
        <f t="shared" si="18"/>
        <v>EVEN</v>
      </c>
      <c r="I590" s="103">
        <v>0</v>
      </c>
      <c r="J590" s="46" t="str">
        <f>UPPER(TEXT(F590,"mmm")) &amp; " - " &amp; UPPER(TEXT(G590,"mmm"))</f>
        <v>MAR - MAR</v>
      </c>
      <c r="K590" s="46" t="s">
        <v>882</v>
      </c>
      <c r="L590" s="28" t="s">
        <v>895</v>
      </c>
      <c r="M590" s="32" t="str">
        <f t="shared" si="19"/>
        <v>No</v>
      </c>
      <c r="N590" s="32">
        <f>G590 - F590</f>
        <v>9</v>
      </c>
      <c r="O590">
        <v>1</v>
      </c>
    </row>
    <row r="591" spans="1:15" ht="27" x14ac:dyDescent="0.3">
      <c r="A591" s="26" t="s">
        <v>1143</v>
      </c>
      <c r="B591" s="28" t="s">
        <v>66</v>
      </c>
      <c r="C591" s="28" t="s">
        <v>12</v>
      </c>
      <c r="D591" s="37" t="s">
        <v>201</v>
      </c>
      <c r="E591" s="37" t="s">
        <v>1140</v>
      </c>
      <c r="F591" s="74">
        <v>44290</v>
      </c>
      <c r="G591" s="74">
        <v>44300</v>
      </c>
      <c r="H591" s="32" t="str">
        <f t="shared" si="18"/>
        <v>EVEN</v>
      </c>
      <c r="I591" s="103">
        <v>0</v>
      </c>
      <c r="J591" s="46" t="str">
        <f>UPPER(TEXT(F591,"mmm")) &amp; " - " &amp; UPPER(TEXT(G591,"mmm"))</f>
        <v>APR - APR</v>
      </c>
      <c r="K591" s="46" t="s">
        <v>882</v>
      </c>
      <c r="L591" s="28" t="s">
        <v>895</v>
      </c>
      <c r="M591" s="32" t="str">
        <f t="shared" si="19"/>
        <v>No</v>
      </c>
      <c r="N591" s="32">
        <f>G591 - F591</f>
        <v>10</v>
      </c>
      <c r="O591">
        <v>1</v>
      </c>
    </row>
    <row r="592" spans="1:15" ht="27" x14ac:dyDescent="0.3">
      <c r="A592" s="26" t="s">
        <v>1138</v>
      </c>
      <c r="B592" s="28" t="s">
        <v>11</v>
      </c>
      <c r="C592" s="28" t="s">
        <v>12</v>
      </c>
      <c r="D592" s="37" t="s">
        <v>624</v>
      </c>
      <c r="E592" s="37" t="s">
        <v>1144</v>
      </c>
      <c r="F592" s="74">
        <v>44290</v>
      </c>
      <c r="G592" s="74">
        <v>44300</v>
      </c>
      <c r="H592" s="32" t="str">
        <f t="shared" si="18"/>
        <v>EVEN</v>
      </c>
      <c r="I592" s="103">
        <v>0</v>
      </c>
      <c r="J592" s="46" t="str">
        <f>UPPER(TEXT(F592,"mmm")) &amp; " - " &amp; UPPER(TEXT(G592,"mmm"))</f>
        <v>APR - APR</v>
      </c>
      <c r="K592" s="46" t="s">
        <v>882</v>
      </c>
      <c r="L592" s="28" t="s">
        <v>895</v>
      </c>
      <c r="M592" s="32" t="str">
        <f t="shared" si="19"/>
        <v>No</v>
      </c>
      <c r="N592" s="32">
        <f>G592 - F592</f>
        <v>10</v>
      </c>
      <c r="O592">
        <v>1</v>
      </c>
    </row>
    <row r="593" spans="1:15" x14ac:dyDescent="0.3">
      <c r="A593" s="26" t="s">
        <v>928</v>
      </c>
      <c r="B593" s="28" t="s">
        <v>66</v>
      </c>
      <c r="C593" s="28" t="s">
        <v>12</v>
      </c>
      <c r="D593" s="37" t="s">
        <v>1145</v>
      </c>
      <c r="E593" s="37" t="s">
        <v>1146</v>
      </c>
      <c r="F593" s="74">
        <v>44027</v>
      </c>
      <c r="G593" s="74">
        <v>44255</v>
      </c>
      <c r="H593" s="32" t="str">
        <f t="shared" si="18"/>
        <v>ODD</v>
      </c>
      <c r="I593" s="103">
        <v>5000</v>
      </c>
      <c r="J593" s="46" t="str">
        <f>UPPER(TEXT(F593,"mmm")) &amp; " - " &amp; UPPER(TEXT(G593,"mmm"))</f>
        <v>JUL - FEB</v>
      </c>
      <c r="K593" s="46" t="s">
        <v>882</v>
      </c>
      <c r="L593" s="99" t="s">
        <v>3895</v>
      </c>
      <c r="M593" s="32" t="str">
        <f t="shared" si="19"/>
        <v>Yes</v>
      </c>
      <c r="N593" s="32">
        <f>G593 - F593</f>
        <v>228</v>
      </c>
      <c r="O593">
        <v>1</v>
      </c>
    </row>
    <row r="594" spans="1:15" x14ac:dyDescent="0.3">
      <c r="A594" s="26" t="s">
        <v>250</v>
      </c>
      <c r="B594" s="28" t="s">
        <v>78</v>
      </c>
      <c r="C594" s="28" t="s">
        <v>12</v>
      </c>
      <c r="D594" s="37" t="s">
        <v>1147</v>
      </c>
      <c r="E594" s="37" t="s">
        <v>1148</v>
      </c>
      <c r="F594" s="74">
        <v>44105</v>
      </c>
      <c r="G594" s="74">
        <v>44306</v>
      </c>
      <c r="H594" s="32" t="str">
        <f t="shared" si="18"/>
        <v>ODD</v>
      </c>
      <c r="I594" s="103">
        <v>0</v>
      </c>
      <c r="J594" s="46" t="str">
        <f>UPPER(TEXT(F594,"mmm")) &amp; " - " &amp; UPPER(TEXT(G594,"mmm"))</f>
        <v>OCT - APR</v>
      </c>
      <c r="K594" s="46" t="s">
        <v>882</v>
      </c>
      <c r="L594" s="99" t="s">
        <v>3895</v>
      </c>
      <c r="M594" s="32" t="str">
        <f t="shared" si="19"/>
        <v>No</v>
      </c>
      <c r="N594" s="32">
        <f>G594 - F594</f>
        <v>201</v>
      </c>
      <c r="O594">
        <v>1</v>
      </c>
    </row>
    <row r="595" spans="1:15" ht="27" x14ac:dyDescent="0.3">
      <c r="A595" s="26" t="s">
        <v>628</v>
      </c>
      <c r="B595" s="28" t="s">
        <v>66</v>
      </c>
      <c r="C595" s="28" t="s">
        <v>12</v>
      </c>
      <c r="D595" s="37" t="s">
        <v>1149</v>
      </c>
      <c r="E595" s="37" t="s">
        <v>1150</v>
      </c>
      <c r="F595" s="74">
        <v>43997</v>
      </c>
      <c r="G595" s="74">
        <v>44270</v>
      </c>
      <c r="H595" s="32" t="str">
        <f t="shared" si="18"/>
        <v>EVEN</v>
      </c>
      <c r="I595" s="103">
        <v>0</v>
      </c>
      <c r="J595" s="46" t="str">
        <f>UPPER(TEXT(F595,"mmm")) &amp; " - " &amp; UPPER(TEXT(G595,"mmm"))</f>
        <v>JUN - MAR</v>
      </c>
      <c r="K595" s="46" t="s">
        <v>882</v>
      </c>
      <c r="L595" s="99" t="s">
        <v>3895</v>
      </c>
      <c r="M595" s="32" t="str">
        <f t="shared" si="19"/>
        <v>No</v>
      </c>
      <c r="N595" s="32">
        <f>G595 - F595</f>
        <v>273</v>
      </c>
      <c r="O595">
        <v>1</v>
      </c>
    </row>
    <row r="596" spans="1:15" ht="27" x14ac:dyDescent="0.3">
      <c r="A596" s="26" t="s">
        <v>628</v>
      </c>
      <c r="B596" s="28" t="s">
        <v>66</v>
      </c>
      <c r="C596" s="28" t="s">
        <v>12</v>
      </c>
      <c r="D596" s="37" t="s">
        <v>1151</v>
      </c>
      <c r="E596" s="37" t="s">
        <v>1152</v>
      </c>
      <c r="F596" s="74">
        <v>44270</v>
      </c>
      <c r="G596" s="74">
        <v>44316</v>
      </c>
      <c r="H596" s="32" t="str">
        <f t="shared" si="18"/>
        <v>EVEN</v>
      </c>
      <c r="I596" s="103">
        <v>24000</v>
      </c>
      <c r="J596" s="46" t="str">
        <f>UPPER(TEXT(F596,"mmm")) &amp; " - " &amp; UPPER(TEXT(G596,"mmm"))</f>
        <v>MAR - APR</v>
      </c>
      <c r="K596" s="46" t="s">
        <v>882</v>
      </c>
      <c r="L596" s="99" t="s">
        <v>3895</v>
      </c>
      <c r="M596" s="32" t="str">
        <f t="shared" si="19"/>
        <v>Yes</v>
      </c>
      <c r="N596" s="32">
        <f>G596 - F596</f>
        <v>46</v>
      </c>
      <c r="O596">
        <v>1</v>
      </c>
    </row>
    <row r="597" spans="1:15" ht="40.200000000000003" x14ac:dyDescent="0.3">
      <c r="A597" s="26" t="s">
        <v>1153</v>
      </c>
      <c r="B597" s="28" t="s">
        <v>70</v>
      </c>
      <c r="C597" s="28" t="s">
        <v>12</v>
      </c>
      <c r="D597" s="37" t="s">
        <v>1154</v>
      </c>
      <c r="E597" s="37" t="s">
        <v>1155</v>
      </c>
      <c r="F597" s="74">
        <v>44198</v>
      </c>
      <c r="G597" s="74">
        <v>44323</v>
      </c>
      <c r="H597" s="32" t="str">
        <f t="shared" si="18"/>
        <v>EVEN</v>
      </c>
      <c r="I597" s="103">
        <v>0</v>
      </c>
      <c r="J597" s="46" t="str">
        <f>UPPER(TEXT(F597,"mmm")) &amp; " - " &amp; UPPER(TEXT(G597,"mmm"))</f>
        <v>JAN - MAY</v>
      </c>
      <c r="K597" s="46" t="s">
        <v>882</v>
      </c>
      <c r="L597" s="99" t="s">
        <v>3895</v>
      </c>
      <c r="M597" s="32" t="str">
        <f t="shared" si="19"/>
        <v>No</v>
      </c>
      <c r="N597" s="32">
        <f>G597 - F597</f>
        <v>125</v>
      </c>
      <c r="O597">
        <v>1</v>
      </c>
    </row>
    <row r="598" spans="1:15" x14ac:dyDescent="0.3">
      <c r="A598" s="26" t="s">
        <v>901</v>
      </c>
      <c r="B598" s="28" t="s">
        <v>78</v>
      </c>
      <c r="C598" s="28" t="s">
        <v>12</v>
      </c>
      <c r="D598" s="37" t="s">
        <v>780</v>
      </c>
      <c r="E598" s="37" t="s">
        <v>1156</v>
      </c>
      <c r="F598" s="74">
        <v>44242</v>
      </c>
      <c r="G598" s="74">
        <v>44316</v>
      </c>
      <c r="H598" s="32" t="str">
        <f t="shared" si="18"/>
        <v>EVEN</v>
      </c>
      <c r="I598" s="103">
        <v>0</v>
      </c>
      <c r="J598" s="46" t="str">
        <f>UPPER(TEXT(F598,"mmm")) &amp; " - " &amp; UPPER(TEXT(G598,"mmm"))</f>
        <v>FEB - APR</v>
      </c>
      <c r="K598" s="46" t="s">
        <v>882</v>
      </c>
      <c r="L598" s="99" t="s">
        <v>3895</v>
      </c>
      <c r="M598" s="32" t="str">
        <f t="shared" si="19"/>
        <v>No</v>
      </c>
      <c r="N598" s="32">
        <f>G598 - F598</f>
        <v>74</v>
      </c>
      <c r="O598">
        <v>1</v>
      </c>
    </row>
    <row r="599" spans="1:15" x14ac:dyDescent="0.3">
      <c r="A599" s="26" t="s">
        <v>1105</v>
      </c>
      <c r="B599" s="28" t="s">
        <v>66</v>
      </c>
      <c r="C599" s="28" t="s">
        <v>12</v>
      </c>
      <c r="D599" s="37" t="s">
        <v>1157</v>
      </c>
      <c r="E599" s="37" t="s">
        <v>259</v>
      </c>
      <c r="F599" s="74">
        <v>44303</v>
      </c>
      <c r="G599" s="74">
        <v>44323</v>
      </c>
      <c r="H599" s="32" t="str">
        <f t="shared" si="18"/>
        <v>EVEN</v>
      </c>
      <c r="I599" s="103">
        <v>2500</v>
      </c>
      <c r="J599" s="46" t="str">
        <f>UPPER(TEXT(F599,"mmm")) &amp; " - " &amp; UPPER(TEXT(G599,"mmm"))</f>
        <v>APR - MAY</v>
      </c>
      <c r="K599" s="46" t="s">
        <v>882</v>
      </c>
      <c r="L599" s="99" t="s">
        <v>3895</v>
      </c>
      <c r="M599" s="32" t="str">
        <f t="shared" si="19"/>
        <v>Yes</v>
      </c>
      <c r="N599" s="32">
        <f>G599 - F599</f>
        <v>20</v>
      </c>
      <c r="O599">
        <v>1</v>
      </c>
    </row>
    <row r="600" spans="1:15" ht="40.200000000000003" x14ac:dyDescent="0.3">
      <c r="A600" s="26" t="s">
        <v>1158</v>
      </c>
      <c r="B600" s="28" t="s">
        <v>66</v>
      </c>
      <c r="C600" s="28" t="s">
        <v>12</v>
      </c>
      <c r="D600" s="37" t="s">
        <v>1159</v>
      </c>
      <c r="E600" s="37" t="s">
        <v>1160</v>
      </c>
      <c r="F600" s="74">
        <v>44233</v>
      </c>
      <c r="G600" s="74">
        <v>44261</v>
      </c>
      <c r="H600" s="32" t="str">
        <f t="shared" si="18"/>
        <v>EVEN</v>
      </c>
      <c r="I600" s="103">
        <v>0</v>
      </c>
      <c r="J600" s="46" t="str">
        <f>UPPER(TEXT(F600,"mmm")) &amp; " - " &amp; UPPER(TEXT(G600,"mmm"))</f>
        <v>FEB - MAR</v>
      </c>
      <c r="K600" s="46" t="s">
        <v>882</v>
      </c>
      <c r="L600" s="99" t="s">
        <v>3895</v>
      </c>
      <c r="M600" s="32" t="str">
        <f t="shared" si="19"/>
        <v>No</v>
      </c>
      <c r="N600" s="32">
        <f>G600 - F600</f>
        <v>28</v>
      </c>
      <c r="O600">
        <v>1</v>
      </c>
    </row>
    <row r="601" spans="1:15" ht="27" x14ac:dyDescent="0.3">
      <c r="A601" s="26" t="s">
        <v>978</v>
      </c>
      <c r="B601" s="28" t="s">
        <v>66</v>
      </c>
      <c r="C601" s="28" t="s">
        <v>12</v>
      </c>
      <c r="D601" s="37" t="s">
        <v>1161</v>
      </c>
      <c r="E601" s="37" t="s">
        <v>1162</v>
      </c>
      <c r="F601" s="74">
        <v>44295</v>
      </c>
      <c r="G601" s="74">
        <v>44326</v>
      </c>
      <c r="H601" s="32" t="str">
        <f t="shared" si="18"/>
        <v>EVEN</v>
      </c>
      <c r="I601" s="103">
        <v>2000</v>
      </c>
      <c r="J601" s="46" t="str">
        <f>UPPER(TEXT(F601,"mmm")) &amp; " - " &amp; UPPER(TEXT(G601,"mmm"))</f>
        <v>APR - MAY</v>
      </c>
      <c r="K601" s="46" t="s">
        <v>882</v>
      </c>
      <c r="L601" s="99" t="s">
        <v>3895</v>
      </c>
      <c r="M601" s="32" t="str">
        <f t="shared" si="19"/>
        <v>Yes</v>
      </c>
      <c r="N601" s="32">
        <f>G601 - F601</f>
        <v>31</v>
      </c>
      <c r="O601">
        <v>1</v>
      </c>
    </row>
    <row r="602" spans="1:15" x14ac:dyDescent="0.3">
      <c r="A602" s="26" t="s">
        <v>250</v>
      </c>
      <c r="B602" s="28" t="s">
        <v>78</v>
      </c>
      <c r="C602" s="28" t="s">
        <v>12</v>
      </c>
      <c r="D602" s="37" t="s">
        <v>1163</v>
      </c>
      <c r="E602" s="37" t="s">
        <v>1156</v>
      </c>
      <c r="F602" s="74">
        <v>44242</v>
      </c>
      <c r="G602" s="74">
        <v>44316</v>
      </c>
      <c r="H602" s="32" t="str">
        <f t="shared" si="18"/>
        <v>EVEN</v>
      </c>
      <c r="I602" s="103">
        <v>0</v>
      </c>
      <c r="J602" s="46" t="str">
        <f>UPPER(TEXT(F602,"mmm")) &amp; " - " &amp; UPPER(TEXT(G602,"mmm"))</f>
        <v>FEB - APR</v>
      </c>
      <c r="K602" s="46" t="s">
        <v>882</v>
      </c>
      <c r="L602" s="99" t="s">
        <v>3895</v>
      </c>
      <c r="M602" s="32" t="str">
        <f t="shared" si="19"/>
        <v>No</v>
      </c>
      <c r="N602" s="32">
        <f>G602 - F602</f>
        <v>74</v>
      </c>
      <c r="O602">
        <v>1</v>
      </c>
    </row>
    <row r="603" spans="1:15" x14ac:dyDescent="0.3">
      <c r="A603" s="26" t="s">
        <v>250</v>
      </c>
      <c r="B603" s="28" t="s">
        <v>78</v>
      </c>
      <c r="C603" s="28" t="s">
        <v>12</v>
      </c>
      <c r="D603" s="37" t="s">
        <v>25</v>
      </c>
      <c r="E603" s="37" t="s">
        <v>393</v>
      </c>
      <c r="F603" s="74">
        <v>44218</v>
      </c>
      <c r="G603" s="74">
        <v>44270</v>
      </c>
      <c r="H603" s="32" t="str">
        <f t="shared" si="18"/>
        <v>EVEN</v>
      </c>
      <c r="I603" s="103">
        <v>0</v>
      </c>
      <c r="J603" s="46" t="str">
        <f>UPPER(TEXT(F603,"mmm")) &amp; " - " &amp; UPPER(TEXT(G603,"mmm"))</f>
        <v>JAN - MAR</v>
      </c>
      <c r="K603" s="46" t="s">
        <v>882</v>
      </c>
      <c r="L603" s="99" t="s">
        <v>3895</v>
      </c>
      <c r="M603" s="32" t="str">
        <f t="shared" si="19"/>
        <v>No</v>
      </c>
      <c r="N603" s="32">
        <f>G603 - F603</f>
        <v>52</v>
      </c>
      <c r="O603">
        <v>1</v>
      </c>
    </row>
    <row r="604" spans="1:15" x14ac:dyDescent="0.3">
      <c r="A604" s="26" t="s">
        <v>1164</v>
      </c>
      <c r="B604" s="28" t="s">
        <v>70</v>
      </c>
      <c r="C604" s="28" t="s">
        <v>12</v>
      </c>
      <c r="D604" s="37" t="s">
        <v>924</v>
      </c>
      <c r="E604" s="37" t="s">
        <v>1165</v>
      </c>
      <c r="F604" s="74">
        <v>44040</v>
      </c>
      <c r="G604" s="74">
        <v>44314</v>
      </c>
      <c r="H604" s="32" t="str">
        <f t="shared" si="18"/>
        <v>ODD</v>
      </c>
      <c r="I604" s="103">
        <v>0</v>
      </c>
      <c r="J604" s="46" t="str">
        <f>UPPER(TEXT(F604,"mmm")) &amp; " - " &amp; UPPER(TEXT(G604,"mmm"))</f>
        <v>JUL - APR</v>
      </c>
      <c r="K604" s="46" t="s">
        <v>882</v>
      </c>
      <c r="L604" s="28" t="s">
        <v>895</v>
      </c>
      <c r="M604" s="32" t="str">
        <f t="shared" si="19"/>
        <v>No</v>
      </c>
      <c r="N604" s="32">
        <f>G604 - F604</f>
        <v>274</v>
      </c>
      <c r="O604">
        <v>1</v>
      </c>
    </row>
    <row r="605" spans="1:15" x14ac:dyDescent="0.3">
      <c r="A605" s="26" t="s">
        <v>736</v>
      </c>
      <c r="B605" s="28" t="s">
        <v>70</v>
      </c>
      <c r="C605" s="28" t="s">
        <v>12</v>
      </c>
      <c r="D605" s="37" t="s">
        <v>921</v>
      </c>
      <c r="E605" s="37" t="s">
        <v>1166</v>
      </c>
      <c r="F605" s="74">
        <v>44075</v>
      </c>
      <c r="G605" s="74">
        <v>44316</v>
      </c>
      <c r="H605" s="32" t="str">
        <f t="shared" si="18"/>
        <v>ODD</v>
      </c>
      <c r="I605" s="103">
        <v>0</v>
      </c>
      <c r="J605" s="46" t="str">
        <f>UPPER(TEXT(F605,"mmm")) &amp; " - " &amp; UPPER(TEXT(G605,"mmm"))</f>
        <v>SEP - APR</v>
      </c>
      <c r="K605" s="46" t="s">
        <v>882</v>
      </c>
      <c r="L605" s="28" t="s">
        <v>895</v>
      </c>
      <c r="M605" s="32" t="str">
        <f t="shared" si="19"/>
        <v>No</v>
      </c>
      <c r="N605" s="32">
        <f>G605 - F605</f>
        <v>241</v>
      </c>
      <c r="O605">
        <v>1</v>
      </c>
    </row>
    <row r="606" spans="1:15" ht="40.200000000000003" x14ac:dyDescent="0.3">
      <c r="A606" s="26" t="s">
        <v>1041</v>
      </c>
      <c r="B606" s="28" t="s">
        <v>66</v>
      </c>
      <c r="C606" s="28" t="s">
        <v>12</v>
      </c>
      <c r="D606" s="37" t="s">
        <v>1167</v>
      </c>
      <c r="E606" s="37" t="s">
        <v>1168</v>
      </c>
      <c r="F606" s="74">
        <v>44320</v>
      </c>
      <c r="G606" s="74">
        <v>44347</v>
      </c>
      <c r="H606" s="32" t="str">
        <f t="shared" si="18"/>
        <v>EVEN</v>
      </c>
      <c r="I606" s="103">
        <v>0</v>
      </c>
      <c r="J606" s="46" t="str">
        <f>UPPER(TEXT(F606,"mmm")) &amp; " - " &amp; UPPER(TEXT(G606,"mmm"))</f>
        <v>MAY - MAY</v>
      </c>
      <c r="K606" s="46" t="s">
        <v>882</v>
      </c>
      <c r="L606" s="99" t="s">
        <v>3895</v>
      </c>
      <c r="M606" s="32" t="str">
        <f t="shared" si="19"/>
        <v>No</v>
      </c>
      <c r="N606" s="32">
        <f>G606 - F606</f>
        <v>27</v>
      </c>
      <c r="O606">
        <v>1</v>
      </c>
    </row>
    <row r="607" spans="1:15" ht="27" x14ac:dyDescent="0.3">
      <c r="A607" s="26" t="s">
        <v>1169</v>
      </c>
      <c r="B607" s="28" t="s">
        <v>11</v>
      </c>
      <c r="C607" s="28" t="s">
        <v>12</v>
      </c>
      <c r="D607" s="37" t="s">
        <v>1170</v>
      </c>
      <c r="E607" s="37" t="s">
        <v>1171</v>
      </c>
      <c r="F607" s="74">
        <v>44202</v>
      </c>
      <c r="G607" s="74">
        <v>44300</v>
      </c>
      <c r="H607" s="32" t="str">
        <f t="shared" si="18"/>
        <v>EVEN</v>
      </c>
      <c r="I607" s="103">
        <v>0</v>
      </c>
      <c r="J607" s="46" t="str">
        <f>UPPER(TEXT(F607,"mmm")) &amp; " - " &amp; UPPER(TEXT(G607,"mmm"))</f>
        <v>JAN - APR</v>
      </c>
      <c r="K607" s="46" t="s">
        <v>882</v>
      </c>
      <c r="L607" s="28" t="s">
        <v>895</v>
      </c>
      <c r="M607" s="32" t="str">
        <f t="shared" si="19"/>
        <v>No</v>
      </c>
      <c r="N607" s="32">
        <f>G607 - F607</f>
        <v>98</v>
      </c>
      <c r="O607">
        <v>1</v>
      </c>
    </row>
    <row r="608" spans="1:15" ht="27" x14ac:dyDescent="0.3">
      <c r="A608" s="26" t="s">
        <v>1169</v>
      </c>
      <c r="B608" s="28" t="s">
        <v>11</v>
      </c>
      <c r="C608" s="28" t="s">
        <v>12</v>
      </c>
      <c r="D608" s="37" t="s">
        <v>1172</v>
      </c>
      <c r="E608" s="37" t="s">
        <v>1173</v>
      </c>
      <c r="F608" s="74">
        <v>44214</v>
      </c>
      <c r="G608" s="74">
        <v>44259</v>
      </c>
      <c r="H608" s="32" t="str">
        <f t="shared" si="18"/>
        <v>EVEN</v>
      </c>
      <c r="I608" s="103">
        <v>0</v>
      </c>
      <c r="J608" s="46" t="str">
        <f>UPPER(TEXT(F608,"mmm")) &amp; " - " &amp; UPPER(TEXT(G608,"mmm"))</f>
        <v>JAN - MAR</v>
      </c>
      <c r="K608" s="46" t="s">
        <v>882</v>
      </c>
      <c r="L608" s="28" t="s">
        <v>895</v>
      </c>
      <c r="M608" s="32" t="str">
        <f t="shared" si="19"/>
        <v>No</v>
      </c>
      <c r="N608" s="32">
        <f>G608 - F608</f>
        <v>45</v>
      </c>
      <c r="O608">
        <v>1</v>
      </c>
    </row>
    <row r="609" spans="1:15" ht="27" x14ac:dyDescent="0.3">
      <c r="A609" s="26" t="s">
        <v>1174</v>
      </c>
      <c r="B609" s="28" t="s">
        <v>11</v>
      </c>
      <c r="C609" s="28" t="s">
        <v>12</v>
      </c>
      <c r="D609" s="37" t="s">
        <v>1175</v>
      </c>
      <c r="E609" s="37" t="s">
        <v>1176</v>
      </c>
      <c r="F609" s="74">
        <v>44202</v>
      </c>
      <c r="G609" s="74">
        <v>44300</v>
      </c>
      <c r="H609" s="32" t="str">
        <f t="shared" si="18"/>
        <v>EVEN</v>
      </c>
      <c r="I609" s="103">
        <v>0</v>
      </c>
      <c r="J609" s="46" t="str">
        <f>UPPER(TEXT(F609,"mmm")) &amp; " - " &amp; UPPER(TEXT(G609,"mmm"))</f>
        <v>JAN - APR</v>
      </c>
      <c r="K609" s="46" t="s">
        <v>882</v>
      </c>
      <c r="L609" s="28" t="s">
        <v>895</v>
      </c>
      <c r="M609" s="32" t="str">
        <f t="shared" si="19"/>
        <v>No</v>
      </c>
      <c r="N609" s="32">
        <f>G609 - F609</f>
        <v>98</v>
      </c>
      <c r="O609">
        <v>1</v>
      </c>
    </row>
    <row r="610" spans="1:15" ht="27" x14ac:dyDescent="0.3">
      <c r="A610" s="26" t="s">
        <v>1177</v>
      </c>
      <c r="B610" s="28" t="s">
        <v>11</v>
      </c>
      <c r="C610" s="28" t="s">
        <v>12</v>
      </c>
      <c r="D610" s="37" t="s">
        <v>1178</v>
      </c>
      <c r="E610" s="37" t="s">
        <v>1171</v>
      </c>
      <c r="F610" s="74">
        <v>44202</v>
      </c>
      <c r="G610" s="74">
        <v>44300</v>
      </c>
      <c r="H610" s="32" t="str">
        <f t="shared" si="18"/>
        <v>EVEN</v>
      </c>
      <c r="I610" s="103">
        <v>0</v>
      </c>
      <c r="J610" s="46" t="str">
        <f>UPPER(TEXT(F610,"mmm")) &amp; " - " &amp; UPPER(TEXT(G610,"mmm"))</f>
        <v>JAN - APR</v>
      </c>
      <c r="K610" s="46" t="s">
        <v>882</v>
      </c>
      <c r="L610" s="28" t="s">
        <v>895</v>
      </c>
      <c r="M610" s="32" t="str">
        <f t="shared" si="19"/>
        <v>No</v>
      </c>
      <c r="N610" s="32">
        <f>G610 - F610</f>
        <v>98</v>
      </c>
      <c r="O610">
        <v>1</v>
      </c>
    </row>
    <row r="611" spans="1:15" ht="27" x14ac:dyDescent="0.3">
      <c r="A611" s="26" t="s">
        <v>1179</v>
      </c>
      <c r="B611" s="28" t="s">
        <v>66</v>
      </c>
      <c r="C611" s="28" t="s">
        <v>12</v>
      </c>
      <c r="D611" s="37" t="s">
        <v>1180</v>
      </c>
      <c r="E611" s="37" t="s">
        <v>1181</v>
      </c>
      <c r="F611" s="74">
        <v>44207</v>
      </c>
      <c r="G611" s="74">
        <v>44266</v>
      </c>
      <c r="H611" s="32" t="str">
        <f t="shared" si="18"/>
        <v>EVEN</v>
      </c>
      <c r="I611" s="103">
        <v>2000</v>
      </c>
      <c r="J611" s="46" t="str">
        <f>UPPER(TEXT(F611,"mmm")) &amp; " - " &amp; UPPER(TEXT(G611,"mmm"))</f>
        <v>JAN - MAR</v>
      </c>
      <c r="K611" s="46" t="s">
        <v>882</v>
      </c>
      <c r="L611" s="99" t="s">
        <v>3895</v>
      </c>
      <c r="M611" s="32" t="str">
        <f t="shared" si="19"/>
        <v>Yes</v>
      </c>
      <c r="N611" s="32">
        <f>G611 - F611</f>
        <v>59</v>
      </c>
      <c r="O611">
        <v>1</v>
      </c>
    </row>
    <row r="612" spans="1:15" ht="27" x14ac:dyDescent="0.3">
      <c r="A612" s="26" t="s">
        <v>1182</v>
      </c>
      <c r="B612" s="28" t="s">
        <v>11</v>
      </c>
      <c r="C612" s="28" t="s">
        <v>12</v>
      </c>
      <c r="D612" s="37" t="s">
        <v>1178</v>
      </c>
      <c r="E612" s="37" t="s">
        <v>1171</v>
      </c>
      <c r="F612" s="74">
        <v>44202</v>
      </c>
      <c r="G612" s="74">
        <v>44300</v>
      </c>
      <c r="H612" s="32" t="str">
        <f t="shared" si="18"/>
        <v>EVEN</v>
      </c>
      <c r="I612" s="103">
        <v>0</v>
      </c>
      <c r="J612" s="46" t="str">
        <f>UPPER(TEXT(F612,"mmm")) &amp; " - " &amp; UPPER(TEXT(G612,"mmm"))</f>
        <v>JAN - APR</v>
      </c>
      <c r="K612" s="46" t="s">
        <v>882</v>
      </c>
      <c r="L612" s="28" t="s">
        <v>895</v>
      </c>
      <c r="M612" s="32" t="str">
        <f t="shared" si="19"/>
        <v>No</v>
      </c>
      <c r="N612" s="32">
        <f>G612 - F612</f>
        <v>98</v>
      </c>
      <c r="O612">
        <v>1</v>
      </c>
    </row>
    <row r="613" spans="1:15" x14ac:dyDescent="0.3">
      <c r="A613" s="26" t="s">
        <v>63</v>
      </c>
      <c r="B613" s="28" t="s">
        <v>66</v>
      </c>
      <c r="C613" s="28" t="s">
        <v>12</v>
      </c>
      <c r="D613" s="37" t="s">
        <v>1007</v>
      </c>
      <c r="E613" s="37" t="s">
        <v>1183</v>
      </c>
      <c r="F613" s="74">
        <v>44317</v>
      </c>
      <c r="G613" s="74">
        <v>44348</v>
      </c>
      <c r="H613" s="32" t="str">
        <f t="shared" si="18"/>
        <v>EVEN</v>
      </c>
      <c r="I613" s="103">
        <v>0</v>
      </c>
      <c r="J613" s="46" t="str">
        <f>UPPER(TEXT(F613,"mmm")) &amp; " - " &amp; UPPER(TEXT(G613,"mmm"))</f>
        <v>MAY - JUN</v>
      </c>
      <c r="K613" s="46" t="s">
        <v>882</v>
      </c>
      <c r="L613" s="99" t="s">
        <v>3895</v>
      </c>
      <c r="M613" s="32" t="str">
        <f t="shared" si="19"/>
        <v>No</v>
      </c>
      <c r="N613" s="32">
        <f>G613 - F613</f>
        <v>31</v>
      </c>
      <c r="O613">
        <v>1</v>
      </c>
    </row>
    <row r="614" spans="1:15" x14ac:dyDescent="0.3">
      <c r="A614" s="26" t="s">
        <v>709</v>
      </c>
      <c r="B614" s="28" t="s">
        <v>66</v>
      </c>
      <c r="C614" s="28" t="s">
        <v>12</v>
      </c>
      <c r="D614" s="37" t="s">
        <v>1007</v>
      </c>
      <c r="E614" s="37" t="s">
        <v>1184</v>
      </c>
      <c r="F614" s="74">
        <v>44317</v>
      </c>
      <c r="G614" s="74">
        <v>44348</v>
      </c>
      <c r="H614" s="32" t="str">
        <f t="shared" si="18"/>
        <v>EVEN</v>
      </c>
      <c r="I614" s="103">
        <v>0</v>
      </c>
      <c r="J614" s="46" t="str">
        <f>UPPER(TEXT(F614,"mmm")) &amp; " - " &amp; UPPER(TEXT(G614,"mmm"))</f>
        <v>MAY - JUN</v>
      </c>
      <c r="K614" s="46" t="s">
        <v>882</v>
      </c>
      <c r="L614" s="99" t="s">
        <v>3895</v>
      </c>
      <c r="M614" s="32" t="str">
        <f t="shared" si="19"/>
        <v>No</v>
      </c>
      <c r="N614" s="32">
        <f>G614 - F614</f>
        <v>31</v>
      </c>
      <c r="O614">
        <v>1</v>
      </c>
    </row>
    <row r="615" spans="1:15" x14ac:dyDescent="0.3">
      <c r="A615" s="26" t="s">
        <v>1185</v>
      </c>
      <c r="B615" s="28" t="s">
        <v>66</v>
      </c>
      <c r="C615" s="28" t="s">
        <v>12</v>
      </c>
      <c r="D615" s="37" t="s">
        <v>1186</v>
      </c>
      <c r="E615" s="37" t="s">
        <v>1187</v>
      </c>
      <c r="F615" s="74">
        <v>44076</v>
      </c>
      <c r="G615" s="74">
        <v>44136</v>
      </c>
      <c r="H615" s="32" t="str">
        <f t="shared" si="18"/>
        <v>ODD</v>
      </c>
      <c r="I615" s="103">
        <v>0</v>
      </c>
      <c r="J615" s="46" t="str">
        <f>UPPER(TEXT(F615,"mmm")) &amp; " - " &amp; UPPER(TEXT(G615,"mmm"))</f>
        <v>SEP - NOV</v>
      </c>
      <c r="K615" s="46" t="s">
        <v>882</v>
      </c>
      <c r="L615" s="99" t="s">
        <v>3895</v>
      </c>
      <c r="M615" s="32" t="str">
        <f t="shared" si="19"/>
        <v>No</v>
      </c>
      <c r="N615" s="32">
        <f>G615 - F615</f>
        <v>60</v>
      </c>
      <c r="O615">
        <v>1</v>
      </c>
    </row>
    <row r="616" spans="1:15" ht="27" x14ac:dyDescent="0.3">
      <c r="A616" s="26" t="s">
        <v>1185</v>
      </c>
      <c r="B616" s="28" t="s">
        <v>66</v>
      </c>
      <c r="C616" s="28" t="s">
        <v>12</v>
      </c>
      <c r="D616" s="37" t="s">
        <v>1188</v>
      </c>
      <c r="E616" s="37" t="s">
        <v>1189</v>
      </c>
      <c r="F616" s="74">
        <v>44203</v>
      </c>
      <c r="G616" s="74">
        <v>44308</v>
      </c>
      <c r="H616" s="32" t="str">
        <f t="shared" si="18"/>
        <v>EVEN</v>
      </c>
      <c r="I616" s="103">
        <v>0</v>
      </c>
      <c r="J616" s="46" t="str">
        <f>UPPER(TEXT(F616,"mmm")) &amp; " - " &amp; UPPER(TEXT(G616,"mmm"))</f>
        <v>JAN - APR</v>
      </c>
      <c r="K616" s="46" t="s">
        <v>882</v>
      </c>
      <c r="L616" s="99" t="s">
        <v>3895</v>
      </c>
      <c r="M616" s="32" t="str">
        <f t="shared" si="19"/>
        <v>No</v>
      </c>
      <c r="N616" s="32">
        <f>G616 - F616</f>
        <v>105</v>
      </c>
      <c r="O616">
        <v>1</v>
      </c>
    </row>
    <row r="617" spans="1:15" x14ac:dyDescent="0.3">
      <c r="A617" s="26" t="s">
        <v>1190</v>
      </c>
      <c r="B617" s="28" t="s">
        <v>78</v>
      </c>
      <c r="C617" s="28" t="s">
        <v>12</v>
      </c>
      <c r="D617" s="37" t="s">
        <v>780</v>
      </c>
      <c r="E617" s="37" t="s">
        <v>1156</v>
      </c>
      <c r="F617" s="74">
        <v>44242</v>
      </c>
      <c r="G617" s="74">
        <v>44316</v>
      </c>
      <c r="H617" s="32" t="str">
        <f t="shared" si="18"/>
        <v>EVEN</v>
      </c>
      <c r="I617" s="103">
        <v>0</v>
      </c>
      <c r="J617" s="46" t="str">
        <f>UPPER(TEXT(F617,"mmm")) &amp; " - " &amp; UPPER(TEXT(G617,"mmm"))</f>
        <v>FEB - APR</v>
      </c>
      <c r="K617" s="46" t="s">
        <v>882</v>
      </c>
      <c r="L617" s="99" t="s">
        <v>3895</v>
      </c>
      <c r="M617" s="32" t="str">
        <f t="shared" si="19"/>
        <v>No</v>
      </c>
      <c r="N617" s="32">
        <f>G617 - F617</f>
        <v>74</v>
      </c>
      <c r="O617">
        <v>1</v>
      </c>
    </row>
    <row r="618" spans="1:15" ht="40.200000000000003" x14ac:dyDescent="0.3">
      <c r="A618" s="26" t="s">
        <v>655</v>
      </c>
      <c r="B618" s="28" t="s">
        <v>66</v>
      </c>
      <c r="C618" s="28" t="s">
        <v>12</v>
      </c>
      <c r="D618" s="37" t="s">
        <v>1191</v>
      </c>
      <c r="E618" s="37" t="s">
        <v>1192</v>
      </c>
      <c r="F618" s="74">
        <v>44287</v>
      </c>
      <c r="G618" s="74">
        <v>44347</v>
      </c>
      <c r="H618" s="32" t="str">
        <f t="shared" si="18"/>
        <v>EVEN</v>
      </c>
      <c r="I618" s="103">
        <v>1000</v>
      </c>
      <c r="J618" s="46" t="str">
        <f>UPPER(TEXT(F618,"mmm")) &amp; " - " &amp; UPPER(TEXT(G618,"mmm"))</f>
        <v>APR - MAY</v>
      </c>
      <c r="K618" s="46" t="s">
        <v>882</v>
      </c>
      <c r="L618" s="99" t="s">
        <v>3895</v>
      </c>
      <c r="M618" s="32" t="str">
        <f t="shared" si="19"/>
        <v>Yes</v>
      </c>
      <c r="N618" s="32">
        <f>G618 - F618</f>
        <v>60</v>
      </c>
      <c r="O618">
        <v>1</v>
      </c>
    </row>
    <row r="619" spans="1:15" ht="27" x14ac:dyDescent="0.3">
      <c r="A619" s="26" t="s">
        <v>1193</v>
      </c>
      <c r="B619" s="28" t="s">
        <v>11</v>
      </c>
      <c r="C619" s="28" t="s">
        <v>12</v>
      </c>
      <c r="D619" s="37" t="s">
        <v>1194</v>
      </c>
      <c r="E619" s="37" t="s">
        <v>1171</v>
      </c>
      <c r="F619" s="74">
        <v>44202</v>
      </c>
      <c r="G619" s="74">
        <v>44300</v>
      </c>
      <c r="H619" s="32" t="str">
        <f t="shared" si="18"/>
        <v>EVEN</v>
      </c>
      <c r="I619" s="103">
        <v>0</v>
      </c>
      <c r="J619" s="46" t="str">
        <f>UPPER(TEXT(F619,"mmm")) &amp; " - " &amp; UPPER(TEXT(G619,"mmm"))</f>
        <v>JAN - APR</v>
      </c>
      <c r="K619" s="46" t="s">
        <v>882</v>
      </c>
      <c r="L619" s="28" t="s">
        <v>895</v>
      </c>
      <c r="M619" s="32" t="str">
        <f t="shared" si="19"/>
        <v>No</v>
      </c>
      <c r="N619" s="32">
        <f>G619 - F619</f>
        <v>98</v>
      </c>
      <c r="O619">
        <v>1</v>
      </c>
    </row>
    <row r="620" spans="1:15" x14ac:dyDescent="0.3">
      <c r="A620" s="26" t="s">
        <v>320</v>
      </c>
      <c r="B620" s="28" t="s">
        <v>66</v>
      </c>
      <c r="C620" s="28" t="s">
        <v>12</v>
      </c>
      <c r="D620" s="37" t="s">
        <v>1195</v>
      </c>
      <c r="E620" s="37" t="s">
        <v>1196</v>
      </c>
      <c r="F620" s="74">
        <v>44043</v>
      </c>
      <c r="G620" s="74">
        <v>44301</v>
      </c>
      <c r="H620" s="32" t="str">
        <f t="shared" si="18"/>
        <v>ODD</v>
      </c>
      <c r="I620" s="103">
        <v>0</v>
      </c>
      <c r="J620" s="46" t="str">
        <f>UPPER(TEXT(F620,"mmm")) &amp; " - " &amp; UPPER(TEXT(G620,"mmm"))</f>
        <v>JUL - APR</v>
      </c>
      <c r="K620" s="46" t="s">
        <v>882</v>
      </c>
      <c r="L620" s="28" t="s">
        <v>895</v>
      </c>
      <c r="M620" s="32" t="str">
        <f t="shared" si="19"/>
        <v>No</v>
      </c>
      <c r="N620" s="32">
        <f>G620 - F620</f>
        <v>258</v>
      </c>
      <c r="O620">
        <v>1</v>
      </c>
    </row>
    <row r="621" spans="1:15" ht="27" x14ac:dyDescent="0.3">
      <c r="A621" s="26" t="s">
        <v>1197</v>
      </c>
      <c r="B621" s="28" t="s">
        <v>78</v>
      </c>
      <c r="C621" s="28" t="s">
        <v>12</v>
      </c>
      <c r="D621" s="37" t="s">
        <v>1195</v>
      </c>
      <c r="E621" s="37" t="s">
        <v>1198</v>
      </c>
      <c r="F621" s="74">
        <v>44043</v>
      </c>
      <c r="G621" s="74">
        <v>44301</v>
      </c>
      <c r="H621" s="32" t="str">
        <f t="shared" si="18"/>
        <v>ODD</v>
      </c>
      <c r="I621" s="103">
        <v>0</v>
      </c>
      <c r="J621" s="46" t="str">
        <f>UPPER(TEXT(F621,"mmm")) &amp; " - " &amp; UPPER(TEXT(G621,"mmm"))</f>
        <v>JUL - APR</v>
      </c>
      <c r="K621" s="46" t="s">
        <v>882</v>
      </c>
      <c r="L621" s="28" t="s">
        <v>895</v>
      </c>
      <c r="M621" s="32" t="str">
        <f t="shared" si="19"/>
        <v>No</v>
      </c>
      <c r="N621" s="32">
        <f>G621 - F621</f>
        <v>258</v>
      </c>
      <c r="O621">
        <v>1</v>
      </c>
    </row>
    <row r="622" spans="1:15" x14ac:dyDescent="0.3">
      <c r="A622" s="26" t="s">
        <v>1199</v>
      </c>
      <c r="B622" s="28" t="s">
        <v>78</v>
      </c>
      <c r="C622" s="28" t="s">
        <v>12</v>
      </c>
      <c r="D622" s="37" t="s">
        <v>1195</v>
      </c>
      <c r="E622" s="37" t="s">
        <v>1196</v>
      </c>
      <c r="F622" s="74">
        <v>44043</v>
      </c>
      <c r="G622" s="74">
        <v>44301</v>
      </c>
      <c r="H622" s="32" t="str">
        <f t="shared" si="18"/>
        <v>ODD</v>
      </c>
      <c r="I622" s="103">
        <v>0</v>
      </c>
      <c r="J622" s="46" t="str">
        <f>UPPER(TEXT(F622,"mmm")) &amp; " - " &amp; UPPER(TEXT(G622,"mmm"))</f>
        <v>JUL - APR</v>
      </c>
      <c r="K622" s="46" t="s">
        <v>882</v>
      </c>
      <c r="L622" s="28" t="s">
        <v>895</v>
      </c>
      <c r="M622" s="32" t="str">
        <f t="shared" si="19"/>
        <v>No</v>
      </c>
      <c r="N622" s="32">
        <f>G622 - F622</f>
        <v>258</v>
      </c>
      <c r="O622">
        <v>1</v>
      </c>
    </row>
    <row r="623" spans="1:15" x14ac:dyDescent="0.3">
      <c r="A623" s="26" t="s">
        <v>973</v>
      </c>
      <c r="B623" s="28" t="s">
        <v>66</v>
      </c>
      <c r="C623" s="28" t="s">
        <v>12</v>
      </c>
      <c r="D623" s="37" t="s">
        <v>1200</v>
      </c>
      <c r="E623" s="37" t="s">
        <v>1201</v>
      </c>
      <c r="F623" s="74">
        <v>44308</v>
      </c>
      <c r="G623" s="74">
        <v>44347</v>
      </c>
      <c r="H623" s="32" t="str">
        <f t="shared" si="18"/>
        <v>EVEN</v>
      </c>
      <c r="I623" s="103">
        <v>0</v>
      </c>
      <c r="J623" s="46" t="str">
        <f>UPPER(TEXT(F623,"mmm")) &amp; " - " &amp; UPPER(TEXT(G623,"mmm"))</f>
        <v>APR - MAY</v>
      </c>
      <c r="K623" s="46" t="s">
        <v>882</v>
      </c>
      <c r="L623" s="99" t="s">
        <v>3895</v>
      </c>
      <c r="M623" s="32" t="str">
        <f t="shared" si="19"/>
        <v>No</v>
      </c>
      <c r="N623" s="32">
        <f>G623 - F623</f>
        <v>39</v>
      </c>
      <c r="O623">
        <v>1</v>
      </c>
    </row>
    <row r="624" spans="1:15" x14ac:dyDescent="0.3">
      <c r="A624" s="26" t="s">
        <v>63</v>
      </c>
      <c r="B624" s="28" t="s">
        <v>66</v>
      </c>
      <c r="C624" s="28" t="s">
        <v>12</v>
      </c>
      <c r="D624" s="37" t="s">
        <v>1195</v>
      </c>
      <c r="E624" s="37" t="s">
        <v>408</v>
      </c>
      <c r="F624" s="74">
        <v>44049</v>
      </c>
      <c r="G624" s="74">
        <v>44228</v>
      </c>
      <c r="H624" s="32" t="str">
        <f t="shared" si="18"/>
        <v>ODD</v>
      </c>
      <c r="I624" s="103">
        <v>0</v>
      </c>
      <c r="J624" s="46" t="str">
        <f>UPPER(TEXT(F624,"mmm")) &amp; " - " &amp; UPPER(TEXT(G624,"mmm"))</f>
        <v>AUG - FEB</v>
      </c>
      <c r="K624" s="46" t="s">
        <v>882</v>
      </c>
      <c r="L624" s="28" t="s">
        <v>895</v>
      </c>
      <c r="M624" s="32" t="str">
        <f t="shared" si="19"/>
        <v>No</v>
      </c>
      <c r="N624" s="32">
        <f>G624 - F624</f>
        <v>179</v>
      </c>
      <c r="O624">
        <v>1</v>
      </c>
    </row>
    <row r="625" spans="1:15" ht="27" x14ac:dyDescent="0.3">
      <c r="A625" s="26" t="s">
        <v>53</v>
      </c>
      <c r="B625" s="28" t="s">
        <v>66</v>
      </c>
      <c r="C625" s="28" t="s">
        <v>12</v>
      </c>
      <c r="D625" s="37" t="s">
        <v>1195</v>
      </c>
      <c r="E625" s="37" t="s">
        <v>1202</v>
      </c>
      <c r="F625" s="74">
        <v>44049</v>
      </c>
      <c r="G625" s="74">
        <v>44228</v>
      </c>
      <c r="H625" s="32" t="str">
        <f t="shared" si="18"/>
        <v>ODD</v>
      </c>
      <c r="I625" s="103">
        <v>0</v>
      </c>
      <c r="J625" s="46" t="str">
        <f>UPPER(TEXT(F625,"mmm")) &amp; " - " &amp; UPPER(TEXT(G625,"mmm"))</f>
        <v>AUG - FEB</v>
      </c>
      <c r="K625" s="46" t="s">
        <v>882</v>
      </c>
      <c r="L625" s="28" t="s">
        <v>895</v>
      </c>
      <c r="M625" s="32" t="str">
        <f t="shared" si="19"/>
        <v>No</v>
      </c>
      <c r="N625" s="32">
        <f>G625 - F625</f>
        <v>179</v>
      </c>
      <c r="O625">
        <v>1</v>
      </c>
    </row>
    <row r="626" spans="1:15" ht="27" x14ac:dyDescent="0.3">
      <c r="A626" s="26" t="s">
        <v>1203</v>
      </c>
      <c r="B626" s="28" t="s">
        <v>78</v>
      </c>
      <c r="C626" s="28" t="s">
        <v>12</v>
      </c>
      <c r="D626" s="37" t="s">
        <v>1195</v>
      </c>
      <c r="E626" s="37" t="s">
        <v>1204</v>
      </c>
      <c r="F626" s="74">
        <v>44043</v>
      </c>
      <c r="G626" s="74">
        <v>44301</v>
      </c>
      <c r="H626" s="32" t="str">
        <f t="shared" si="18"/>
        <v>ODD</v>
      </c>
      <c r="I626" s="103">
        <v>0</v>
      </c>
      <c r="J626" s="46" t="str">
        <f>UPPER(TEXT(F626,"mmm")) &amp; " - " &amp; UPPER(TEXT(G626,"mmm"))</f>
        <v>JUL - APR</v>
      </c>
      <c r="K626" s="46" t="s">
        <v>882</v>
      </c>
      <c r="L626" s="28" t="s">
        <v>895</v>
      </c>
      <c r="M626" s="32" t="str">
        <f t="shared" si="19"/>
        <v>No</v>
      </c>
      <c r="N626" s="32">
        <f>G626 - F626</f>
        <v>258</v>
      </c>
      <c r="O626">
        <v>1</v>
      </c>
    </row>
    <row r="627" spans="1:15" ht="40.200000000000003" x14ac:dyDescent="0.3">
      <c r="A627" s="26" t="s">
        <v>623</v>
      </c>
      <c r="B627" s="28" t="s">
        <v>66</v>
      </c>
      <c r="C627" s="28" t="s">
        <v>12</v>
      </c>
      <c r="D627" s="37" t="s">
        <v>1205</v>
      </c>
      <c r="E627" s="37" t="s">
        <v>1206</v>
      </c>
      <c r="F627" s="74">
        <v>44235</v>
      </c>
      <c r="G627" s="74">
        <v>44342</v>
      </c>
      <c r="H627" s="32" t="str">
        <f t="shared" si="18"/>
        <v>EVEN</v>
      </c>
      <c r="I627" s="103">
        <v>3000</v>
      </c>
      <c r="J627" s="46" t="str">
        <f>UPPER(TEXT(F627,"mmm")) &amp; " - " &amp; UPPER(TEXT(G627,"mmm"))</f>
        <v>FEB - MAY</v>
      </c>
      <c r="K627" s="46" t="s">
        <v>882</v>
      </c>
      <c r="L627" s="99" t="s">
        <v>3895</v>
      </c>
      <c r="M627" s="32" t="str">
        <f t="shared" si="19"/>
        <v>Yes</v>
      </c>
      <c r="N627" s="32">
        <f>G627 - F627</f>
        <v>107</v>
      </c>
      <c r="O627">
        <v>1</v>
      </c>
    </row>
    <row r="628" spans="1:15" ht="27" x14ac:dyDescent="0.3">
      <c r="A628" s="26" t="s">
        <v>1207</v>
      </c>
      <c r="B628" s="28" t="s">
        <v>66</v>
      </c>
      <c r="C628" s="28" t="s">
        <v>12</v>
      </c>
      <c r="D628" s="37" t="s">
        <v>903</v>
      </c>
      <c r="E628" s="37" t="s">
        <v>1208</v>
      </c>
      <c r="F628" s="74">
        <v>44116</v>
      </c>
      <c r="G628" s="74">
        <v>44239</v>
      </c>
      <c r="H628" s="32" t="str">
        <f t="shared" si="18"/>
        <v>ODD</v>
      </c>
      <c r="I628" s="103">
        <v>0</v>
      </c>
      <c r="J628" s="46" t="str">
        <f>UPPER(TEXT(F628,"mmm")) &amp; " - " &amp; UPPER(TEXT(G628,"mmm"))</f>
        <v>OCT - FEB</v>
      </c>
      <c r="K628" s="46" t="s">
        <v>882</v>
      </c>
      <c r="L628" s="99" t="s">
        <v>3895</v>
      </c>
      <c r="M628" s="32" t="str">
        <f t="shared" si="19"/>
        <v>No</v>
      </c>
      <c r="N628" s="32">
        <f>G628 - F628</f>
        <v>123</v>
      </c>
      <c r="O628">
        <v>1</v>
      </c>
    </row>
    <row r="629" spans="1:15" x14ac:dyDescent="0.3">
      <c r="A629" s="26" t="s">
        <v>1209</v>
      </c>
      <c r="B629" s="28" t="s">
        <v>78</v>
      </c>
      <c r="C629" s="28" t="s">
        <v>12</v>
      </c>
      <c r="D629" s="37" t="s">
        <v>1210</v>
      </c>
      <c r="E629" s="37" t="s">
        <v>1211</v>
      </c>
      <c r="F629" s="74">
        <v>44273</v>
      </c>
      <c r="G629" s="74">
        <v>44334</v>
      </c>
      <c r="H629" s="32" t="str">
        <f t="shared" si="18"/>
        <v>EVEN</v>
      </c>
      <c r="I629" s="103">
        <v>8000</v>
      </c>
      <c r="J629" s="46" t="str">
        <f>UPPER(TEXT(F629,"mmm")) &amp; " - " &amp; UPPER(TEXT(G629,"mmm"))</f>
        <v>MAR - MAY</v>
      </c>
      <c r="K629" s="46" t="s">
        <v>882</v>
      </c>
      <c r="L629" s="99" t="s">
        <v>3895</v>
      </c>
      <c r="M629" s="32" t="str">
        <f t="shared" si="19"/>
        <v>Yes</v>
      </c>
      <c r="N629" s="32">
        <f>G629 - F629</f>
        <v>61</v>
      </c>
      <c r="O629">
        <v>1</v>
      </c>
    </row>
    <row r="630" spans="1:15" ht="27" x14ac:dyDescent="0.3">
      <c r="A630" s="26" t="s">
        <v>1212</v>
      </c>
      <c r="B630" s="28" t="s">
        <v>11</v>
      </c>
      <c r="C630" s="28" t="s">
        <v>12</v>
      </c>
      <c r="D630" s="37" t="s">
        <v>1213</v>
      </c>
      <c r="E630" s="37" t="s">
        <v>1171</v>
      </c>
      <c r="F630" s="74">
        <v>44202</v>
      </c>
      <c r="G630" s="74">
        <v>44300</v>
      </c>
      <c r="H630" s="32" t="str">
        <f t="shared" si="18"/>
        <v>EVEN</v>
      </c>
      <c r="I630" s="103">
        <v>0</v>
      </c>
      <c r="J630" s="46" t="str">
        <f>UPPER(TEXT(F630,"mmm")) &amp; " - " &amp; UPPER(TEXT(G630,"mmm"))</f>
        <v>JAN - APR</v>
      </c>
      <c r="K630" s="46" t="s">
        <v>882</v>
      </c>
      <c r="L630" s="28" t="s">
        <v>895</v>
      </c>
      <c r="M630" s="32" t="str">
        <f t="shared" si="19"/>
        <v>No</v>
      </c>
      <c r="N630" s="32">
        <f>G630 - F630</f>
        <v>98</v>
      </c>
      <c r="O630">
        <v>1</v>
      </c>
    </row>
    <row r="631" spans="1:15" ht="27" x14ac:dyDescent="0.3">
      <c r="A631" s="26" t="s">
        <v>1214</v>
      </c>
      <c r="B631" s="28" t="s">
        <v>78</v>
      </c>
      <c r="C631" s="28" t="s">
        <v>12</v>
      </c>
      <c r="D631" s="37" t="s">
        <v>1215</v>
      </c>
      <c r="E631" s="37" t="s">
        <v>1216</v>
      </c>
      <c r="F631" s="74">
        <v>44043</v>
      </c>
      <c r="G631" s="74">
        <v>44301</v>
      </c>
      <c r="H631" s="32" t="str">
        <f t="shared" si="18"/>
        <v>ODD</v>
      </c>
      <c r="I631" s="103">
        <v>0</v>
      </c>
      <c r="J631" s="46" t="str">
        <f>UPPER(TEXT(F631,"mmm")) &amp; " - " &amp; UPPER(TEXT(G631,"mmm"))</f>
        <v>JUL - APR</v>
      </c>
      <c r="K631" s="46" t="s">
        <v>882</v>
      </c>
      <c r="L631" s="28" t="s">
        <v>895</v>
      </c>
      <c r="M631" s="32" t="str">
        <f t="shared" si="19"/>
        <v>No</v>
      </c>
      <c r="N631" s="32">
        <f>G631 - F631</f>
        <v>258</v>
      </c>
      <c r="O631">
        <v>1</v>
      </c>
    </row>
    <row r="632" spans="1:15" ht="27" x14ac:dyDescent="0.3">
      <c r="A632" s="26" t="s">
        <v>973</v>
      </c>
      <c r="B632" s="28" t="s">
        <v>66</v>
      </c>
      <c r="C632" s="28" t="s">
        <v>12</v>
      </c>
      <c r="D632" s="37" t="s">
        <v>728</v>
      </c>
      <c r="E632" s="37" t="s">
        <v>1217</v>
      </c>
      <c r="F632" s="74">
        <v>44277</v>
      </c>
      <c r="G632" s="74">
        <v>44347</v>
      </c>
      <c r="H632" s="32" t="str">
        <f t="shared" si="18"/>
        <v>EVEN</v>
      </c>
      <c r="I632" s="103">
        <v>0</v>
      </c>
      <c r="J632" s="46" t="str">
        <f>UPPER(TEXT(F632,"mmm")) &amp; " - " &amp; UPPER(TEXT(G632,"mmm"))</f>
        <v>MAR - MAY</v>
      </c>
      <c r="K632" s="46" t="s">
        <v>882</v>
      </c>
      <c r="L632" s="28" t="s">
        <v>895</v>
      </c>
      <c r="M632" s="32" t="str">
        <f t="shared" si="19"/>
        <v>No</v>
      </c>
      <c r="N632" s="32">
        <f>G632 - F632</f>
        <v>70</v>
      </c>
      <c r="O632">
        <v>1</v>
      </c>
    </row>
    <row r="633" spans="1:15" ht="27" x14ac:dyDescent="0.3">
      <c r="A633" s="26" t="s">
        <v>1218</v>
      </c>
      <c r="B633" s="28" t="s">
        <v>66</v>
      </c>
      <c r="C633" s="28" t="s">
        <v>12</v>
      </c>
      <c r="D633" s="37" t="s">
        <v>728</v>
      </c>
      <c r="E633" s="37" t="s">
        <v>1217</v>
      </c>
      <c r="F633" s="74">
        <v>44277</v>
      </c>
      <c r="G633" s="74">
        <v>44347</v>
      </c>
      <c r="H633" s="32" t="str">
        <f t="shared" si="18"/>
        <v>EVEN</v>
      </c>
      <c r="I633" s="103">
        <v>0</v>
      </c>
      <c r="J633" s="46" t="str">
        <f>UPPER(TEXT(F633,"mmm")) &amp; " - " &amp; UPPER(TEXT(G633,"mmm"))</f>
        <v>MAR - MAY</v>
      </c>
      <c r="K633" s="46" t="s">
        <v>882</v>
      </c>
      <c r="L633" s="28" t="s">
        <v>895</v>
      </c>
      <c r="M633" s="32" t="str">
        <f t="shared" si="19"/>
        <v>No</v>
      </c>
      <c r="N633" s="32">
        <f>G633 - F633</f>
        <v>70</v>
      </c>
      <c r="O633">
        <v>1</v>
      </c>
    </row>
    <row r="634" spans="1:15" ht="27" x14ac:dyDescent="0.3">
      <c r="A634" s="26" t="s">
        <v>1219</v>
      </c>
      <c r="B634" s="28" t="s">
        <v>66</v>
      </c>
      <c r="C634" s="28" t="s">
        <v>12</v>
      </c>
      <c r="D634" s="37" t="s">
        <v>728</v>
      </c>
      <c r="E634" s="37" t="s">
        <v>1217</v>
      </c>
      <c r="F634" s="74">
        <v>44277</v>
      </c>
      <c r="G634" s="74">
        <v>44347</v>
      </c>
      <c r="H634" s="32" t="str">
        <f t="shared" si="18"/>
        <v>EVEN</v>
      </c>
      <c r="I634" s="103">
        <v>0</v>
      </c>
      <c r="J634" s="46" t="str">
        <f>UPPER(TEXT(F634,"mmm")) &amp; " - " &amp; UPPER(TEXT(G634,"mmm"))</f>
        <v>MAR - MAY</v>
      </c>
      <c r="K634" s="46" t="s">
        <v>882</v>
      </c>
      <c r="L634" s="28" t="s">
        <v>895</v>
      </c>
      <c r="M634" s="32" t="str">
        <f t="shared" si="19"/>
        <v>No</v>
      </c>
      <c r="N634" s="32">
        <f>G634 - F634</f>
        <v>70</v>
      </c>
      <c r="O634">
        <v>1</v>
      </c>
    </row>
    <row r="635" spans="1:15" ht="27" x14ac:dyDescent="0.3">
      <c r="A635" s="26" t="s">
        <v>980</v>
      </c>
      <c r="B635" s="28" t="s">
        <v>66</v>
      </c>
      <c r="C635" s="28" t="s">
        <v>12</v>
      </c>
      <c r="D635" s="37" t="s">
        <v>1220</v>
      </c>
      <c r="E635" s="37" t="s">
        <v>1221</v>
      </c>
      <c r="F635" s="74">
        <v>44245</v>
      </c>
      <c r="G635" s="74">
        <v>44347</v>
      </c>
      <c r="H635" s="32" t="str">
        <f t="shared" si="18"/>
        <v>EVEN</v>
      </c>
      <c r="I635" s="103">
        <v>0</v>
      </c>
      <c r="J635" s="46" t="str">
        <f>UPPER(TEXT(F635,"mmm")) &amp; " - " &amp; UPPER(TEXT(G635,"mmm"))</f>
        <v>FEB - MAY</v>
      </c>
      <c r="K635" s="46" t="s">
        <v>882</v>
      </c>
      <c r="L635" s="99" t="s">
        <v>3895</v>
      </c>
      <c r="M635" s="32" t="str">
        <f t="shared" si="19"/>
        <v>No</v>
      </c>
      <c r="N635" s="32">
        <f>G635 - F635</f>
        <v>102</v>
      </c>
      <c r="O635">
        <v>1</v>
      </c>
    </row>
    <row r="636" spans="1:15" ht="27" x14ac:dyDescent="0.3">
      <c r="A636" s="26" t="s">
        <v>1222</v>
      </c>
      <c r="B636" s="28" t="s">
        <v>11</v>
      </c>
      <c r="C636" s="28" t="s">
        <v>12</v>
      </c>
      <c r="D636" s="37" t="s">
        <v>1223</v>
      </c>
      <c r="E636" s="37" t="s">
        <v>1224</v>
      </c>
      <c r="F636" s="74">
        <v>44140</v>
      </c>
      <c r="G636" s="74">
        <v>44170</v>
      </c>
      <c r="H636" s="32" t="str">
        <f t="shared" si="18"/>
        <v>ODD</v>
      </c>
      <c r="I636" s="103">
        <v>0</v>
      </c>
      <c r="J636" s="46" t="str">
        <f>UPPER(TEXT(F636,"mmm")) &amp; " - " &amp; UPPER(TEXT(G636,"mmm"))</f>
        <v>NOV - DEC</v>
      </c>
      <c r="K636" s="46" t="s">
        <v>882</v>
      </c>
      <c r="L636" s="99" t="s">
        <v>3895</v>
      </c>
      <c r="M636" s="32" t="str">
        <f t="shared" si="19"/>
        <v>No</v>
      </c>
      <c r="N636" s="32">
        <f>G636 - F636</f>
        <v>30</v>
      </c>
      <c r="O636">
        <v>1</v>
      </c>
    </row>
    <row r="637" spans="1:15" ht="27" x14ac:dyDescent="0.3">
      <c r="A637" s="26" t="s">
        <v>1075</v>
      </c>
      <c r="B637" s="28" t="s">
        <v>66</v>
      </c>
      <c r="C637" s="28" t="s">
        <v>12</v>
      </c>
      <c r="D637" s="37" t="s">
        <v>1225</v>
      </c>
      <c r="E637" s="37" t="s">
        <v>1226</v>
      </c>
      <c r="F637" s="74">
        <v>43995</v>
      </c>
      <c r="G637" s="74">
        <v>44347</v>
      </c>
      <c r="H637" s="32" t="str">
        <f t="shared" si="18"/>
        <v>EVEN</v>
      </c>
      <c r="I637" s="103">
        <v>0</v>
      </c>
      <c r="J637" s="46" t="str">
        <f>UPPER(TEXT(F637,"mmm")) &amp; " - " &amp; UPPER(TEXT(G637,"mmm"))</f>
        <v>JUN - MAY</v>
      </c>
      <c r="K637" s="46" t="s">
        <v>882</v>
      </c>
      <c r="L637" s="28" t="s">
        <v>895</v>
      </c>
      <c r="M637" s="32" t="str">
        <f t="shared" si="19"/>
        <v>No</v>
      </c>
      <c r="N637" s="32">
        <f>G637 - F637</f>
        <v>352</v>
      </c>
      <c r="O637">
        <v>1</v>
      </c>
    </row>
    <row r="638" spans="1:15" x14ac:dyDescent="0.3">
      <c r="A638" s="26" t="s">
        <v>1227</v>
      </c>
      <c r="B638" s="28" t="s">
        <v>66</v>
      </c>
      <c r="C638" s="28" t="s">
        <v>12</v>
      </c>
      <c r="D638" s="37" t="s">
        <v>121</v>
      </c>
      <c r="E638" s="37" t="s">
        <v>1228</v>
      </c>
      <c r="F638" s="74">
        <v>44247</v>
      </c>
      <c r="G638" s="74">
        <v>44362</v>
      </c>
      <c r="H638" s="32" t="str">
        <f t="shared" si="18"/>
        <v>EVEN</v>
      </c>
      <c r="I638" s="103">
        <v>0</v>
      </c>
      <c r="J638" s="46" t="str">
        <f>UPPER(TEXT(F638,"mmm")) &amp; " - " &amp; UPPER(TEXT(G638,"mmm"))</f>
        <v>FEB - JUN</v>
      </c>
      <c r="K638" s="46" t="s">
        <v>882</v>
      </c>
      <c r="L638" s="28" t="s">
        <v>895</v>
      </c>
      <c r="M638" s="32" t="str">
        <f t="shared" si="19"/>
        <v>No</v>
      </c>
      <c r="N638" s="32">
        <f>G638 - F638</f>
        <v>115</v>
      </c>
      <c r="O638">
        <v>1</v>
      </c>
    </row>
    <row r="639" spans="1:15" x14ac:dyDescent="0.3">
      <c r="A639" s="26" t="s">
        <v>1229</v>
      </c>
      <c r="B639" s="28" t="s">
        <v>66</v>
      </c>
      <c r="C639" s="28" t="s">
        <v>12</v>
      </c>
      <c r="D639" s="37" t="s">
        <v>1230</v>
      </c>
      <c r="E639" s="37" t="s">
        <v>1231</v>
      </c>
      <c r="F639" s="74">
        <v>44247</v>
      </c>
      <c r="G639" s="74">
        <v>44362</v>
      </c>
      <c r="H639" s="32" t="str">
        <f t="shared" ref="H639:H702" si="20">IF(AND(F639&gt;=DATE(2020,7,15), F639&lt;=DATE(2020,12,31)), "ODD", "EVEN")</f>
        <v>EVEN</v>
      </c>
      <c r="I639" s="103">
        <v>0</v>
      </c>
      <c r="J639" s="46" t="str">
        <f>UPPER(TEXT(F639,"mmm")) &amp; " - " &amp; UPPER(TEXT(G639,"mmm"))</f>
        <v>FEB - JUN</v>
      </c>
      <c r="K639" s="46" t="s">
        <v>882</v>
      </c>
      <c r="L639" s="28" t="s">
        <v>895</v>
      </c>
      <c r="M639" s="32" t="str">
        <f t="shared" si="19"/>
        <v>No</v>
      </c>
      <c r="N639" s="32">
        <f>G639 - F639</f>
        <v>115</v>
      </c>
      <c r="O639">
        <v>1</v>
      </c>
    </row>
    <row r="640" spans="1:15" x14ac:dyDescent="0.3">
      <c r="A640" s="26" t="s">
        <v>1023</v>
      </c>
      <c r="B640" s="28" t="s">
        <v>66</v>
      </c>
      <c r="C640" s="28" t="s">
        <v>12</v>
      </c>
      <c r="D640" s="37" t="s">
        <v>121</v>
      </c>
      <c r="E640" s="37" t="s">
        <v>1228</v>
      </c>
      <c r="F640" s="74">
        <v>44247</v>
      </c>
      <c r="G640" s="74">
        <v>44362</v>
      </c>
      <c r="H640" s="32" t="str">
        <f t="shared" si="20"/>
        <v>EVEN</v>
      </c>
      <c r="I640" s="103">
        <v>0</v>
      </c>
      <c r="J640" s="46" t="str">
        <f>UPPER(TEXT(F640,"mmm")) &amp; " - " &amp; UPPER(TEXT(G640,"mmm"))</f>
        <v>FEB - JUN</v>
      </c>
      <c r="K640" s="46" t="s">
        <v>882</v>
      </c>
      <c r="L640" s="28" t="s">
        <v>895</v>
      </c>
      <c r="M640" s="32" t="str">
        <f t="shared" si="19"/>
        <v>No</v>
      </c>
      <c r="N640" s="32">
        <f>G640 - F640</f>
        <v>115</v>
      </c>
      <c r="O640">
        <v>1</v>
      </c>
    </row>
    <row r="641" spans="1:15" ht="27" x14ac:dyDescent="0.3">
      <c r="A641" s="26" t="s">
        <v>1232</v>
      </c>
      <c r="B641" s="28" t="s">
        <v>11</v>
      </c>
      <c r="C641" s="28" t="s">
        <v>12</v>
      </c>
      <c r="D641" s="37" t="s">
        <v>1233</v>
      </c>
      <c r="E641" s="37" t="s">
        <v>1234</v>
      </c>
      <c r="F641" s="74">
        <v>44228</v>
      </c>
      <c r="G641" s="74">
        <v>44316</v>
      </c>
      <c r="H641" s="32" t="str">
        <f t="shared" si="20"/>
        <v>EVEN</v>
      </c>
      <c r="I641" s="103">
        <v>0</v>
      </c>
      <c r="J641" s="46" t="str">
        <f>UPPER(TEXT(F641,"mmm")) &amp; " - " &amp; UPPER(TEXT(G641,"mmm"))</f>
        <v>FEB - APR</v>
      </c>
      <c r="K641" s="46" t="s">
        <v>882</v>
      </c>
      <c r="L641" s="28" t="s">
        <v>895</v>
      </c>
      <c r="M641" s="32" t="str">
        <f t="shared" si="19"/>
        <v>No</v>
      </c>
      <c r="N641" s="32">
        <f>G641 - F641</f>
        <v>88</v>
      </c>
      <c r="O641">
        <v>1</v>
      </c>
    </row>
    <row r="642" spans="1:15" ht="27" x14ac:dyDescent="0.3">
      <c r="A642" s="26" t="s">
        <v>1235</v>
      </c>
      <c r="B642" s="28" t="s">
        <v>70</v>
      </c>
      <c r="C642" s="28" t="s">
        <v>12</v>
      </c>
      <c r="D642" s="37" t="s">
        <v>1035</v>
      </c>
      <c r="E642" s="37" t="s">
        <v>1236</v>
      </c>
      <c r="F642" s="74">
        <v>44134</v>
      </c>
      <c r="G642" s="74">
        <v>44200</v>
      </c>
      <c r="H642" s="32" t="str">
        <f t="shared" si="20"/>
        <v>ODD</v>
      </c>
      <c r="I642" s="103">
        <v>1000</v>
      </c>
      <c r="J642" s="46" t="str">
        <f>UPPER(TEXT(F642,"mmm")) &amp; " - " &amp; UPPER(TEXT(G642,"mmm"))</f>
        <v>OCT - JAN</v>
      </c>
      <c r="K642" s="46" t="s">
        <v>882</v>
      </c>
      <c r="L642" s="28" t="s">
        <v>895</v>
      </c>
      <c r="M642" s="32" t="str">
        <f t="shared" ref="M642:M705" si="21">IF(I642 &gt; 0, "Yes", "No")</f>
        <v>Yes</v>
      </c>
      <c r="N642" s="32">
        <f>G642 - F642</f>
        <v>66</v>
      </c>
      <c r="O642">
        <v>1</v>
      </c>
    </row>
    <row r="643" spans="1:15" ht="27" x14ac:dyDescent="0.3">
      <c r="A643" s="26" t="s">
        <v>1237</v>
      </c>
      <c r="B643" s="28" t="s">
        <v>78</v>
      </c>
      <c r="C643" s="28" t="s">
        <v>12</v>
      </c>
      <c r="D643" s="37" t="s">
        <v>1238</v>
      </c>
      <c r="E643" s="37" t="s">
        <v>1239</v>
      </c>
      <c r="F643" s="74">
        <v>44013</v>
      </c>
      <c r="G643" s="74">
        <v>44316</v>
      </c>
      <c r="H643" s="32" t="str">
        <f t="shared" si="20"/>
        <v>EVEN</v>
      </c>
      <c r="I643" s="103">
        <v>0</v>
      </c>
      <c r="J643" s="46" t="str">
        <f>UPPER(TEXT(F643,"mmm")) &amp; " - " &amp; UPPER(TEXT(G643,"mmm"))</f>
        <v>JUL - APR</v>
      </c>
      <c r="K643" s="46" t="s">
        <v>882</v>
      </c>
      <c r="L643" s="28" t="s">
        <v>895</v>
      </c>
      <c r="M643" s="32" t="str">
        <f t="shared" si="21"/>
        <v>No</v>
      </c>
      <c r="N643" s="32">
        <f>G643 - F643</f>
        <v>303</v>
      </c>
      <c r="O643">
        <v>1</v>
      </c>
    </row>
    <row r="644" spans="1:15" ht="40.200000000000003" x14ac:dyDescent="0.3">
      <c r="A644" s="26" t="s">
        <v>375</v>
      </c>
      <c r="B644" s="28" t="s">
        <v>66</v>
      </c>
      <c r="C644" s="28" t="s">
        <v>12</v>
      </c>
      <c r="D644" s="37" t="s">
        <v>1240</v>
      </c>
      <c r="E644" s="37" t="s">
        <v>1241</v>
      </c>
      <c r="F644" s="74">
        <v>44256</v>
      </c>
      <c r="G644" s="74">
        <v>44347</v>
      </c>
      <c r="H644" s="32" t="str">
        <f t="shared" si="20"/>
        <v>EVEN</v>
      </c>
      <c r="I644" s="103">
        <v>0</v>
      </c>
      <c r="J644" s="46" t="str">
        <f>UPPER(TEXT(F644,"mmm")) &amp; " - " &amp; UPPER(TEXT(G644,"mmm"))</f>
        <v>MAR - MAY</v>
      </c>
      <c r="K644" s="46" t="s">
        <v>882</v>
      </c>
      <c r="L644" s="28" t="s">
        <v>895</v>
      </c>
      <c r="M644" s="32" t="str">
        <f t="shared" si="21"/>
        <v>No</v>
      </c>
      <c r="N644" s="32">
        <f>G644 - F644</f>
        <v>91</v>
      </c>
      <c r="O644">
        <v>1</v>
      </c>
    </row>
    <row r="645" spans="1:15" ht="40.200000000000003" x14ac:dyDescent="0.3">
      <c r="A645" s="26" t="s">
        <v>1048</v>
      </c>
      <c r="B645" s="28" t="s">
        <v>66</v>
      </c>
      <c r="C645" s="28" t="s">
        <v>12</v>
      </c>
      <c r="D645" s="37" t="s">
        <v>1240</v>
      </c>
      <c r="E645" s="37" t="s">
        <v>1242</v>
      </c>
      <c r="F645" s="74">
        <v>44256</v>
      </c>
      <c r="G645" s="74">
        <v>44347</v>
      </c>
      <c r="H645" s="32" t="str">
        <f t="shared" si="20"/>
        <v>EVEN</v>
      </c>
      <c r="I645" s="103">
        <v>0</v>
      </c>
      <c r="J645" s="46" t="str">
        <f>UPPER(TEXT(F645,"mmm")) &amp; " - " &amp; UPPER(TEXT(G645,"mmm"))</f>
        <v>MAR - MAY</v>
      </c>
      <c r="K645" s="46" t="s">
        <v>882</v>
      </c>
      <c r="L645" s="28" t="s">
        <v>895</v>
      </c>
      <c r="M645" s="32" t="str">
        <f t="shared" si="21"/>
        <v>No</v>
      </c>
      <c r="N645" s="32">
        <f>G645 - F645</f>
        <v>91</v>
      </c>
      <c r="O645">
        <v>1</v>
      </c>
    </row>
    <row r="646" spans="1:15" ht="40.200000000000003" x14ac:dyDescent="0.3">
      <c r="A646" s="26" t="s">
        <v>602</v>
      </c>
      <c r="B646" s="28" t="s">
        <v>66</v>
      </c>
      <c r="C646" s="28" t="s">
        <v>12</v>
      </c>
      <c r="D646" s="37" t="s">
        <v>1243</v>
      </c>
      <c r="E646" s="37" t="s">
        <v>1244</v>
      </c>
      <c r="F646" s="74">
        <v>44256</v>
      </c>
      <c r="G646" s="74">
        <v>44347</v>
      </c>
      <c r="H646" s="32" t="str">
        <f t="shared" si="20"/>
        <v>EVEN</v>
      </c>
      <c r="I646" s="103">
        <v>0</v>
      </c>
      <c r="J646" s="46" t="str">
        <f>UPPER(TEXT(F646,"mmm")) &amp; " - " &amp; UPPER(TEXT(G646,"mmm"))</f>
        <v>MAR - MAY</v>
      </c>
      <c r="K646" s="46" t="s">
        <v>882</v>
      </c>
      <c r="L646" s="28" t="s">
        <v>895</v>
      </c>
      <c r="M646" s="32" t="str">
        <f t="shared" si="21"/>
        <v>No</v>
      </c>
      <c r="N646" s="32">
        <f>G646 - F646</f>
        <v>91</v>
      </c>
      <c r="O646">
        <v>1</v>
      </c>
    </row>
    <row r="647" spans="1:15" ht="27" x14ac:dyDescent="0.3">
      <c r="A647" s="26" t="s">
        <v>382</v>
      </c>
      <c r="B647" s="28" t="s">
        <v>66</v>
      </c>
      <c r="C647" s="28" t="s">
        <v>12</v>
      </c>
      <c r="D647" s="37" t="s">
        <v>1245</v>
      </c>
      <c r="E647" s="37" t="s">
        <v>1246</v>
      </c>
      <c r="F647" s="74">
        <v>44228</v>
      </c>
      <c r="G647" s="74">
        <v>44286</v>
      </c>
      <c r="H647" s="32" t="str">
        <f t="shared" si="20"/>
        <v>EVEN</v>
      </c>
      <c r="I647" s="103">
        <v>0</v>
      </c>
      <c r="J647" s="46" t="str">
        <f>UPPER(TEXT(F647,"mmm")) &amp; " - " &amp; UPPER(TEXT(G647,"mmm"))</f>
        <v>FEB - MAR</v>
      </c>
      <c r="K647" s="46" t="s">
        <v>882</v>
      </c>
      <c r="L647" s="99" t="s">
        <v>3895</v>
      </c>
      <c r="M647" s="32" t="str">
        <f t="shared" si="21"/>
        <v>No</v>
      </c>
      <c r="N647" s="32">
        <f>G647 - F647</f>
        <v>58</v>
      </c>
      <c r="O647">
        <v>1</v>
      </c>
    </row>
    <row r="648" spans="1:15" x14ac:dyDescent="0.3">
      <c r="A648" s="26" t="s">
        <v>370</v>
      </c>
      <c r="B648" s="28" t="s">
        <v>66</v>
      </c>
      <c r="C648" s="28" t="s">
        <v>12</v>
      </c>
      <c r="D648" s="37" t="s">
        <v>1247</v>
      </c>
      <c r="E648" s="37" t="s">
        <v>1248</v>
      </c>
      <c r="F648" s="74">
        <v>44258</v>
      </c>
      <c r="G648" s="74">
        <v>44347</v>
      </c>
      <c r="H648" s="32" t="str">
        <f t="shared" si="20"/>
        <v>EVEN</v>
      </c>
      <c r="I648" s="103">
        <v>0</v>
      </c>
      <c r="J648" s="46" t="str">
        <f>UPPER(TEXT(F648,"mmm")) &amp; " - " &amp; UPPER(TEXT(G648,"mmm"))</f>
        <v>MAR - MAY</v>
      </c>
      <c r="K648" s="46" t="s">
        <v>882</v>
      </c>
      <c r="L648" s="99" t="s">
        <v>3895</v>
      </c>
      <c r="M648" s="32" t="str">
        <f t="shared" si="21"/>
        <v>No</v>
      </c>
      <c r="N648" s="32">
        <f>G648 - F648</f>
        <v>89</v>
      </c>
      <c r="O648">
        <v>1</v>
      </c>
    </row>
    <row r="649" spans="1:15" x14ac:dyDescent="0.3">
      <c r="A649" s="26" t="s">
        <v>852</v>
      </c>
      <c r="B649" s="28" t="s">
        <v>66</v>
      </c>
      <c r="C649" s="28" t="s">
        <v>12</v>
      </c>
      <c r="D649" s="37" t="s">
        <v>1249</v>
      </c>
      <c r="E649" s="37" t="s">
        <v>1250</v>
      </c>
      <c r="F649" s="74">
        <v>44151</v>
      </c>
      <c r="G649" s="74">
        <v>44332</v>
      </c>
      <c r="H649" s="32" t="str">
        <f t="shared" si="20"/>
        <v>ODD</v>
      </c>
      <c r="I649" s="103">
        <v>0</v>
      </c>
      <c r="J649" s="46" t="str">
        <f>UPPER(TEXT(F649,"mmm")) &amp; " - " &amp; UPPER(TEXT(G649,"mmm"))</f>
        <v>NOV - MAY</v>
      </c>
      <c r="K649" s="46" t="s">
        <v>882</v>
      </c>
      <c r="L649" s="99" t="s">
        <v>3895</v>
      </c>
      <c r="M649" s="32" t="str">
        <f t="shared" si="21"/>
        <v>No</v>
      </c>
      <c r="N649" s="32">
        <f>G649 - F649</f>
        <v>181</v>
      </c>
      <c r="O649">
        <v>1</v>
      </c>
    </row>
    <row r="650" spans="1:15" ht="27" x14ac:dyDescent="0.3">
      <c r="A650" s="26" t="s">
        <v>657</v>
      </c>
      <c r="B650" s="28" t="s">
        <v>66</v>
      </c>
      <c r="C650" s="28" t="s">
        <v>12</v>
      </c>
      <c r="D650" s="37" t="s">
        <v>1251</v>
      </c>
      <c r="E650" s="37" t="s">
        <v>1252</v>
      </c>
      <c r="F650" s="74">
        <v>44013</v>
      </c>
      <c r="G650" s="74">
        <v>44316</v>
      </c>
      <c r="H650" s="32" t="str">
        <f t="shared" si="20"/>
        <v>EVEN</v>
      </c>
      <c r="I650" s="103">
        <v>0</v>
      </c>
      <c r="J650" s="46" t="str">
        <f>UPPER(TEXT(F650,"mmm")) &amp; " - " &amp; UPPER(TEXT(G650,"mmm"))</f>
        <v>JUL - APR</v>
      </c>
      <c r="K650" s="46" t="s">
        <v>882</v>
      </c>
      <c r="L650" s="28" t="s">
        <v>895</v>
      </c>
      <c r="M650" s="32" t="str">
        <f t="shared" si="21"/>
        <v>No</v>
      </c>
      <c r="N650" s="32">
        <f>G650 - F650</f>
        <v>303</v>
      </c>
      <c r="O650">
        <v>1</v>
      </c>
    </row>
    <row r="651" spans="1:15" x14ac:dyDescent="0.3">
      <c r="A651" s="26" t="s">
        <v>1253</v>
      </c>
      <c r="B651" s="28" t="s">
        <v>78</v>
      </c>
      <c r="C651" s="28" t="s">
        <v>12</v>
      </c>
      <c r="D651" s="37" t="s">
        <v>1254</v>
      </c>
      <c r="E651" s="37" t="s">
        <v>1255</v>
      </c>
      <c r="F651" s="74">
        <v>44044</v>
      </c>
      <c r="G651" s="74">
        <v>44108</v>
      </c>
      <c r="H651" s="32" t="str">
        <f t="shared" si="20"/>
        <v>ODD</v>
      </c>
      <c r="I651" s="103">
        <v>0</v>
      </c>
      <c r="J651" s="46" t="str">
        <f>UPPER(TEXT(F651,"mmm")) &amp; " - " &amp; UPPER(TEXT(G651,"mmm"))</f>
        <v>AUG - OCT</v>
      </c>
      <c r="K651" s="46" t="s">
        <v>882</v>
      </c>
      <c r="L651" s="99" t="s">
        <v>3895</v>
      </c>
      <c r="M651" s="32" t="str">
        <f t="shared" si="21"/>
        <v>No</v>
      </c>
      <c r="N651" s="32">
        <f>G651 - F651</f>
        <v>64</v>
      </c>
      <c r="O651">
        <v>1</v>
      </c>
    </row>
    <row r="652" spans="1:15" ht="27" x14ac:dyDescent="0.3">
      <c r="A652" s="26" t="s">
        <v>1256</v>
      </c>
      <c r="B652" s="28" t="s">
        <v>11</v>
      </c>
      <c r="C652" s="28" t="s">
        <v>12</v>
      </c>
      <c r="D652" s="37" t="s">
        <v>1257</v>
      </c>
      <c r="E652" s="37" t="s">
        <v>1258</v>
      </c>
      <c r="F652" s="74">
        <v>44302</v>
      </c>
      <c r="G652" s="74">
        <v>44363</v>
      </c>
      <c r="H652" s="32" t="str">
        <f t="shared" si="20"/>
        <v>EVEN</v>
      </c>
      <c r="I652" s="103">
        <v>0</v>
      </c>
      <c r="J652" s="46" t="str">
        <f>UPPER(TEXT(F652,"mmm")) &amp; " - " &amp; UPPER(TEXT(G652,"mmm"))</f>
        <v>APR - JUN</v>
      </c>
      <c r="K652" s="46" t="s">
        <v>882</v>
      </c>
      <c r="L652" s="99" t="s">
        <v>3895</v>
      </c>
      <c r="M652" s="32" t="str">
        <f t="shared" si="21"/>
        <v>No</v>
      </c>
      <c r="N652" s="32">
        <f>G652 - F652</f>
        <v>61</v>
      </c>
      <c r="O652">
        <v>1</v>
      </c>
    </row>
    <row r="653" spans="1:15" ht="27" x14ac:dyDescent="0.3">
      <c r="A653" s="26" t="s">
        <v>1259</v>
      </c>
      <c r="B653" s="28" t="s">
        <v>66</v>
      </c>
      <c r="C653" s="28" t="s">
        <v>12</v>
      </c>
      <c r="D653" s="37" t="s">
        <v>728</v>
      </c>
      <c r="E653" s="37" t="s">
        <v>1260</v>
      </c>
      <c r="F653" s="74">
        <v>44277</v>
      </c>
      <c r="G653" s="74">
        <v>44347</v>
      </c>
      <c r="H653" s="32" t="str">
        <f t="shared" si="20"/>
        <v>EVEN</v>
      </c>
      <c r="I653" s="103">
        <v>0</v>
      </c>
      <c r="J653" s="46" t="str">
        <f>UPPER(TEXT(F653,"mmm")) &amp; " - " &amp; UPPER(TEXT(G653,"mmm"))</f>
        <v>MAR - MAY</v>
      </c>
      <c r="K653" s="46" t="s">
        <v>882</v>
      </c>
      <c r="L653" s="28" t="s">
        <v>895</v>
      </c>
      <c r="M653" s="32" t="str">
        <f t="shared" si="21"/>
        <v>No</v>
      </c>
      <c r="N653" s="32">
        <f>G653 - F653</f>
        <v>70</v>
      </c>
      <c r="O653">
        <v>1</v>
      </c>
    </row>
    <row r="654" spans="1:15" ht="27" x14ac:dyDescent="0.3">
      <c r="A654" s="26" t="s">
        <v>54</v>
      </c>
      <c r="B654" s="28" t="s">
        <v>66</v>
      </c>
      <c r="C654" s="28" t="s">
        <v>12</v>
      </c>
      <c r="D654" s="37" t="s">
        <v>728</v>
      </c>
      <c r="E654" s="37" t="s">
        <v>1260</v>
      </c>
      <c r="F654" s="74">
        <v>44277</v>
      </c>
      <c r="G654" s="74">
        <v>44347</v>
      </c>
      <c r="H654" s="32" t="str">
        <f t="shared" si="20"/>
        <v>EVEN</v>
      </c>
      <c r="I654" s="103">
        <v>0</v>
      </c>
      <c r="J654" s="46" t="str">
        <f>UPPER(TEXT(F654,"mmm")) &amp; " - " &amp; UPPER(TEXT(G654,"mmm"))</f>
        <v>MAR - MAY</v>
      </c>
      <c r="K654" s="46" t="s">
        <v>882</v>
      </c>
      <c r="L654" s="28" t="s">
        <v>895</v>
      </c>
      <c r="M654" s="32" t="str">
        <f t="shared" si="21"/>
        <v>No</v>
      </c>
      <c r="N654" s="32">
        <f>G654 - F654</f>
        <v>70</v>
      </c>
      <c r="O654">
        <v>1</v>
      </c>
    </row>
    <row r="655" spans="1:15" ht="27" x14ac:dyDescent="0.3">
      <c r="A655" s="26" t="s">
        <v>1261</v>
      </c>
      <c r="B655" s="28" t="s">
        <v>66</v>
      </c>
      <c r="C655" s="28" t="s">
        <v>12</v>
      </c>
      <c r="D655" s="37" t="s">
        <v>1262</v>
      </c>
      <c r="E655" s="37" t="s">
        <v>1263</v>
      </c>
      <c r="F655" s="74">
        <v>44136</v>
      </c>
      <c r="G655" s="74">
        <v>44316</v>
      </c>
      <c r="H655" s="32" t="str">
        <f t="shared" si="20"/>
        <v>ODD</v>
      </c>
      <c r="I655" s="103">
        <v>0</v>
      </c>
      <c r="J655" s="46" t="str">
        <f>UPPER(TEXT(F655,"mmm")) &amp; " - " &amp; UPPER(TEXT(G655,"mmm"))</f>
        <v>NOV - APR</v>
      </c>
      <c r="K655" s="46" t="s">
        <v>882</v>
      </c>
      <c r="L655" s="28" t="s">
        <v>895</v>
      </c>
      <c r="M655" s="32" t="str">
        <f t="shared" si="21"/>
        <v>No</v>
      </c>
      <c r="N655" s="32">
        <f>G655 - F655</f>
        <v>180</v>
      </c>
      <c r="O655">
        <v>1</v>
      </c>
    </row>
    <row r="656" spans="1:15" ht="40.200000000000003" x14ac:dyDescent="0.3">
      <c r="A656" s="26" t="s">
        <v>1040</v>
      </c>
      <c r="B656" s="28" t="s">
        <v>66</v>
      </c>
      <c r="C656" s="28" t="s">
        <v>12</v>
      </c>
      <c r="D656" s="37" t="s">
        <v>1262</v>
      </c>
      <c r="E656" s="37" t="s">
        <v>1264</v>
      </c>
      <c r="F656" s="74">
        <v>44136</v>
      </c>
      <c r="G656" s="74">
        <v>44316</v>
      </c>
      <c r="H656" s="32" t="str">
        <f t="shared" si="20"/>
        <v>ODD</v>
      </c>
      <c r="I656" s="103">
        <v>0</v>
      </c>
      <c r="J656" s="46" t="str">
        <f>UPPER(TEXT(F656,"mmm")) &amp; " - " &amp; UPPER(TEXT(G656,"mmm"))</f>
        <v>NOV - APR</v>
      </c>
      <c r="K656" s="46" t="s">
        <v>882</v>
      </c>
      <c r="L656" s="28" t="s">
        <v>895</v>
      </c>
      <c r="M656" s="32" t="str">
        <f t="shared" si="21"/>
        <v>No</v>
      </c>
      <c r="N656" s="32">
        <f>G656 - F656</f>
        <v>180</v>
      </c>
      <c r="O656">
        <v>1</v>
      </c>
    </row>
    <row r="657" spans="1:15" ht="27" x14ac:dyDescent="0.3">
      <c r="A657" s="26" t="s">
        <v>1265</v>
      </c>
      <c r="B657" s="28" t="s">
        <v>78</v>
      </c>
      <c r="C657" s="28" t="s">
        <v>12</v>
      </c>
      <c r="D657" s="37" t="s">
        <v>1266</v>
      </c>
      <c r="E657" s="37" t="s">
        <v>1267</v>
      </c>
      <c r="F657" s="74">
        <v>44013</v>
      </c>
      <c r="G657" s="74">
        <v>44316</v>
      </c>
      <c r="H657" s="32" t="str">
        <f t="shared" si="20"/>
        <v>EVEN</v>
      </c>
      <c r="I657" s="103">
        <v>0</v>
      </c>
      <c r="J657" s="46" t="str">
        <f>UPPER(TEXT(F657,"mmm")) &amp; " - " &amp; UPPER(TEXT(G657,"mmm"))</f>
        <v>JUL - APR</v>
      </c>
      <c r="K657" s="46" t="s">
        <v>882</v>
      </c>
      <c r="L657" s="28" t="s">
        <v>895</v>
      </c>
      <c r="M657" s="32" t="str">
        <f t="shared" si="21"/>
        <v>No</v>
      </c>
      <c r="N657" s="32">
        <f>G657 - F657</f>
        <v>303</v>
      </c>
      <c r="O657">
        <v>1</v>
      </c>
    </row>
    <row r="658" spans="1:15" ht="27" x14ac:dyDescent="0.3">
      <c r="A658" s="26" t="s">
        <v>1268</v>
      </c>
      <c r="B658" s="28" t="s">
        <v>78</v>
      </c>
      <c r="C658" s="28" t="s">
        <v>12</v>
      </c>
      <c r="D658" s="37" t="s">
        <v>964</v>
      </c>
      <c r="E658" s="37" t="s">
        <v>1269</v>
      </c>
      <c r="F658" s="74">
        <v>44214</v>
      </c>
      <c r="G658" s="74">
        <v>44259</v>
      </c>
      <c r="H658" s="32" t="str">
        <f t="shared" si="20"/>
        <v>EVEN</v>
      </c>
      <c r="I658" s="103">
        <v>0</v>
      </c>
      <c r="J658" s="46" t="str">
        <f>UPPER(TEXT(F658,"mmm")) &amp; " - " &amp; UPPER(TEXT(G658,"mmm"))</f>
        <v>JAN - MAR</v>
      </c>
      <c r="K658" s="46" t="s">
        <v>882</v>
      </c>
      <c r="L658" s="28" t="s">
        <v>895</v>
      </c>
      <c r="M658" s="32" t="str">
        <f t="shared" si="21"/>
        <v>No</v>
      </c>
      <c r="N658" s="32">
        <f>G658 - F658</f>
        <v>45</v>
      </c>
      <c r="O658">
        <v>1</v>
      </c>
    </row>
    <row r="659" spans="1:15" x14ac:dyDescent="0.3">
      <c r="A659" s="26" t="s">
        <v>1073</v>
      </c>
      <c r="B659" s="28" t="s">
        <v>66</v>
      </c>
      <c r="C659" s="28" t="s">
        <v>12</v>
      </c>
      <c r="D659" s="37" t="s">
        <v>109</v>
      </c>
      <c r="E659" s="37" t="s">
        <v>1074</v>
      </c>
      <c r="F659" s="74">
        <v>44256</v>
      </c>
      <c r="G659" s="74">
        <v>44325</v>
      </c>
      <c r="H659" s="32" t="str">
        <f t="shared" si="20"/>
        <v>EVEN</v>
      </c>
      <c r="I659" s="103">
        <v>0</v>
      </c>
      <c r="J659" s="46" t="str">
        <f>UPPER(TEXT(F659,"mmm")) &amp; " - " &amp; UPPER(TEXT(G659,"mmm"))</f>
        <v>MAR - MAY</v>
      </c>
      <c r="K659" s="46" t="s">
        <v>882</v>
      </c>
      <c r="L659" s="99" t="s">
        <v>3895</v>
      </c>
      <c r="M659" s="32" t="str">
        <f t="shared" si="21"/>
        <v>No</v>
      </c>
      <c r="N659" s="32">
        <f>G659 - F659</f>
        <v>69</v>
      </c>
      <c r="O659">
        <v>1</v>
      </c>
    </row>
    <row r="660" spans="1:15" x14ac:dyDescent="0.3">
      <c r="A660" s="26" t="s">
        <v>608</v>
      </c>
      <c r="B660" s="28" t="s">
        <v>66</v>
      </c>
      <c r="C660" s="28" t="s">
        <v>12</v>
      </c>
      <c r="D660" s="37" t="s">
        <v>1270</v>
      </c>
      <c r="E660" s="37" t="s">
        <v>1271</v>
      </c>
      <c r="F660" s="74">
        <v>44166</v>
      </c>
      <c r="G660" s="74">
        <v>44347</v>
      </c>
      <c r="H660" s="32" t="str">
        <f t="shared" si="20"/>
        <v>ODD</v>
      </c>
      <c r="I660" s="103">
        <v>8000</v>
      </c>
      <c r="J660" s="46" t="str">
        <f>UPPER(TEXT(F660,"mmm")) &amp; " - " &amp; UPPER(TEXT(G660,"mmm"))</f>
        <v>DEC - MAY</v>
      </c>
      <c r="K660" s="46" t="s">
        <v>882</v>
      </c>
      <c r="L660" s="99" t="s">
        <v>3895</v>
      </c>
      <c r="M660" s="32" t="str">
        <f t="shared" si="21"/>
        <v>Yes</v>
      </c>
      <c r="N660" s="32">
        <f>G660 - F660</f>
        <v>181</v>
      </c>
      <c r="O660">
        <v>1</v>
      </c>
    </row>
    <row r="661" spans="1:15" x14ac:dyDescent="0.3">
      <c r="A661" s="26" t="s">
        <v>1272</v>
      </c>
      <c r="B661" s="28" t="s">
        <v>78</v>
      </c>
      <c r="C661" s="28" t="s">
        <v>12</v>
      </c>
      <c r="D661" s="37" t="s">
        <v>1262</v>
      </c>
      <c r="E661" s="37" t="s">
        <v>718</v>
      </c>
      <c r="F661" s="74">
        <v>44136</v>
      </c>
      <c r="G661" s="74">
        <v>44316</v>
      </c>
      <c r="H661" s="32" t="str">
        <f t="shared" si="20"/>
        <v>ODD</v>
      </c>
      <c r="I661" s="103">
        <v>0</v>
      </c>
      <c r="J661" s="46" t="str">
        <f>UPPER(TEXT(F661,"mmm")) &amp; " - " &amp; UPPER(TEXT(G661,"mmm"))</f>
        <v>NOV - APR</v>
      </c>
      <c r="K661" s="46" t="s">
        <v>882</v>
      </c>
      <c r="L661" s="28" t="s">
        <v>895</v>
      </c>
      <c r="M661" s="32" t="str">
        <f t="shared" si="21"/>
        <v>No</v>
      </c>
      <c r="N661" s="32">
        <f>G661 - F661</f>
        <v>180</v>
      </c>
      <c r="O661">
        <v>1</v>
      </c>
    </row>
    <row r="662" spans="1:15" ht="40.200000000000003" x14ac:dyDescent="0.3">
      <c r="A662" s="26" t="s">
        <v>1273</v>
      </c>
      <c r="B662" s="28" t="s">
        <v>78</v>
      </c>
      <c r="C662" s="28" t="s">
        <v>12</v>
      </c>
      <c r="D662" s="37" t="s">
        <v>1163</v>
      </c>
      <c r="E662" s="37" t="s">
        <v>1274</v>
      </c>
      <c r="F662" s="74">
        <v>44242</v>
      </c>
      <c r="G662" s="74">
        <v>44316</v>
      </c>
      <c r="H662" s="32" t="str">
        <f t="shared" si="20"/>
        <v>EVEN</v>
      </c>
      <c r="I662" s="103">
        <v>0</v>
      </c>
      <c r="J662" s="46" t="str">
        <f>UPPER(TEXT(F662,"mmm")) &amp; " - " &amp; UPPER(TEXT(G662,"mmm"))</f>
        <v>FEB - APR</v>
      </c>
      <c r="K662" s="46" t="s">
        <v>882</v>
      </c>
      <c r="L662" s="99" t="s">
        <v>3895</v>
      </c>
      <c r="M662" s="32" t="str">
        <f t="shared" si="21"/>
        <v>No</v>
      </c>
      <c r="N662" s="32">
        <f>G662 - F662</f>
        <v>74</v>
      </c>
      <c r="O662">
        <v>1</v>
      </c>
    </row>
    <row r="663" spans="1:15" ht="27" x14ac:dyDescent="0.3">
      <c r="A663" s="26" t="s">
        <v>944</v>
      </c>
      <c r="B663" s="28" t="s">
        <v>66</v>
      </c>
      <c r="C663" s="28" t="s">
        <v>12</v>
      </c>
      <c r="D663" s="37" t="s">
        <v>728</v>
      </c>
      <c r="E663" s="37" t="s">
        <v>1217</v>
      </c>
      <c r="F663" s="74">
        <v>44277</v>
      </c>
      <c r="G663" s="74">
        <v>44347</v>
      </c>
      <c r="H663" s="32" t="str">
        <f t="shared" si="20"/>
        <v>EVEN</v>
      </c>
      <c r="I663" s="103">
        <v>0</v>
      </c>
      <c r="J663" s="46" t="str">
        <f>UPPER(TEXT(F663,"mmm")) &amp; " - " &amp; UPPER(TEXT(G663,"mmm"))</f>
        <v>MAR - MAY</v>
      </c>
      <c r="K663" s="46" t="s">
        <v>882</v>
      </c>
      <c r="L663" s="28" t="s">
        <v>895</v>
      </c>
      <c r="M663" s="32" t="str">
        <f t="shared" si="21"/>
        <v>No</v>
      </c>
      <c r="N663" s="32">
        <f>G663 - F663</f>
        <v>70</v>
      </c>
      <c r="O663">
        <v>1</v>
      </c>
    </row>
    <row r="664" spans="1:15" ht="40.200000000000003" x14ac:dyDescent="0.3">
      <c r="A664" s="26" t="s">
        <v>1203</v>
      </c>
      <c r="B664" s="28" t="s">
        <v>78</v>
      </c>
      <c r="C664" s="28" t="s">
        <v>12</v>
      </c>
      <c r="D664" s="37" t="s">
        <v>1275</v>
      </c>
      <c r="E664" s="37" t="s">
        <v>1201</v>
      </c>
      <c r="F664" s="74">
        <v>44305</v>
      </c>
      <c r="G664" s="74">
        <v>44335</v>
      </c>
      <c r="H664" s="32" t="str">
        <f t="shared" si="20"/>
        <v>EVEN</v>
      </c>
      <c r="I664" s="103">
        <v>0</v>
      </c>
      <c r="J664" s="46" t="str">
        <f>UPPER(TEXT(F664,"mmm")) &amp; " - " &amp; UPPER(TEXT(G664,"mmm"))</f>
        <v>APR - MAY</v>
      </c>
      <c r="K664" s="46" t="s">
        <v>882</v>
      </c>
      <c r="L664" s="99" t="s">
        <v>3895</v>
      </c>
      <c r="M664" s="32" t="str">
        <f t="shared" si="21"/>
        <v>No</v>
      </c>
      <c r="N664" s="32">
        <f>G664 - F664</f>
        <v>30</v>
      </c>
      <c r="O664">
        <v>1</v>
      </c>
    </row>
    <row r="665" spans="1:15" ht="40.200000000000003" x14ac:dyDescent="0.3">
      <c r="A665" s="26" t="s">
        <v>969</v>
      </c>
      <c r="B665" s="28" t="s">
        <v>78</v>
      </c>
      <c r="C665" s="28" t="s">
        <v>12</v>
      </c>
      <c r="D665" s="37" t="s">
        <v>1276</v>
      </c>
      <c r="E665" s="37" t="s">
        <v>1277</v>
      </c>
      <c r="F665" s="74">
        <v>44305</v>
      </c>
      <c r="G665" s="74">
        <v>44396</v>
      </c>
      <c r="H665" s="32" t="str">
        <f t="shared" si="20"/>
        <v>EVEN</v>
      </c>
      <c r="I665" s="103">
        <v>0</v>
      </c>
      <c r="J665" s="46" t="str">
        <f>UPPER(TEXT(F665,"mmm")) &amp; " - " &amp; UPPER(TEXT(G665,"mmm"))</f>
        <v>APR - JUL</v>
      </c>
      <c r="K665" s="46" t="s">
        <v>882</v>
      </c>
      <c r="L665" s="99" t="s">
        <v>3895</v>
      </c>
      <c r="M665" s="32" t="str">
        <f t="shared" si="21"/>
        <v>No</v>
      </c>
      <c r="N665" s="32">
        <f>G665 - F665</f>
        <v>91</v>
      </c>
      <c r="O665">
        <v>1</v>
      </c>
    </row>
    <row r="666" spans="1:15" ht="40.200000000000003" x14ac:dyDescent="0.3">
      <c r="A666" s="26" t="s">
        <v>1278</v>
      </c>
      <c r="B666" s="28" t="s">
        <v>78</v>
      </c>
      <c r="C666" s="28" t="s">
        <v>12</v>
      </c>
      <c r="D666" s="37" t="s">
        <v>1279</v>
      </c>
      <c r="E666" s="37" t="s">
        <v>1201</v>
      </c>
      <c r="F666" s="74">
        <v>44305</v>
      </c>
      <c r="G666" s="74">
        <v>44335</v>
      </c>
      <c r="H666" s="32" t="str">
        <f t="shared" si="20"/>
        <v>EVEN</v>
      </c>
      <c r="I666" s="103">
        <v>0</v>
      </c>
      <c r="J666" s="46" t="str">
        <f>UPPER(TEXT(F666,"mmm")) &amp; " - " &amp; UPPER(TEXT(G666,"mmm"))</f>
        <v>APR - MAY</v>
      </c>
      <c r="K666" s="46" t="s">
        <v>882</v>
      </c>
      <c r="L666" s="99" t="s">
        <v>3895</v>
      </c>
      <c r="M666" s="32" t="str">
        <f t="shared" si="21"/>
        <v>No</v>
      </c>
      <c r="N666" s="32">
        <f>G666 - F666</f>
        <v>30</v>
      </c>
      <c r="O666">
        <v>1</v>
      </c>
    </row>
    <row r="667" spans="1:15" ht="27" x14ac:dyDescent="0.3">
      <c r="A667" s="26" t="s">
        <v>1280</v>
      </c>
      <c r="B667" s="28" t="s">
        <v>78</v>
      </c>
      <c r="C667" s="28" t="s">
        <v>12</v>
      </c>
      <c r="D667" s="37" t="s">
        <v>25</v>
      </c>
      <c r="E667" s="37" t="s">
        <v>1281</v>
      </c>
      <c r="F667" s="74">
        <v>44045</v>
      </c>
      <c r="G667" s="74">
        <v>44108</v>
      </c>
      <c r="H667" s="32" t="str">
        <f t="shared" si="20"/>
        <v>ODD</v>
      </c>
      <c r="I667" s="103">
        <v>0</v>
      </c>
      <c r="J667" s="46" t="str">
        <f>UPPER(TEXT(F667,"mmm")) &amp; " - " &amp; UPPER(TEXT(G667,"mmm"))</f>
        <v>AUG - OCT</v>
      </c>
      <c r="K667" s="46" t="s">
        <v>882</v>
      </c>
      <c r="L667" s="28" t="s">
        <v>895</v>
      </c>
      <c r="M667" s="32" t="str">
        <f t="shared" si="21"/>
        <v>No</v>
      </c>
      <c r="N667" s="32">
        <f>G667 - F667</f>
        <v>63</v>
      </c>
      <c r="O667">
        <v>1</v>
      </c>
    </row>
    <row r="668" spans="1:15" ht="40.200000000000003" x14ac:dyDescent="0.3">
      <c r="A668" s="26" t="s">
        <v>898</v>
      </c>
      <c r="B668" s="28" t="s">
        <v>78</v>
      </c>
      <c r="C668" s="28" t="s">
        <v>12</v>
      </c>
      <c r="D668" s="37" t="s">
        <v>1282</v>
      </c>
      <c r="E668" s="37" t="s">
        <v>1283</v>
      </c>
      <c r="F668" s="74">
        <v>44136</v>
      </c>
      <c r="G668" s="74">
        <v>44316</v>
      </c>
      <c r="H668" s="32" t="str">
        <f t="shared" si="20"/>
        <v>ODD</v>
      </c>
      <c r="I668" s="103">
        <v>0</v>
      </c>
      <c r="J668" s="46" t="str">
        <f>UPPER(TEXT(F668,"mmm")) &amp; " - " &amp; UPPER(TEXT(G668,"mmm"))</f>
        <v>NOV - APR</v>
      </c>
      <c r="K668" s="46" t="s">
        <v>882</v>
      </c>
      <c r="L668" s="28" t="s">
        <v>895</v>
      </c>
      <c r="M668" s="32" t="str">
        <f t="shared" si="21"/>
        <v>No</v>
      </c>
      <c r="N668" s="32">
        <f>G668 - F668</f>
        <v>180</v>
      </c>
      <c r="O668">
        <v>1</v>
      </c>
    </row>
    <row r="669" spans="1:15" ht="27" x14ac:dyDescent="0.3">
      <c r="A669" s="26" t="s">
        <v>28</v>
      </c>
      <c r="B669" s="28" t="s">
        <v>66</v>
      </c>
      <c r="C669" s="28" t="s">
        <v>12</v>
      </c>
      <c r="D669" s="37" t="s">
        <v>1284</v>
      </c>
      <c r="E669" s="37" t="s">
        <v>1285</v>
      </c>
      <c r="F669" s="74">
        <v>44356</v>
      </c>
      <c r="G669" s="74">
        <v>44376</v>
      </c>
      <c r="H669" s="32" t="str">
        <f t="shared" si="20"/>
        <v>EVEN</v>
      </c>
      <c r="I669" s="103">
        <v>0</v>
      </c>
      <c r="J669" s="46" t="str">
        <f>UPPER(TEXT(F669,"mmm")) &amp; " - " &amp; UPPER(TEXT(G669,"mmm"))</f>
        <v>JUN - JUN</v>
      </c>
      <c r="K669" s="46" t="s">
        <v>882</v>
      </c>
      <c r="L669" s="99" t="s">
        <v>3895</v>
      </c>
      <c r="M669" s="32" t="str">
        <f t="shared" si="21"/>
        <v>No</v>
      </c>
      <c r="N669" s="32">
        <f>G669 - F669</f>
        <v>20</v>
      </c>
      <c r="O669">
        <v>1</v>
      </c>
    </row>
    <row r="670" spans="1:15" x14ac:dyDescent="0.3">
      <c r="A670" s="26" t="s">
        <v>1286</v>
      </c>
      <c r="B670" s="28" t="s">
        <v>78</v>
      </c>
      <c r="C670" s="28" t="s">
        <v>12</v>
      </c>
      <c r="D670" s="37" t="s">
        <v>1287</v>
      </c>
      <c r="E670" s="37" t="s">
        <v>1277</v>
      </c>
      <c r="F670" s="74">
        <v>44124</v>
      </c>
      <c r="G670" s="74">
        <v>44296</v>
      </c>
      <c r="H670" s="32" t="str">
        <f t="shared" si="20"/>
        <v>ODD</v>
      </c>
      <c r="I670" s="103">
        <v>0</v>
      </c>
      <c r="J670" s="46" t="str">
        <f>UPPER(TEXT(F670,"mmm")) &amp; " - " &amp; UPPER(TEXT(G670,"mmm"))</f>
        <v>OCT - APR</v>
      </c>
      <c r="K670" s="46" t="s">
        <v>882</v>
      </c>
      <c r="L670" s="99" t="s">
        <v>3895</v>
      </c>
      <c r="M670" s="32" t="str">
        <f t="shared" si="21"/>
        <v>No</v>
      </c>
      <c r="N670" s="32">
        <f>G670 - F670</f>
        <v>172</v>
      </c>
      <c r="O670">
        <v>1</v>
      </c>
    </row>
    <row r="671" spans="1:15" x14ac:dyDescent="0.3">
      <c r="A671" s="26" t="s">
        <v>1278</v>
      </c>
      <c r="B671" s="28" t="s">
        <v>78</v>
      </c>
      <c r="C671" s="28" t="s">
        <v>12</v>
      </c>
      <c r="D671" s="37" t="s">
        <v>1287</v>
      </c>
      <c r="E671" s="37" t="s">
        <v>1201</v>
      </c>
      <c r="F671" s="74">
        <v>44124</v>
      </c>
      <c r="G671" s="74">
        <v>44296</v>
      </c>
      <c r="H671" s="32" t="str">
        <f t="shared" si="20"/>
        <v>ODD</v>
      </c>
      <c r="I671" s="103">
        <v>0</v>
      </c>
      <c r="J671" s="46" t="str">
        <f>UPPER(TEXT(F671,"mmm")) &amp; " - " &amp; UPPER(TEXT(G671,"mmm"))</f>
        <v>OCT - APR</v>
      </c>
      <c r="K671" s="46" t="s">
        <v>882</v>
      </c>
      <c r="L671" s="99" t="s">
        <v>3895</v>
      </c>
      <c r="M671" s="32" t="str">
        <f t="shared" si="21"/>
        <v>No</v>
      </c>
      <c r="N671" s="32">
        <f>G671 - F671</f>
        <v>172</v>
      </c>
      <c r="O671">
        <v>1</v>
      </c>
    </row>
    <row r="672" spans="1:15" x14ac:dyDescent="0.3">
      <c r="A672" s="26" t="s">
        <v>1288</v>
      </c>
      <c r="B672" s="28" t="s">
        <v>78</v>
      </c>
      <c r="C672" s="28" t="s">
        <v>12</v>
      </c>
      <c r="D672" s="37" t="s">
        <v>25</v>
      </c>
      <c r="E672" s="37" t="s">
        <v>1289</v>
      </c>
      <c r="F672" s="74">
        <v>44270</v>
      </c>
      <c r="G672" s="74">
        <v>44359</v>
      </c>
      <c r="H672" s="32" t="str">
        <f t="shared" si="20"/>
        <v>EVEN</v>
      </c>
      <c r="I672" s="103">
        <v>0</v>
      </c>
      <c r="J672" s="46" t="str">
        <f>UPPER(TEXT(F672,"mmm")) &amp; " - " &amp; UPPER(TEXT(G672,"mmm"))</f>
        <v>MAR - JUN</v>
      </c>
      <c r="K672" s="46" t="s">
        <v>882</v>
      </c>
      <c r="L672" s="28" t="s">
        <v>895</v>
      </c>
      <c r="M672" s="32" t="str">
        <f t="shared" si="21"/>
        <v>No</v>
      </c>
      <c r="N672" s="32">
        <f>G672 - F672</f>
        <v>89</v>
      </c>
      <c r="O672">
        <v>1</v>
      </c>
    </row>
    <row r="673" spans="1:15" x14ac:dyDescent="0.3">
      <c r="A673" s="26" t="s">
        <v>1024</v>
      </c>
      <c r="B673" s="28" t="s">
        <v>78</v>
      </c>
      <c r="C673" s="28" t="s">
        <v>12</v>
      </c>
      <c r="D673" s="37" t="s">
        <v>1290</v>
      </c>
      <c r="E673" s="37" t="s">
        <v>1289</v>
      </c>
      <c r="F673" s="74">
        <v>44270</v>
      </c>
      <c r="G673" s="74">
        <v>44359</v>
      </c>
      <c r="H673" s="32" t="str">
        <f t="shared" si="20"/>
        <v>EVEN</v>
      </c>
      <c r="I673" s="103">
        <v>0</v>
      </c>
      <c r="J673" s="46" t="str">
        <f>UPPER(TEXT(F673,"mmm")) &amp; " - " &amp; UPPER(TEXT(G673,"mmm"))</f>
        <v>MAR - JUN</v>
      </c>
      <c r="K673" s="46" t="s">
        <v>882</v>
      </c>
      <c r="L673" s="28" t="s">
        <v>895</v>
      </c>
      <c r="M673" s="32" t="str">
        <f t="shared" si="21"/>
        <v>No</v>
      </c>
      <c r="N673" s="32">
        <f>G673 - F673</f>
        <v>89</v>
      </c>
      <c r="O673">
        <v>1</v>
      </c>
    </row>
    <row r="674" spans="1:15" x14ac:dyDescent="0.3">
      <c r="A674" s="26" t="s">
        <v>1291</v>
      </c>
      <c r="B674" s="28" t="s">
        <v>78</v>
      </c>
      <c r="C674" s="28" t="s">
        <v>12</v>
      </c>
      <c r="D674" s="37" t="s">
        <v>25</v>
      </c>
      <c r="E674" s="37" t="s">
        <v>1289</v>
      </c>
      <c r="F674" s="74">
        <v>44301</v>
      </c>
      <c r="G674" s="74">
        <v>44359</v>
      </c>
      <c r="H674" s="32" t="str">
        <f t="shared" si="20"/>
        <v>EVEN</v>
      </c>
      <c r="I674" s="103">
        <v>0</v>
      </c>
      <c r="J674" s="46" t="str">
        <f>UPPER(TEXT(F674,"mmm")) &amp; " - " &amp; UPPER(TEXT(G674,"mmm"))</f>
        <v>APR - JUN</v>
      </c>
      <c r="K674" s="46" t="s">
        <v>882</v>
      </c>
      <c r="L674" s="28" t="s">
        <v>895</v>
      </c>
      <c r="M674" s="32" t="str">
        <f t="shared" si="21"/>
        <v>No</v>
      </c>
      <c r="N674" s="32">
        <f>G674 - F674</f>
        <v>58</v>
      </c>
      <c r="O674">
        <v>1</v>
      </c>
    </row>
    <row r="675" spans="1:15" ht="27" x14ac:dyDescent="0.3">
      <c r="A675" s="26" t="s">
        <v>1177</v>
      </c>
      <c r="B675" s="28" t="s">
        <v>11</v>
      </c>
      <c r="C675" s="28" t="s">
        <v>12</v>
      </c>
      <c r="D675" s="37" t="s">
        <v>1292</v>
      </c>
      <c r="E675" s="37" t="s">
        <v>1293</v>
      </c>
      <c r="F675" s="74">
        <v>44124</v>
      </c>
      <c r="G675" s="74">
        <v>44185</v>
      </c>
      <c r="H675" s="32" t="str">
        <f t="shared" si="20"/>
        <v>ODD</v>
      </c>
      <c r="I675" s="103">
        <v>0</v>
      </c>
      <c r="J675" s="46" t="str">
        <f>UPPER(TEXT(F675,"mmm")) &amp; " - " &amp; UPPER(TEXT(G675,"mmm"))</f>
        <v>OCT - DEC</v>
      </c>
      <c r="K675" s="46" t="s">
        <v>882</v>
      </c>
      <c r="L675" s="99" t="s">
        <v>3895</v>
      </c>
      <c r="M675" s="32" t="str">
        <f t="shared" si="21"/>
        <v>No</v>
      </c>
      <c r="N675" s="32">
        <f>G675 - F675</f>
        <v>61</v>
      </c>
      <c r="O675">
        <v>1</v>
      </c>
    </row>
    <row r="676" spans="1:15" x14ac:dyDescent="0.3">
      <c r="A676" s="26" t="s">
        <v>1294</v>
      </c>
      <c r="B676" s="28" t="s">
        <v>78</v>
      </c>
      <c r="C676" s="28" t="s">
        <v>12</v>
      </c>
      <c r="D676" s="37" t="s">
        <v>1295</v>
      </c>
      <c r="E676" s="37" t="s">
        <v>1296</v>
      </c>
      <c r="F676" s="74">
        <v>44348</v>
      </c>
      <c r="G676" s="74">
        <v>44377</v>
      </c>
      <c r="H676" s="32" t="str">
        <f t="shared" si="20"/>
        <v>EVEN</v>
      </c>
      <c r="I676" s="103">
        <v>0</v>
      </c>
      <c r="J676" s="46" t="str">
        <f>UPPER(TEXT(F676,"mmm")) &amp; " - " &amp; UPPER(TEXT(G676,"mmm"))</f>
        <v>JUN - JUN</v>
      </c>
      <c r="K676" s="46" t="s">
        <v>882</v>
      </c>
      <c r="L676" s="99" t="s">
        <v>3895</v>
      </c>
      <c r="M676" s="32" t="str">
        <f t="shared" si="21"/>
        <v>No</v>
      </c>
      <c r="N676" s="32">
        <f>G676 - F676</f>
        <v>29</v>
      </c>
      <c r="O676">
        <v>1</v>
      </c>
    </row>
    <row r="677" spans="1:15" x14ac:dyDescent="0.3">
      <c r="A677" s="26" t="s">
        <v>941</v>
      </c>
      <c r="B677" s="28" t="s">
        <v>66</v>
      </c>
      <c r="C677" s="28" t="s">
        <v>12</v>
      </c>
      <c r="D677" s="37" t="s">
        <v>1297</v>
      </c>
      <c r="E677" s="37" t="s">
        <v>1298</v>
      </c>
      <c r="F677" s="74">
        <v>44229</v>
      </c>
      <c r="G677" s="74">
        <v>44318</v>
      </c>
      <c r="H677" s="32" t="str">
        <f t="shared" si="20"/>
        <v>EVEN</v>
      </c>
      <c r="I677" s="103">
        <v>0</v>
      </c>
      <c r="J677" s="46" t="str">
        <f>UPPER(TEXT(F677,"mmm")) &amp; " - " &amp; UPPER(TEXT(G677,"mmm"))</f>
        <v>FEB - MAY</v>
      </c>
      <c r="K677" s="46" t="s">
        <v>882</v>
      </c>
      <c r="L677" s="99" t="s">
        <v>3895</v>
      </c>
      <c r="M677" s="32" t="str">
        <f t="shared" si="21"/>
        <v>No</v>
      </c>
      <c r="N677" s="32">
        <f>G677 - F677</f>
        <v>89</v>
      </c>
      <c r="O677">
        <v>1</v>
      </c>
    </row>
    <row r="678" spans="1:15" x14ac:dyDescent="0.3">
      <c r="A678" s="26" t="s">
        <v>1272</v>
      </c>
      <c r="B678" s="28" t="s">
        <v>78</v>
      </c>
      <c r="C678" s="28" t="s">
        <v>12</v>
      </c>
      <c r="D678" s="37" t="s">
        <v>935</v>
      </c>
      <c r="E678" s="37" t="s">
        <v>1108</v>
      </c>
      <c r="F678" s="74">
        <v>43997</v>
      </c>
      <c r="G678" s="74">
        <v>44088</v>
      </c>
      <c r="H678" s="32" t="str">
        <f t="shared" si="20"/>
        <v>EVEN</v>
      </c>
      <c r="I678" s="103">
        <v>0</v>
      </c>
      <c r="J678" s="46" t="str">
        <f>UPPER(TEXT(F678,"mmm")) &amp; " - " &amp; UPPER(TEXT(G678,"mmm"))</f>
        <v>JUN - SEP</v>
      </c>
      <c r="K678" s="46" t="s">
        <v>882</v>
      </c>
      <c r="L678" s="28" t="s">
        <v>895</v>
      </c>
      <c r="M678" s="32" t="str">
        <f t="shared" si="21"/>
        <v>No</v>
      </c>
      <c r="N678" s="32">
        <f>G678 - F678</f>
        <v>91</v>
      </c>
      <c r="O678">
        <v>1</v>
      </c>
    </row>
    <row r="679" spans="1:15" ht="27" x14ac:dyDescent="0.3">
      <c r="A679" s="26" t="s">
        <v>1272</v>
      </c>
      <c r="B679" s="28" t="s">
        <v>78</v>
      </c>
      <c r="C679" s="28" t="s">
        <v>12</v>
      </c>
      <c r="D679" s="37" t="s">
        <v>1299</v>
      </c>
      <c r="E679" s="37" t="s">
        <v>1300</v>
      </c>
      <c r="F679" s="74">
        <v>44105</v>
      </c>
      <c r="G679" s="74">
        <v>44166</v>
      </c>
      <c r="H679" s="32" t="str">
        <f t="shared" si="20"/>
        <v>ODD</v>
      </c>
      <c r="I679" s="103">
        <v>0</v>
      </c>
      <c r="J679" s="46" t="str">
        <f>UPPER(TEXT(F679,"mmm")) &amp; " - " &amp; UPPER(TEXT(G679,"mmm"))</f>
        <v>OCT - DEC</v>
      </c>
      <c r="K679" s="46" t="s">
        <v>882</v>
      </c>
      <c r="L679" s="99" t="s">
        <v>3895</v>
      </c>
      <c r="M679" s="32" t="str">
        <f t="shared" si="21"/>
        <v>No</v>
      </c>
      <c r="N679" s="32">
        <f>G679 - F679</f>
        <v>61</v>
      </c>
      <c r="O679">
        <v>1</v>
      </c>
    </row>
    <row r="680" spans="1:15" x14ac:dyDescent="0.3">
      <c r="A680" s="26" t="s">
        <v>1158</v>
      </c>
      <c r="B680" s="28" t="s">
        <v>66</v>
      </c>
      <c r="C680" s="28" t="s">
        <v>12</v>
      </c>
      <c r="D680" s="37" t="s">
        <v>1007</v>
      </c>
      <c r="E680" s="37" t="s">
        <v>408</v>
      </c>
      <c r="F680" s="74">
        <v>44348</v>
      </c>
      <c r="G680" s="74">
        <v>44378</v>
      </c>
      <c r="H680" s="32" t="str">
        <f t="shared" si="20"/>
        <v>EVEN</v>
      </c>
      <c r="I680" s="103">
        <v>0</v>
      </c>
      <c r="J680" s="46" t="str">
        <f>UPPER(TEXT(F680,"mmm")) &amp; " - " &amp; UPPER(TEXT(G680,"mmm"))</f>
        <v>JUN - JUL</v>
      </c>
      <c r="K680" s="46" t="s">
        <v>882</v>
      </c>
      <c r="L680" s="99" t="s">
        <v>3895</v>
      </c>
      <c r="M680" s="32" t="str">
        <f t="shared" si="21"/>
        <v>No</v>
      </c>
      <c r="N680" s="32">
        <f>G680 - F680</f>
        <v>30</v>
      </c>
      <c r="O680">
        <v>1</v>
      </c>
    </row>
    <row r="681" spans="1:15" ht="27" x14ac:dyDescent="0.3">
      <c r="A681" s="26" t="s">
        <v>1158</v>
      </c>
      <c r="B681" s="28" t="s">
        <v>66</v>
      </c>
      <c r="C681" s="28" t="s">
        <v>12</v>
      </c>
      <c r="D681" s="37" t="s">
        <v>1007</v>
      </c>
      <c r="E681" s="37" t="s">
        <v>1016</v>
      </c>
      <c r="F681" s="74">
        <v>44348</v>
      </c>
      <c r="G681" s="74">
        <v>44378</v>
      </c>
      <c r="H681" s="32" t="str">
        <f t="shared" si="20"/>
        <v>EVEN</v>
      </c>
      <c r="I681" s="103">
        <v>0</v>
      </c>
      <c r="J681" s="46" t="str">
        <f>UPPER(TEXT(F681,"mmm")) &amp; " - " &amp; UPPER(TEXT(G681,"mmm"))</f>
        <v>JUN - JUL</v>
      </c>
      <c r="K681" s="46" t="s">
        <v>882</v>
      </c>
      <c r="L681" s="99" t="s">
        <v>3895</v>
      </c>
      <c r="M681" s="32" t="str">
        <f t="shared" si="21"/>
        <v>No</v>
      </c>
      <c r="N681" s="32">
        <f>G681 - F681</f>
        <v>30</v>
      </c>
      <c r="O681">
        <v>1</v>
      </c>
    </row>
    <row r="682" spans="1:15" x14ac:dyDescent="0.3">
      <c r="A682" s="26" t="s">
        <v>1229</v>
      </c>
      <c r="B682" s="28" t="s">
        <v>66</v>
      </c>
      <c r="C682" s="28" t="s">
        <v>12</v>
      </c>
      <c r="D682" s="37" t="s">
        <v>1301</v>
      </c>
      <c r="E682" s="37" t="s">
        <v>1302</v>
      </c>
      <c r="F682" s="74">
        <v>44296</v>
      </c>
      <c r="G682" s="74">
        <v>44357</v>
      </c>
      <c r="H682" s="32" t="str">
        <f t="shared" si="20"/>
        <v>EVEN</v>
      </c>
      <c r="I682" s="103">
        <v>0</v>
      </c>
      <c r="J682" s="46" t="str">
        <f>UPPER(TEXT(F682,"mmm")) &amp; " - " &amp; UPPER(TEXT(G682,"mmm"))</f>
        <v>APR - JUN</v>
      </c>
      <c r="K682" s="46" t="s">
        <v>882</v>
      </c>
      <c r="L682" s="99" t="s">
        <v>3895</v>
      </c>
      <c r="M682" s="32" t="str">
        <f t="shared" si="21"/>
        <v>No</v>
      </c>
      <c r="N682" s="32">
        <f>G682 - F682</f>
        <v>61</v>
      </c>
      <c r="O682">
        <v>1</v>
      </c>
    </row>
    <row r="683" spans="1:15" ht="40.200000000000003" x14ac:dyDescent="0.3">
      <c r="A683" s="26" t="s">
        <v>1303</v>
      </c>
      <c r="B683" s="28" t="s">
        <v>66</v>
      </c>
      <c r="C683" s="28" t="s">
        <v>12</v>
      </c>
      <c r="D683" s="37" t="s">
        <v>1007</v>
      </c>
      <c r="E683" s="37" t="s">
        <v>1304</v>
      </c>
      <c r="F683" s="74">
        <v>44348</v>
      </c>
      <c r="G683" s="74">
        <v>44378</v>
      </c>
      <c r="H683" s="32" t="str">
        <f t="shared" si="20"/>
        <v>EVEN</v>
      </c>
      <c r="I683" s="103">
        <v>0</v>
      </c>
      <c r="J683" s="46" t="str">
        <f>UPPER(TEXT(F683,"mmm")) &amp; " - " &amp; UPPER(TEXT(G683,"mmm"))</f>
        <v>JUN - JUL</v>
      </c>
      <c r="K683" s="46" t="s">
        <v>882</v>
      </c>
      <c r="L683" s="99" t="s">
        <v>3895</v>
      </c>
      <c r="M683" s="32" t="str">
        <f t="shared" si="21"/>
        <v>No</v>
      </c>
      <c r="N683" s="32">
        <f>G683 - F683</f>
        <v>30</v>
      </c>
      <c r="O683">
        <v>1</v>
      </c>
    </row>
    <row r="684" spans="1:15" x14ac:dyDescent="0.3">
      <c r="A684" s="26" t="s">
        <v>1305</v>
      </c>
      <c r="B684" s="28" t="s">
        <v>66</v>
      </c>
      <c r="C684" s="28" t="s">
        <v>12</v>
      </c>
      <c r="D684" s="37" t="s">
        <v>1005</v>
      </c>
      <c r="E684" s="37" t="s">
        <v>1306</v>
      </c>
      <c r="F684" s="74">
        <v>44317</v>
      </c>
      <c r="G684" s="74">
        <v>44348</v>
      </c>
      <c r="H684" s="32" t="str">
        <f t="shared" si="20"/>
        <v>EVEN</v>
      </c>
      <c r="I684" s="103">
        <v>0</v>
      </c>
      <c r="J684" s="46" t="str">
        <f>UPPER(TEXT(F684,"mmm")) &amp; " - " &amp; UPPER(TEXT(G684,"mmm"))</f>
        <v>MAY - JUN</v>
      </c>
      <c r="K684" s="46" t="s">
        <v>882</v>
      </c>
      <c r="L684" s="99" t="s">
        <v>3895</v>
      </c>
      <c r="M684" s="32" t="str">
        <f t="shared" si="21"/>
        <v>No</v>
      </c>
      <c r="N684" s="32">
        <f>G684 - F684</f>
        <v>31</v>
      </c>
      <c r="O684">
        <v>1</v>
      </c>
    </row>
    <row r="685" spans="1:15" ht="27" x14ac:dyDescent="0.3">
      <c r="A685" s="26" t="s">
        <v>1307</v>
      </c>
      <c r="B685" s="28" t="s">
        <v>78</v>
      </c>
      <c r="C685" s="28" t="s">
        <v>12</v>
      </c>
      <c r="D685" s="37" t="s">
        <v>1308</v>
      </c>
      <c r="E685" s="37" t="s">
        <v>1309</v>
      </c>
      <c r="F685" s="74">
        <v>44347</v>
      </c>
      <c r="G685" s="74">
        <v>44377</v>
      </c>
      <c r="H685" s="32" t="str">
        <f t="shared" si="20"/>
        <v>EVEN</v>
      </c>
      <c r="I685" s="103">
        <v>0</v>
      </c>
      <c r="J685" s="46" t="str">
        <f>UPPER(TEXT(F685,"mmm")) &amp; " - " &amp; UPPER(TEXT(G685,"mmm"))</f>
        <v>MAY - JUN</v>
      </c>
      <c r="K685" s="46" t="s">
        <v>882</v>
      </c>
      <c r="L685" s="99" t="s">
        <v>3895</v>
      </c>
      <c r="M685" s="32" t="str">
        <f t="shared" si="21"/>
        <v>No</v>
      </c>
      <c r="N685" s="32">
        <f>G685 - F685</f>
        <v>30</v>
      </c>
      <c r="O685">
        <v>1</v>
      </c>
    </row>
    <row r="686" spans="1:15" ht="27" x14ac:dyDescent="0.3">
      <c r="A686" s="26" t="s">
        <v>923</v>
      </c>
      <c r="B686" s="28" t="s">
        <v>66</v>
      </c>
      <c r="C686" s="28" t="s">
        <v>12</v>
      </c>
      <c r="D686" s="37" t="s">
        <v>1007</v>
      </c>
      <c r="E686" s="37" t="s">
        <v>1016</v>
      </c>
      <c r="F686" s="74">
        <v>44348</v>
      </c>
      <c r="G686" s="74">
        <v>44378</v>
      </c>
      <c r="H686" s="32" t="str">
        <f t="shared" si="20"/>
        <v>EVEN</v>
      </c>
      <c r="I686" s="103">
        <v>0</v>
      </c>
      <c r="J686" s="46" t="str">
        <f>UPPER(TEXT(F686,"mmm")) &amp; " - " &amp; UPPER(TEXT(G686,"mmm"))</f>
        <v>JUN - JUL</v>
      </c>
      <c r="K686" s="46" t="s">
        <v>882</v>
      </c>
      <c r="L686" s="99" t="s">
        <v>3895</v>
      </c>
      <c r="M686" s="32" t="str">
        <f t="shared" si="21"/>
        <v>No</v>
      </c>
      <c r="N686" s="32">
        <f>G686 - F686</f>
        <v>30</v>
      </c>
      <c r="O686">
        <v>1</v>
      </c>
    </row>
    <row r="687" spans="1:15" ht="27" x14ac:dyDescent="0.3">
      <c r="A687" s="26" t="s">
        <v>1310</v>
      </c>
      <c r="B687" s="28" t="s">
        <v>78</v>
      </c>
      <c r="C687" s="28" t="s">
        <v>12</v>
      </c>
      <c r="D687" s="37" t="s">
        <v>1215</v>
      </c>
      <c r="E687" s="37" t="s">
        <v>1216</v>
      </c>
      <c r="F687" s="74">
        <v>44043</v>
      </c>
      <c r="G687" s="74">
        <v>44301</v>
      </c>
      <c r="H687" s="32" t="str">
        <f t="shared" si="20"/>
        <v>ODD</v>
      </c>
      <c r="I687" s="103">
        <v>0</v>
      </c>
      <c r="J687" s="46" t="str">
        <f>UPPER(TEXT(F687,"mmm")) &amp; " - " &amp; UPPER(TEXT(G687,"mmm"))</f>
        <v>JUL - APR</v>
      </c>
      <c r="K687" s="46" t="s">
        <v>882</v>
      </c>
      <c r="L687" s="28" t="s">
        <v>895</v>
      </c>
      <c r="M687" s="32" t="str">
        <f t="shared" si="21"/>
        <v>No</v>
      </c>
      <c r="N687" s="32">
        <f>G687 - F687</f>
        <v>258</v>
      </c>
      <c r="O687">
        <v>1</v>
      </c>
    </row>
    <row r="688" spans="1:15" x14ac:dyDescent="0.3">
      <c r="A688" s="26" t="s">
        <v>1273</v>
      </c>
      <c r="B688" s="28" t="s">
        <v>78</v>
      </c>
      <c r="C688" s="28" t="s">
        <v>12</v>
      </c>
      <c r="D688" s="37" t="s">
        <v>1295</v>
      </c>
      <c r="E688" s="37" t="s">
        <v>1296</v>
      </c>
      <c r="F688" s="74">
        <v>44348</v>
      </c>
      <c r="G688" s="74">
        <v>44377</v>
      </c>
      <c r="H688" s="32" t="str">
        <f t="shared" si="20"/>
        <v>EVEN</v>
      </c>
      <c r="I688" s="103">
        <v>0</v>
      </c>
      <c r="J688" s="46" t="str">
        <f>UPPER(TEXT(F688,"mmm")) &amp; " - " &amp; UPPER(TEXT(G688,"mmm"))</f>
        <v>JUN - JUN</v>
      </c>
      <c r="K688" s="46" t="s">
        <v>882</v>
      </c>
      <c r="L688" s="99" t="s">
        <v>3895</v>
      </c>
      <c r="M688" s="32" t="str">
        <f t="shared" si="21"/>
        <v>No</v>
      </c>
      <c r="N688" s="32">
        <f>G688 - F688</f>
        <v>29</v>
      </c>
      <c r="O688">
        <v>1</v>
      </c>
    </row>
    <row r="689" spans="1:15" ht="27" x14ac:dyDescent="0.3">
      <c r="A689" s="26" t="s">
        <v>1218</v>
      </c>
      <c r="B689" s="28" t="s">
        <v>66</v>
      </c>
      <c r="C689" s="28" t="s">
        <v>12</v>
      </c>
      <c r="D689" s="37" t="s">
        <v>1007</v>
      </c>
      <c r="E689" s="37" t="s">
        <v>1311</v>
      </c>
      <c r="F689" s="74">
        <v>44348</v>
      </c>
      <c r="G689" s="74">
        <v>44377</v>
      </c>
      <c r="H689" s="32" t="str">
        <f t="shared" si="20"/>
        <v>EVEN</v>
      </c>
      <c r="I689" s="103">
        <v>0</v>
      </c>
      <c r="J689" s="46" t="str">
        <f>UPPER(TEXT(F689,"mmm")) &amp; " - " &amp; UPPER(TEXT(G689,"mmm"))</f>
        <v>JUN - JUN</v>
      </c>
      <c r="K689" s="46" t="s">
        <v>882</v>
      </c>
      <c r="L689" s="99" t="s">
        <v>3895</v>
      </c>
      <c r="M689" s="32" t="str">
        <f t="shared" si="21"/>
        <v>No</v>
      </c>
      <c r="N689" s="32">
        <f>G689 - F689</f>
        <v>29</v>
      </c>
      <c r="O689">
        <v>1</v>
      </c>
    </row>
    <row r="690" spans="1:15" ht="27" x14ac:dyDescent="0.3">
      <c r="A690" s="26" t="s">
        <v>1029</v>
      </c>
      <c r="B690" s="28" t="s">
        <v>78</v>
      </c>
      <c r="C690" s="28" t="s">
        <v>12</v>
      </c>
      <c r="D690" s="37" t="s">
        <v>1007</v>
      </c>
      <c r="E690" s="37" t="s">
        <v>1016</v>
      </c>
      <c r="F690" s="74">
        <v>44317</v>
      </c>
      <c r="G690" s="74">
        <v>44348</v>
      </c>
      <c r="H690" s="32" t="str">
        <f t="shared" si="20"/>
        <v>EVEN</v>
      </c>
      <c r="I690" s="103">
        <v>0</v>
      </c>
      <c r="J690" s="46" t="str">
        <f>UPPER(TEXT(F690,"mmm")) &amp; " - " &amp; UPPER(TEXT(G690,"mmm"))</f>
        <v>MAY - JUN</v>
      </c>
      <c r="K690" s="46" t="s">
        <v>882</v>
      </c>
      <c r="L690" s="99" t="s">
        <v>3895</v>
      </c>
      <c r="M690" s="32" t="str">
        <f t="shared" si="21"/>
        <v>No</v>
      </c>
      <c r="N690" s="32">
        <f>G690 - F690</f>
        <v>31</v>
      </c>
      <c r="O690">
        <v>1</v>
      </c>
    </row>
    <row r="691" spans="1:15" x14ac:dyDescent="0.3">
      <c r="A691" s="26" t="s">
        <v>1158</v>
      </c>
      <c r="B691" s="28" t="s">
        <v>66</v>
      </c>
      <c r="C691" s="28" t="s">
        <v>12</v>
      </c>
      <c r="D691" s="37" t="s">
        <v>1312</v>
      </c>
      <c r="E691" s="37" t="s">
        <v>1313</v>
      </c>
      <c r="F691" s="74">
        <v>44258</v>
      </c>
      <c r="G691" s="74">
        <v>44272</v>
      </c>
      <c r="H691" s="32" t="str">
        <f t="shared" si="20"/>
        <v>EVEN</v>
      </c>
      <c r="I691" s="103">
        <v>0</v>
      </c>
      <c r="J691" s="46" t="str">
        <f>UPPER(TEXT(F691,"mmm")) &amp; " - " &amp; UPPER(TEXT(G691,"mmm"))</f>
        <v>MAR - MAR</v>
      </c>
      <c r="K691" s="46" t="s">
        <v>882</v>
      </c>
      <c r="L691" s="99" t="s">
        <v>3895</v>
      </c>
      <c r="M691" s="32" t="str">
        <f t="shared" si="21"/>
        <v>No</v>
      </c>
      <c r="N691" s="32">
        <f>G691 - F691</f>
        <v>14</v>
      </c>
      <c r="O691">
        <v>1</v>
      </c>
    </row>
    <row r="692" spans="1:15" x14ac:dyDescent="0.3">
      <c r="A692" s="26" t="s">
        <v>1158</v>
      </c>
      <c r="B692" s="28" t="s">
        <v>66</v>
      </c>
      <c r="C692" s="28" t="s">
        <v>12</v>
      </c>
      <c r="D692" s="37" t="s">
        <v>1312</v>
      </c>
      <c r="E692" s="37" t="s">
        <v>1314</v>
      </c>
      <c r="F692" s="74">
        <v>44378</v>
      </c>
      <c r="G692" s="74">
        <v>44392</v>
      </c>
      <c r="H692" s="32" t="str">
        <f t="shared" si="20"/>
        <v>EVEN</v>
      </c>
      <c r="I692" s="103">
        <v>0</v>
      </c>
      <c r="J692" s="46" t="str">
        <f>UPPER(TEXT(F692,"mmm")) &amp; " - " &amp; UPPER(TEXT(G692,"mmm"))</f>
        <v>JUL - JUL</v>
      </c>
      <c r="K692" s="46" t="s">
        <v>882</v>
      </c>
      <c r="L692" s="99" t="s">
        <v>3895</v>
      </c>
      <c r="M692" s="32" t="str">
        <f t="shared" si="21"/>
        <v>No</v>
      </c>
      <c r="N692" s="32">
        <f>G692 - F692</f>
        <v>14</v>
      </c>
      <c r="O692">
        <v>1</v>
      </c>
    </row>
    <row r="693" spans="1:15" ht="27" x14ac:dyDescent="0.3">
      <c r="A693" s="26" t="s">
        <v>1256</v>
      </c>
      <c r="B693" s="28" t="s">
        <v>11</v>
      </c>
      <c r="C693" s="28" t="s">
        <v>12</v>
      </c>
      <c r="D693" s="37" t="s">
        <v>1257</v>
      </c>
      <c r="E693" s="37" t="s">
        <v>1258</v>
      </c>
      <c r="F693" s="74">
        <v>44302</v>
      </c>
      <c r="G693" s="74">
        <v>44363</v>
      </c>
      <c r="H693" s="32" t="str">
        <f t="shared" si="20"/>
        <v>EVEN</v>
      </c>
      <c r="I693" s="103">
        <v>0</v>
      </c>
      <c r="J693" s="46" t="str">
        <f>UPPER(TEXT(F693,"mmm")) &amp; " - " &amp; UPPER(TEXT(G693,"mmm"))</f>
        <v>APR - JUN</v>
      </c>
      <c r="K693" s="46" t="s">
        <v>882</v>
      </c>
      <c r="L693" s="99" t="s">
        <v>3895</v>
      </c>
      <c r="M693" s="32" t="str">
        <f t="shared" si="21"/>
        <v>No</v>
      </c>
      <c r="N693" s="32">
        <f>G693 - F693</f>
        <v>61</v>
      </c>
      <c r="O693">
        <v>1</v>
      </c>
    </row>
    <row r="694" spans="1:15" ht="40.200000000000003" x14ac:dyDescent="0.3">
      <c r="A694" s="26" t="s">
        <v>1315</v>
      </c>
      <c r="B694" s="28" t="s">
        <v>78</v>
      </c>
      <c r="C694" s="28" t="s">
        <v>12</v>
      </c>
      <c r="D694" s="37" t="s">
        <v>1316</v>
      </c>
      <c r="E694" s="37" t="s">
        <v>1317</v>
      </c>
      <c r="F694" s="74">
        <v>44287</v>
      </c>
      <c r="G694" s="74">
        <v>44377</v>
      </c>
      <c r="H694" s="32" t="str">
        <f t="shared" si="20"/>
        <v>EVEN</v>
      </c>
      <c r="I694" s="103">
        <v>1666.66</v>
      </c>
      <c r="J694" s="46" t="str">
        <f>UPPER(TEXT(F694,"mmm")) &amp; " - " &amp; UPPER(TEXT(G694,"mmm"))</f>
        <v>APR - JUN</v>
      </c>
      <c r="K694" s="46" t="s">
        <v>882</v>
      </c>
      <c r="L694" s="99" t="s">
        <v>3895</v>
      </c>
      <c r="M694" s="32" t="str">
        <f t="shared" si="21"/>
        <v>Yes</v>
      </c>
      <c r="N694" s="32">
        <f>G694 - F694</f>
        <v>90</v>
      </c>
      <c r="O694">
        <v>1</v>
      </c>
    </row>
    <row r="695" spans="1:15" ht="27" x14ac:dyDescent="0.3">
      <c r="A695" s="26" t="s">
        <v>1318</v>
      </c>
      <c r="B695" s="28" t="s">
        <v>78</v>
      </c>
      <c r="C695" s="28" t="s">
        <v>12</v>
      </c>
      <c r="D695" s="37" t="s">
        <v>1319</v>
      </c>
      <c r="E695" s="37" t="s">
        <v>1320</v>
      </c>
      <c r="F695" s="74">
        <v>44277</v>
      </c>
      <c r="G695" s="74">
        <v>44377</v>
      </c>
      <c r="H695" s="32" t="str">
        <f t="shared" si="20"/>
        <v>EVEN</v>
      </c>
      <c r="I695" s="103">
        <v>15000</v>
      </c>
      <c r="J695" s="46" t="str">
        <f>UPPER(TEXT(F695,"mmm")) &amp; " - " &amp; UPPER(TEXT(G695,"mmm"))</f>
        <v>MAR - JUN</v>
      </c>
      <c r="K695" s="46" t="s">
        <v>882</v>
      </c>
      <c r="L695" s="99" t="s">
        <v>3895</v>
      </c>
      <c r="M695" s="32" t="str">
        <f t="shared" si="21"/>
        <v>Yes</v>
      </c>
      <c r="N695" s="32">
        <f>G695 - F695</f>
        <v>100</v>
      </c>
      <c r="O695">
        <v>1</v>
      </c>
    </row>
    <row r="696" spans="1:15" ht="27" x14ac:dyDescent="0.3">
      <c r="A696" s="26" t="s">
        <v>1321</v>
      </c>
      <c r="B696" s="28" t="s">
        <v>78</v>
      </c>
      <c r="C696" s="28" t="s">
        <v>12</v>
      </c>
      <c r="D696" s="37" t="s">
        <v>1319</v>
      </c>
      <c r="E696" s="37" t="s">
        <v>1320</v>
      </c>
      <c r="F696" s="74">
        <v>44277</v>
      </c>
      <c r="G696" s="74">
        <v>44377</v>
      </c>
      <c r="H696" s="32" t="str">
        <f t="shared" si="20"/>
        <v>EVEN</v>
      </c>
      <c r="I696" s="103">
        <v>15000</v>
      </c>
      <c r="J696" s="46" t="str">
        <f>UPPER(TEXT(F696,"mmm")) &amp; " - " &amp; UPPER(TEXT(G696,"mmm"))</f>
        <v>MAR - JUN</v>
      </c>
      <c r="K696" s="46" t="s">
        <v>882</v>
      </c>
      <c r="L696" s="99" t="s">
        <v>3895</v>
      </c>
      <c r="M696" s="32" t="str">
        <f t="shared" si="21"/>
        <v>Yes</v>
      </c>
      <c r="N696" s="32">
        <f>G696 - F696</f>
        <v>100</v>
      </c>
      <c r="O696">
        <v>1</v>
      </c>
    </row>
    <row r="697" spans="1:15" ht="40.200000000000003" x14ac:dyDescent="0.3">
      <c r="A697" s="26" t="s">
        <v>1321</v>
      </c>
      <c r="B697" s="28" t="s">
        <v>78</v>
      </c>
      <c r="C697" s="28" t="s">
        <v>12</v>
      </c>
      <c r="D697" s="37" t="s">
        <v>1322</v>
      </c>
      <c r="E697" s="37" t="s">
        <v>1323</v>
      </c>
      <c r="F697" s="74">
        <v>44013</v>
      </c>
      <c r="G697" s="74">
        <v>44104</v>
      </c>
      <c r="H697" s="32" t="str">
        <f t="shared" si="20"/>
        <v>EVEN</v>
      </c>
      <c r="I697" s="103">
        <v>1000</v>
      </c>
      <c r="J697" s="46" t="str">
        <f>UPPER(TEXT(F697,"mmm")) &amp; " - " &amp; UPPER(TEXT(G697,"mmm"))</f>
        <v>JUL - SEP</v>
      </c>
      <c r="K697" s="46" t="s">
        <v>882</v>
      </c>
      <c r="L697" s="99" t="s">
        <v>3895</v>
      </c>
      <c r="M697" s="32" t="str">
        <f t="shared" si="21"/>
        <v>Yes</v>
      </c>
      <c r="N697" s="32">
        <f>G697 - F697</f>
        <v>91</v>
      </c>
      <c r="O697">
        <v>1</v>
      </c>
    </row>
    <row r="698" spans="1:15" ht="27" x14ac:dyDescent="0.3">
      <c r="A698" s="26" t="s">
        <v>849</v>
      </c>
      <c r="B698" s="28" t="s">
        <v>66</v>
      </c>
      <c r="C698" s="28" t="s">
        <v>12</v>
      </c>
      <c r="D698" s="37" t="s">
        <v>1324</v>
      </c>
      <c r="E698" s="37" t="s">
        <v>1325</v>
      </c>
      <c r="F698" s="74">
        <v>44308</v>
      </c>
      <c r="G698" s="74">
        <v>44378</v>
      </c>
      <c r="H698" s="32" t="str">
        <f t="shared" si="20"/>
        <v>EVEN</v>
      </c>
      <c r="I698" s="103">
        <v>0</v>
      </c>
      <c r="J698" s="46" t="str">
        <f>UPPER(TEXT(F698,"mmm")) &amp; " - " &amp; UPPER(TEXT(G698,"mmm"))</f>
        <v>APR - JUL</v>
      </c>
      <c r="K698" s="46" t="s">
        <v>882</v>
      </c>
      <c r="L698" s="99" t="s">
        <v>3895</v>
      </c>
      <c r="M698" s="32" t="str">
        <f t="shared" si="21"/>
        <v>No</v>
      </c>
      <c r="N698" s="32">
        <f>G698 - F698</f>
        <v>70</v>
      </c>
      <c r="O698">
        <v>1</v>
      </c>
    </row>
    <row r="699" spans="1:15" ht="27" x14ac:dyDescent="0.3">
      <c r="A699" s="26" t="s">
        <v>1326</v>
      </c>
      <c r="B699" s="28" t="s">
        <v>66</v>
      </c>
      <c r="C699" s="28" t="s">
        <v>12</v>
      </c>
      <c r="D699" s="37" t="s">
        <v>1324</v>
      </c>
      <c r="E699" s="37" t="s">
        <v>1327</v>
      </c>
      <c r="F699" s="74">
        <v>44308</v>
      </c>
      <c r="G699" s="74">
        <v>44378</v>
      </c>
      <c r="H699" s="32" t="str">
        <f t="shared" si="20"/>
        <v>EVEN</v>
      </c>
      <c r="I699" s="103">
        <v>0</v>
      </c>
      <c r="J699" s="46" t="str">
        <f>UPPER(TEXT(F699,"mmm")) &amp; " - " &amp; UPPER(TEXT(G699,"mmm"))</f>
        <v>APR - JUL</v>
      </c>
      <c r="K699" s="46" t="s">
        <v>882</v>
      </c>
      <c r="L699" s="99" t="s">
        <v>3895</v>
      </c>
      <c r="M699" s="32" t="str">
        <f t="shared" si="21"/>
        <v>No</v>
      </c>
      <c r="N699" s="32">
        <f>G699 - F699</f>
        <v>70</v>
      </c>
      <c r="O699">
        <v>1</v>
      </c>
    </row>
    <row r="700" spans="1:15" x14ac:dyDescent="0.3">
      <c r="A700" s="26" t="s">
        <v>1328</v>
      </c>
      <c r="B700" s="28" t="s">
        <v>11</v>
      </c>
      <c r="C700" s="28" t="s">
        <v>12</v>
      </c>
      <c r="D700" s="37" t="s">
        <v>1329</v>
      </c>
      <c r="E700" s="37" t="s">
        <v>1330</v>
      </c>
      <c r="F700" s="74">
        <v>44228</v>
      </c>
      <c r="G700" s="74">
        <v>44286</v>
      </c>
      <c r="H700" s="32" t="str">
        <f t="shared" si="20"/>
        <v>EVEN</v>
      </c>
      <c r="I700" s="103">
        <v>0</v>
      </c>
      <c r="J700" s="46" t="str">
        <f>UPPER(TEXT(F700,"mmm")) &amp; " - " &amp; UPPER(TEXT(G700,"mmm"))</f>
        <v>FEB - MAR</v>
      </c>
      <c r="K700" s="46" t="s">
        <v>882</v>
      </c>
      <c r="L700" s="99" t="s">
        <v>3895</v>
      </c>
      <c r="M700" s="32" t="str">
        <f t="shared" si="21"/>
        <v>No</v>
      </c>
      <c r="N700" s="32">
        <f>G700 - F700</f>
        <v>58</v>
      </c>
      <c r="O700">
        <v>1</v>
      </c>
    </row>
    <row r="701" spans="1:15" ht="40.200000000000003" x14ac:dyDescent="0.3">
      <c r="A701" s="26" t="s">
        <v>1331</v>
      </c>
      <c r="B701" s="28" t="s">
        <v>66</v>
      </c>
      <c r="C701" s="28" t="s">
        <v>12</v>
      </c>
      <c r="D701" s="37" t="s">
        <v>1332</v>
      </c>
      <c r="E701" s="37" t="s">
        <v>1333</v>
      </c>
      <c r="F701" s="74">
        <v>44197</v>
      </c>
      <c r="G701" s="74">
        <v>44377</v>
      </c>
      <c r="H701" s="32" t="str">
        <f t="shared" si="20"/>
        <v>EVEN</v>
      </c>
      <c r="I701" s="103">
        <v>0</v>
      </c>
      <c r="J701" s="46" t="str">
        <f>UPPER(TEXT(F701,"mmm")) &amp; " - " &amp; UPPER(TEXT(G701,"mmm"))</f>
        <v>JAN - JUN</v>
      </c>
      <c r="K701" s="46" t="s">
        <v>882</v>
      </c>
      <c r="L701" s="99" t="s">
        <v>3895</v>
      </c>
      <c r="M701" s="32" t="str">
        <f t="shared" si="21"/>
        <v>No</v>
      </c>
      <c r="N701" s="32">
        <f>G701 - F701</f>
        <v>180</v>
      </c>
      <c r="O701">
        <v>1</v>
      </c>
    </row>
    <row r="702" spans="1:15" x14ac:dyDescent="0.3">
      <c r="A702" s="26" t="s">
        <v>1259</v>
      </c>
      <c r="B702" s="28" t="s">
        <v>66</v>
      </c>
      <c r="C702" s="28" t="s">
        <v>12</v>
      </c>
      <c r="D702" s="37" t="s">
        <v>1334</v>
      </c>
      <c r="E702" s="37" t="s">
        <v>1335</v>
      </c>
      <c r="F702" s="74">
        <v>44200</v>
      </c>
      <c r="G702" s="74">
        <v>44386</v>
      </c>
      <c r="H702" s="32" t="str">
        <f t="shared" si="20"/>
        <v>EVEN</v>
      </c>
      <c r="I702" s="103">
        <v>5000</v>
      </c>
      <c r="J702" s="46" t="str">
        <f>UPPER(TEXT(F702,"mmm")) &amp; " - " &amp; UPPER(TEXT(G702,"mmm"))</f>
        <v>JAN - JUL</v>
      </c>
      <c r="K702" s="46" t="s">
        <v>882</v>
      </c>
      <c r="L702" s="99" t="s">
        <v>3895</v>
      </c>
      <c r="M702" s="32" t="str">
        <f t="shared" si="21"/>
        <v>Yes</v>
      </c>
      <c r="N702" s="32">
        <f>G702 - F702</f>
        <v>186</v>
      </c>
      <c r="O702">
        <v>1</v>
      </c>
    </row>
    <row r="703" spans="1:15" ht="40.200000000000003" x14ac:dyDescent="0.3">
      <c r="A703" s="26" t="s">
        <v>231</v>
      </c>
      <c r="B703" s="28" t="s">
        <v>66</v>
      </c>
      <c r="C703" s="28" t="s">
        <v>12</v>
      </c>
      <c r="D703" s="37" t="s">
        <v>1336</v>
      </c>
      <c r="E703" s="37" t="s">
        <v>1337</v>
      </c>
      <c r="F703" s="74">
        <v>44013</v>
      </c>
      <c r="G703" s="74">
        <v>44319</v>
      </c>
      <c r="H703" s="32" t="str">
        <f t="shared" ref="H703:H766" si="22">IF(AND(F703&gt;=DATE(2020,7,15), F703&lt;=DATE(2020,12,31)), "ODD", "EVEN")</f>
        <v>EVEN</v>
      </c>
      <c r="I703" s="103">
        <v>0</v>
      </c>
      <c r="J703" s="46" t="str">
        <f>UPPER(TEXT(F703,"mmm")) &amp; " - " &amp; UPPER(TEXT(G703,"mmm"))</f>
        <v>JUL - MAY</v>
      </c>
      <c r="K703" s="46" t="s">
        <v>882</v>
      </c>
      <c r="L703" s="28" t="s">
        <v>895</v>
      </c>
      <c r="M703" s="32" t="str">
        <f t="shared" si="21"/>
        <v>No</v>
      </c>
      <c r="N703" s="32">
        <f>G703 - F703</f>
        <v>306</v>
      </c>
      <c r="O703">
        <v>1</v>
      </c>
    </row>
    <row r="704" spans="1:15" x14ac:dyDescent="0.3">
      <c r="A704" s="26" t="s">
        <v>53</v>
      </c>
      <c r="B704" s="28" t="s">
        <v>66</v>
      </c>
      <c r="C704" s="28" t="s">
        <v>12</v>
      </c>
      <c r="D704" s="37" t="s">
        <v>1338</v>
      </c>
      <c r="E704" s="37" t="s">
        <v>1339</v>
      </c>
      <c r="F704" s="74">
        <v>44200</v>
      </c>
      <c r="G704" s="74">
        <v>44356</v>
      </c>
      <c r="H704" s="32" t="str">
        <f t="shared" si="22"/>
        <v>EVEN</v>
      </c>
      <c r="I704" s="103">
        <v>5000</v>
      </c>
      <c r="J704" s="46" t="str">
        <f>UPPER(TEXT(F704,"mmm")) &amp; " - " &amp; UPPER(TEXT(G704,"mmm"))</f>
        <v>JAN - JUN</v>
      </c>
      <c r="K704" s="46" t="s">
        <v>882</v>
      </c>
      <c r="L704" s="99" t="s">
        <v>3895</v>
      </c>
      <c r="M704" s="32" t="str">
        <f t="shared" si="21"/>
        <v>Yes</v>
      </c>
      <c r="N704" s="32">
        <f>G704 - F704</f>
        <v>156</v>
      </c>
      <c r="O704">
        <v>1</v>
      </c>
    </row>
    <row r="705" spans="1:15" ht="40.200000000000003" x14ac:dyDescent="0.3">
      <c r="A705" s="26" t="s">
        <v>361</v>
      </c>
      <c r="B705" s="28" t="s">
        <v>78</v>
      </c>
      <c r="C705" s="28" t="s">
        <v>12</v>
      </c>
      <c r="D705" s="37" t="s">
        <v>1336</v>
      </c>
      <c r="E705" s="37" t="s">
        <v>1340</v>
      </c>
      <c r="F705" s="74">
        <v>44013</v>
      </c>
      <c r="G705" s="74">
        <v>44319</v>
      </c>
      <c r="H705" s="32" t="str">
        <f t="shared" si="22"/>
        <v>EVEN</v>
      </c>
      <c r="I705" s="103">
        <v>0</v>
      </c>
      <c r="J705" s="46" t="str">
        <f>UPPER(TEXT(F705,"mmm")) &amp; " - " &amp; UPPER(TEXT(G705,"mmm"))</f>
        <v>JUL - MAY</v>
      </c>
      <c r="K705" s="46" t="s">
        <v>882</v>
      </c>
      <c r="L705" s="28" t="s">
        <v>895</v>
      </c>
      <c r="M705" s="32" t="str">
        <f t="shared" si="21"/>
        <v>No</v>
      </c>
      <c r="N705" s="32">
        <f>G705 - F705</f>
        <v>306</v>
      </c>
      <c r="O705">
        <v>1</v>
      </c>
    </row>
    <row r="706" spans="1:15" ht="40.200000000000003" x14ac:dyDescent="0.3">
      <c r="A706" s="26" t="s">
        <v>1341</v>
      </c>
      <c r="B706" s="28" t="s">
        <v>78</v>
      </c>
      <c r="C706" s="28" t="s">
        <v>12</v>
      </c>
      <c r="D706" s="37" t="s">
        <v>1336</v>
      </c>
      <c r="E706" s="37" t="s">
        <v>1342</v>
      </c>
      <c r="F706" s="74">
        <v>44013</v>
      </c>
      <c r="G706" s="74">
        <v>44319</v>
      </c>
      <c r="H706" s="32" t="str">
        <f t="shared" si="22"/>
        <v>EVEN</v>
      </c>
      <c r="I706" s="103">
        <v>0</v>
      </c>
      <c r="J706" s="46" t="str">
        <f>UPPER(TEXT(F706,"mmm")) &amp; " - " &amp; UPPER(TEXT(G706,"mmm"))</f>
        <v>JUL - MAY</v>
      </c>
      <c r="K706" s="46" t="s">
        <v>882</v>
      </c>
      <c r="L706" s="28" t="s">
        <v>895</v>
      </c>
      <c r="M706" s="32" t="str">
        <f t="shared" ref="M706:M769" si="23">IF(I706 &gt; 0, "Yes", "No")</f>
        <v>No</v>
      </c>
      <c r="N706" s="32">
        <f>G706 - F706</f>
        <v>306</v>
      </c>
      <c r="O706">
        <v>1</v>
      </c>
    </row>
    <row r="707" spans="1:15" ht="40.200000000000003" x14ac:dyDescent="0.3">
      <c r="A707" s="26" t="s">
        <v>1109</v>
      </c>
      <c r="B707" s="28" t="s">
        <v>78</v>
      </c>
      <c r="C707" s="28" t="s">
        <v>12</v>
      </c>
      <c r="D707" s="37" t="s">
        <v>1336</v>
      </c>
      <c r="E707" s="37" t="s">
        <v>1343</v>
      </c>
      <c r="F707" s="74">
        <v>44013</v>
      </c>
      <c r="G707" s="74">
        <v>44319</v>
      </c>
      <c r="H707" s="32" t="str">
        <f t="shared" si="22"/>
        <v>EVEN</v>
      </c>
      <c r="I707" s="103">
        <v>0</v>
      </c>
      <c r="J707" s="46" t="str">
        <f>UPPER(TEXT(F707,"mmm")) &amp; " - " &amp; UPPER(TEXT(G707,"mmm"))</f>
        <v>JUL - MAY</v>
      </c>
      <c r="K707" s="46" t="s">
        <v>882</v>
      </c>
      <c r="L707" s="28" t="s">
        <v>895</v>
      </c>
      <c r="M707" s="32" t="str">
        <f t="shared" si="23"/>
        <v>No</v>
      </c>
      <c r="N707" s="32">
        <f>G707 - F707</f>
        <v>306</v>
      </c>
      <c r="O707">
        <v>1</v>
      </c>
    </row>
    <row r="708" spans="1:15" ht="27" x14ac:dyDescent="0.3">
      <c r="A708" s="26" t="s">
        <v>1344</v>
      </c>
      <c r="B708" s="28" t="s">
        <v>66</v>
      </c>
      <c r="C708" s="28" t="s">
        <v>12</v>
      </c>
      <c r="D708" s="37" t="s">
        <v>1345</v>
      </c>
      <c r="E708" s="37" t="s">
        <v>1346</v>
      </c>
      <c r="F708" s="74">
        <v>44287</v>
      </c>
      <c r="G708" s="74">
        <v>44407</v>
      </c>
      <c r="H708" s="32" t="str">
        <f t="shared" si="22"/>
        <v>EVEN</v>
      </c>
      <c r="I708" s="103">
        <v>0</v>
      </c>
      <c r="J708" s="46" t="str">
        <f>UPPER(TEXT(F708,"mmm")) &amp; " - " &amp; UPPER(TEXT(G708,"mmm"))</f>
        <v>APR - JUL</v>
      </c>
      <c r="K708" s="46" t="s">
        <v>882</v>
      </c>
      <c r="L708" s="99" t="s">
        <v>3895</v>
      </c>
      <c r="M708" s="32" t="str">
        <f t="shared" si="23"/>
        <v>No</v>
      </c>
      <c r="N708" s="32">
        <f>G708 - F708</f>
        <v>120</v>
      </c>
      <c r="O708">
        <v>1</v>
      </c>
    </row>
    <row r="709" spans="1:15" ht="40.200000000000003" x14ac:dyDescent="0.3">
      <c r="A709" s="26" t="s">
        <v>1347</v>
      </c>
      <c r="B709" s="28" t="s">
        <v>78</v>
      </c>
      <c r="C709" s="28" t="s">
        <v>12</v>
      </c>
      <c r="D709" s="37" t="s">
        <v>1336</v>
      </c>
      <c r="E709" s="37" t="s">
        <v>1348</v>
      </c>
      <c r="F709" s="74">
        <v>44013</v>
      </c>
      <c r="G709" s="74">
        <v>44319</v>
      </c>
      <c r="H709" s="32" t="str">
        <f t="shared" si="22"/>
        <v>EVEN</v>
      </c>
      <c r="I709" s="103">
        <v>0</v>
      </c>
      <c r="J709" s="46" t="str">
        <f>UPPER(TEXT(F709,"mmm")) &amp; " - " &amp; UPPER(TEXT(G709,"mmm"))</f>
        <v>JUL - MAY</v>
      </c>
      <c r="K709" s="46" t="s">
        <v>882</v>
      </c>
      <c r="L709" s="28" t="s">
        <v>895</v>
      </c>
      <c r="M709" s="32" t="str">
        <f t="shared" si="23"/>
        <v>No</v>
      </c>
      <c r="N709" s="32">
        <f>G709 - F709</f>
        <v>306</v>
      </c>
      <c r="O709">
        <v>1</v>
      </c>
    </row>
    <row r="710" spans="1:15" ht="40.200000000000003" x14ac:dyDescent="0.3">
      <c r="A710" s="26" t="s">
        <v>1349</v>
      </c>
      <c r="B710" s="28" t="s">
        <v>11</v>
      </c>
      <c r="C710" s="28" t="s">
        <v>12</v>
      </c>
      <c r="D710" s="37" t="s">
        <v>1336</v>
      </c>
      <c r="E710" s="37" t="s">
        <v>1343</v>
      </c>
      <c r="F710" s="74">
        <v>44189</v>
      </c>
      <c r="G710" s="74">
        <v>44319</v>
      </c>
      <c r="H710" s="32" t="str">
        <f t="shared" si="22"/>
        <v>ODD</v>
      </c>
      <c r="I710" s="103">
        <v>0</v>
      </c>
      <c r="J710" s="46" t="str">
        <f>UPPER(TEXT(F710,"mmm")) &amp; " - " &amp; UPPER(TEXT(G710,"mmm"))</f>
        <v>DEC - MAY</v>
      </c>
      <c r="K710" s="46" t="s">
        <v>882</v>
      </c>
      <c r="L710" s="28" t="s">
        <v>895</v>
      </c>
      <c r="M710" s="32" t="str">
        <f t="shared" si="23"/>
        <v>No</v>
      </c>
      <c r="N710" s="32">
        <f>G710 - F710</f>
        <v>130</v>
      </c>
      <c r="O710">
        <v>1</v>
      </c>
    </row>
    <row r="711" spans="1:15" ht="40.200000000000003" x14ac:dyDescent="0.3">
      <c r="A711" s="26" t="s">
        <v>1212</v>
      </c>
      <c r="B711" s="28" t="s">
        <v>11</v>
      </c>
      <c r="C711" s="28" t="s">
        <v>12</v>
      </c>
      <c r="D711" s="37" t="s">
        <v>1336</v>
      </c>
      <c r="E711" s="37" t="s">
        <v>1343</v>
      </c>
      <c r="F711" s="74">
        <v>44189</v>
      </c>
      <c r="G711" s="74">
        <v>44319</v>
      </c>
      <c r="H711" s="32" t="str">
        <f t="shared" si="22"/>
        <v>ODD</v>
      </c>
      <c r="I711" s="103">
        <v>0</v>
      </c>
      <c r="J711" s="46" t="str">
        <f>UPPER(TEXT(F711,"mmm")) &amp; " - " &amp; UPPER(TEXT(G711,"mmm"))</f>
        <v>DEC - MAY</v>
      </c>
      <c r="K711" s="46" t="s">
        <v>882</v>
      </c>
      <c r="L711" s="28" t="s">
        <v>895</v>
      </c>
      <c r="M711" s="32" t="str">
        <f t="shared" si="23"/>
        <v>No</v>
      </c>
      <c r="N711" s="32">
        <f>G711 - F711</f>
        <v>130</v>
      </c>
      <c r="O711">
        <v>1</v>
      </c>
    </row>
    <row r="712" spans="1:15" ht="40.200000000000003" x14ac:dyDescent="0.3">
      <c r="A712" s="26" t="s">
        <v>1350</v>
      </c>
      <c r="B712" s="28" t="s">
        <v>11</v>
      </c>
      <c r="C712" s="28" t="s">
        <v>12</v>
      </c>
      <c r="D712" s="37" t="s">
        <v>1336</v>
      </c>
      <c r="E712" s="37" t="s">
        <v>1351</v>
      </c>
      <c r="F712" s="74">
        <v>44189</v>
      </c>
      <c r="G712" s="74">
        <v>44319</v>
      </c>
      <c r="H712" s="32" t="str">
        <f t="shared" si="22"/>
        <v>ODD</v>
      </c>
      <c r="I712" s="103">
        <v>0</v>
      </c>
      <c r="J712" s="46" t="str">
        <f>UPPER(TEXT(F712,"mmm")) &amp; " - " &amp; UPPER(TEXT(G712,"mmm"))</f>
        <v>DEC - MAY</v>
      </c>
      <c r="K712" s="46" t="s">
        <v>882</v>
      </c>
      <c r="L712" s="28" t="s">
        <v>895</v>
      </c>
      <c r="M712" s="32" t="str">
        <f t="shared" si="23"/>
        <v>No</v>
      </c>
      <c r="N712" s="32">
        <f>G712 - F712</f>
        <v>130</v>
      </c>
      <c r="O712">
        <v>1</v>
      </c>
    </row>
    <row r="713" spans="1:15" ht="40.200000000000003" x14ac:dyDescent="0.3">
      <c r="A713" s="26" t="s">
        <v>10</v>
      </c>
      <c r="B713" s="28" t="s">
        <v>66</v>
      </c>
      <c r="C713" s="28" t="s">
        <v>12</v>
      </c>
      <c r="D713" s="37" t="s">
        <v>1352</v>
      </c>
      <c r="E713" s="37" t="s">
        <v>1353</v>
      </c>
      <c r="F713" s="74">
        <v>44333</v>
      </c>
      <c r="G713" s="74">
        <v>44393</v>
      </c>
      <c r="H713" s="32" t="str">
        <f t="shared" si="22"/>
        <v>EVEN</v>
      </c>
      <c r="I713" s="103">
        <v>87000</v>
      </c>
      <c r="J713" s="46" t="str">
        <f>UPPER(TEXT(F713,"mmm")) &amp; " - " &amp; UPPER(TEXT(G713,"mmm"))</f>
        <v>MAY - JUL</v>
      </c>
      <c r="K713" s="46" t="s">
        <v>882</v>
      </c>
      <c r="L713" s="99" t="s">
        <v>3895</v>
      </c>
      <c r="M713" s="32" t="str">
        <f t="shared" si="23"/>
        <v>Yes</v>
      </c>
      <c r="N713" s="32">
        <f>G713 - F713</f>
        <v>60</v>
      </c>
      <c r="O713">
        <v>1</v>
      </c>
    </row>
    <row r="714" spans="1:15" ht="27" x14ac:dyDescent="0.3">
      <c r="A714" s="26" t="s">
        <v>1354</v>
      </c>
      <c r="B714" s="28" t="s">
        <v>11</v>
      </c>
      <c r="C714" s="28" t="s">
        <v>12</v>
      </c>
      <c r="D714" s="37" t="s">
        <v>1355</v>
      </c>
      <c r="E714" s="37" t="s">
        <v>1356</v>
      </c>
      <c r="F714" s="74">
        <v>44350</v>
      </c>
      <c r="G714" s="74">
        <v>44395</v>
      </c>
      <c r="H714" s="32" t="str">
        <f t="shared" si="22"/>
        <v>EVEN</v>
      </c>
      <c r="I714" s="103">
        <v>0</v>
      </c>
      <c r="J714" s="46" t="str">
        <f>UPPER(TEXT(F714,"mmm")) &amp; " - " &amp; UPPER(TEXT(G714,"mmm"))</f>
        <v>JUN - JUL</v>
      </c>
      <c r="K714" s="46" t="s">
        <v>882</v>
      </c>
      <c r="L714" s="99" t="s">
        <v>3895</v>
      </c>
      <c r="M714" s="32" t="str">
        <f t="shared" si="23"/>
        <v>No</v>
      </c>
      <c r="N714" s="32">
        <f>G714 - F714</f>
        <v>45</v>
      </c>
      <c r="O714">
        <v>1</v>
      </c>
    </row>
    <row r="715" spans="1:15" x14ac:dyDescent="0.3">
      <c r="A715" s="26" t="s">
        <v>1357</v>
      </c>
      <c r="B715" s="28" t="s">
        <v>78</v>
      </c>
      <c r="C715" s="28" t="s">
        <v>12</v>
      </c>
      <c r="D715" s="37" t="s">
        <v>1358</v>
      </c>
      <c r="E715" s="37" t="s">
        <v>1359</v>
      </c>
      <c r="F715" s="74">
        <v>44255</v>
      </c>
      <c r="G715" s="74">
        <v>44389</v>
      </c>
      <c r="H715" s="32" t="str">
        <f t="shared" si="22"/>
        <v>EVEN</v>
      </c>
      <c r="I715" s="103">
        <v>0</v>
      </c>
      <c r="J715" s="46" t="str">
        <f>UPPER(TEXT(F715,"mmm")) &amp; " - " &amp; UPPER(TEXT(G715,"mmm"))</f>
        <v>FEB - JUL</v>
      </c>
      <c r="K715" s="46" t="s">
        <v>882</v>
      </c>
      <c r="L715" s="28" t="s">
        <v>895</v>
      </c>
      <c r="M715" s="32" t="str">
        <f t="shared" si="23"/>
        <v>No</v>
      </c>
      <c r="N715" s="32">
        <f>G715 - F715</f>
        <v>134</v>
      </c>
      <c r="O715">
        <v>1</v>
      </c>
    </row>
    <row r="716" spans="1:15" ht="27" x14ac:dyDescent="0.3">
      <c r="A716" s="26" t="s">
        <v>1360</v>
      </c>
      <c r="B716" s="28" t="s">
        <v>78</v>
      </c>
      <c r="C716" s="28" t="s">
        <v>12</v>
      </c>
      <c r="D716" s="37" t="s">
        <v>1361</v>
      </c>
      <c r="E716" s="37" t="s">
        <v>1362</v>
      </c>
      <c r="F716" s="74">
        <v>44255</v>
      </c>
      <c r="G716" s="74">
        <v>44389</v>
      </c>
      <c r="H716" s="32" t="str">
        <f t="shared" si="22"/>
        <v>EVEN</v>
      </c>
      <c r="I716" s="103">
        <v>0</v>
      </c>
      <c r="J716" s="46" t="str">
        <f>UPPER(TEXT(F716,"mmm")) &amp; " - " &amp; UPPER(TEXT(G716,"mmm"))</f>
        <v>FEB - JUL</v>
      </c>
      <c r="K716" s="46" t="s">
        <v>882</v>
      </c>
      <c r="L716" s="28" t="s">
        <v>895</v>
      </c>
      <c r="M716" s="32" t="str">
        <f t="shared" si="23"/>
        <v>No</v>
      </c>
      <c r="N716" s="32">
        <f>G716 - F716</f>
        <v>134</v>
      </c>
      <c r="O716">
        <v>1</v>
      </c>
    </row>
    <row r="717" spans="1:15" ht="27" x14ac:dyDescent="0.3">
      <c r="A717" s="26" t="s">
        <v>1045</v>
      </c>
      <c r="B717" s="28" t="s">
        <v>66</v>
      </c>
      <c r="C717" s="28" t="s">
        <v>12</v>
      </c>
      <c r="D717" s="37" t="s">
        <v>1363</v>
      </c>
      <c r="E717" s="37" t="s">
        <v>1364</v>
      </c>
      <c r="F717" s="74">
        <v>44308</v>
      </c>
      <c r="G717" s="74">
        <v>44399</v>
      </c>
      <c r="H717" s="32" t="str">
        <f t="shared" si="22"/>
        <v>EVEN</v>
      </c>
      <c r="I717" s="103">
        <v>0</v>
      </c>
      <c r="J717" s="46" t="str">
        <f>UPPER(TEXT(F717,"mmm")) &amp; " - " &amp; UPPER(TEXT(G717,"mmm"))</f>
        <v>APR - JUL</v>
      </c>
      <c r="K717" s="46" t="s">
        <v>882</v>
      </c>
      <c r="L717" s="99" t="s">
        <v>3895</v>
      </c>
      <c r="M717" s="32" t="str">
        <f t="shared" si="23"/>
        <v>No</v>
      </c>
      <c r="N717" s="32">
        <f>G717 - F717</f>
        <v>91</v>
      </c>
      <c r="O717">
        <v>1</v>
      </c>
    </row>
    <row r="718" spans="1:15" x14ac:dyDescent="0.3">
      <c r="A718" s="26" t="s">
        <v>1365</v>
      </c>
      <c r="B718" s="28" t="s">
        <v>66</v>
      </c>
      <c r="C718" s="28" t="s">
        <v>12</v>
      </c>
      <c r="D718" s="37" t="s">
        <v>1366</v>
      </c>
      <c r="E718" s="37" t="s">
        <v>552</v>
      </c>
      <c r="F718" s="74">
        <v>44317</v>
      </c>
      <c r="G718" s="74">
        <v>44378</v>
      </c>
      <c r="H718" s="32" t="str">
        <f t="shared" si="22"/>
        <v>EVEN</v>
      </c>
      <c r="I718" s="103">
        <v>5000</v>
      </c>
      <c r="J718" s="46" t="str">
        <f>UPPER(TEXT(F718,"mmm")) &amp; " - " &amp; UPPER(TEXT(G718,"mmm"))</f>
        <v>MAY - JUL</v>
      </c>
      <c r="K718" s="46" t="s">
        <v>882</v>
      </c>
      <c r="L718" s="99" t="s">
        <v>3895</v>
      </c>
      <c r="M718" s="32" t="str">
        <f t="shared" si="23"/>
        <v>Yes</v>
      </c>
      <c r="N718" s="32">
        <f>G718 - F718</f>
        <v>61</v>
      </c>
      <c r="O718">
        <v>1</v>
      </c>
    </row>
    <row r="719" spans="1:15" x14ac:dyDescent="0.3">
      <c r="A719" s="26" t="s">
        <v>1091</v>
      </c>
      <c r="B719" s="28" t="s">
        <v>78</v>
      </c>
      <c r="C719" s="28" t="s">
        <v>12</v>
      </c>
      <c r="D719" s="37" t="s">
        <v>1367</v>
      </c>
      <c r="E719" s="37" t="s">
        <v>1368</v>
      </c>
      <c r="F719" s="74">
        <v>44371</v>
      </c>
      <c r="G719" s="74">
        <v>44400</v>
      </c>
      <c r="H719" s="32" t="str">
        <f t="shared" si="22"/>
        <v>EVEN</v>
      </c>
      <c r="I719" s="103">
        <v>3300</v>
      </c>
      <c r="J719" s="46" t="str">
        <f>UPPER(TEXT(F719,"mmm")) &amp; " - " &amp; UPPER(TEXT(G719,"mmm"))</f>
        <v>JUN - JUL</v>
      </c>
      <c r="K719" s="46" t="s">
        <v>882</v>
      </c>
      <c r="L719" s="99" t="s">
        <v>3895</v>
      </c>
      <c r="M719" s="32" t="str">
        <f t="shared" si="23"/>
        <v>Yes</v>
      </c>
      <c r="N719" s="32">
        <f>G719 - F719</f>
        <v>29</v>
      </c>
      <c r="O719">
        <v>1</v>
      </c>
    </row>
    <row r="720" spans="1:15" x14ac:dyDescent="0.3">
      <c r="A720" s="26" t="s">
        <v>1369</v>
      </c>
      <c r="B720" s="28" t="s">
        <v>11</v>
      </c>
      <c r="C720" s="28" t="s">
        <v>12</v>
      </c>
      <c r="D720" s="37" t="s">
        <v>1370</v>
      </c>
      <c r="E720" s="37" t="s">
        <v>1371</v>
      </c>
      <c r="F720" s="74">
        <v>44287</v>
      </c>
      <c r="G720" s="74">
        <v>44387</v>
      </c>
      <c r="H720" s="32" t="str">
        <f t="shared" si="22"/>
        <v>EVEN</v>
      </c>
      <c r="I720" s="103">
        <v>0</v>
      </c>
      <c r="J720" s="46" t="str">
        <f>UPPER(TEXT(F720,"mmm")) &amp; " - " &amp; UPPER(TEXT(G720,"mmm"))</f>
        <v>APR - JUL</v>
      </c>
      <c r="K720" s="46" t="s">
        <v>882</v>
      </c>
      <c r="L720" s="99" t="s">
        <v>3895</v>
      </c>
      <c r="M720" s="32" t="str">
        <f t="shared" si="23"/>
        <v>No</v>
      </c>
      <c r="N720" s="32">
        <f>G720 - F720</f>
        <v>100</v>
      </c>
      <c r="O720">
        <v>1</v>
      </c>
    </row>
    <row r="721" spans="1:15" x14ac:dyDescent="0.3">
      <c r="A721" s="26" t="s">
        <v>1372</v>
      </c>
      <c r="B721" s="28" t="s">
        <v>11</v>
      </c>
      <c r="C721" s="28" t="s">
        <v>12</v>
      </c>
      <c r="D721" s="37" t="s">
        <v>1373</v>
      </c>
      <c r="E721" s="37" t="s">
        <v>1374</v>
      </c>
      <c r="F721" s="74">
        <v>44381</v>
      </c>
      <c r="G721" s="74">
        <v>44402</v>
      </c>
      <c r="H721" s="32" t="str">
        <f t="shared" si="22"/>
        <v>EVEN</v>
      </c>
      <c r="I721" s="103">
        <v>0</v>
      </c>
      <c r="J721" s="46" t="str">
        <f>UPPER(TEXT(F721,"mmm")) &amp; " - " &amp; UPPER(TEXT(G721,"mmm"))</f>
        <v>JUL - JUL</v>
      </c>
      <c r="K721" s="46" t="s">
        <v>882</v>
      </c>
      <c r="L721" s="99" t="s">
        <v>3895</v>
      </c>
      <c r="M721" s="32" t="str">
        <f t="shared" si="23"/>
        <v>No</v>
      </c>
      <c r="N721" s="32">
        <f>G721 - F721</f>
        <v>21</v>
      </c>
      <c r="O721">
        <v>1</v>
      </c>
    </row>
    <row r="722" spans="1:15" x14ac:dyDescent="0.3">
      <c r="A722" s="47" t="s">
        <v>316</v>
      </c>
      <c r="B722" s="59" t="s">
        <v>78</v>
      </c>
      <c r="C722" s="59" t="s">
        <v>12</v>
      </c>
      <c r="D722" s="48" t="s">
        <v>1375</v>
      </c>
      <c r="E722" s="49" t="s">
        <v>1376</v>
      </c>
      <c r="F722" s="74">
        <v>44292</v>
      </c>
      <c r="G722" s="74">
        <v>44408</v>
      </c>
      <c r="H722" s="32" t="str">
        <f t="shared" si="22"/>
        <v>EVEN</v>
      </c>
      <c r="I722" s="104">
        <v>0</v>
      </c>
      <c r="J722" s="46" t="str">
        <f>UPPER(TEXT(F722,"mmm")) &amp; " - " &amp; UPPER(TEXT(G722,"mmm"))</f>
        <v>APR - JUL</v>
      </c>
      <c r="K722" s="46" t="s">
        <v>882</v>
      </c>
      <c r="L722" s="99" t="s">
        <v>3895</v>
      </c>
      <c r="M722" s="32" t="str">
        <f t="shared" si="23"/>
        <v>No</v>
      </c>
      <c r="N722" s="32">
        <f>G722 - F722</f>
        <v>116</v>
      </c>
      <c r="O722">
        <v>1</v>
      </c>
    </row>
    <row r="723" spans="1:15" x14ac:dyDescent="0.3">
      <c r="A723" s="47" t="s">
        <v>1377</v>
      </c>
      <c r="B723" s="59" t="s">
        <v>78</v>
      </c>
      <c r="C723" s="59" t="s">
        <v>12</v>
      </c>
      <c r="D723" s="48" t="s">
        <v>1378</v>
      </c>
      <c r="E723" s="50" t="s">
        <v>1379</v>
      </c>
      <c r="F723" s="74">
        <v>44348</v>
      </c>
      <c r="G723" s="74">
        <v>44371</v>
      </c>
      <c r="H723" s="32" t="str">
        <f t="shared" si="22"/>
        <v>EVEN</v>
      </c>
      <c r="I723" s="104">
        <v>0</v>
      </c>
      <c r="J723" s="46" t="str">
        <f>UPPER(TEXT(F723,"mmm")) &amp; " - " &amp; UPPER(TEXT(G723,"mmm"))</f>
        <v>JUN - JUN</v>
      </c>
      <c r="K723" s="46" t="s">
        <v>882</v>
      </c>
      <c r="L723" s="99" t="s">
        <v>3895</v>
      </c>
      <c r="M723" s="32" t="str">
        <f t="shared" si="23"/>
        <v>No</v>
      </c>
      <c r="N723" s="32">
        <f>G723 - F723</f>
        <v>23</v>
      </c>
      <c r="O723">
        <v>1</v>
      </c>
    </row>
    <row r="724" spans="1:15" x14ac:dyDescent="0.3">
      <c r="A724" s="47" t="s">
        <v>1380</v>
      </c>
      <c r="B724" s="59" t="s">
        <v>78</v>
      </c>
      <c r="C724" s="59" t="s">
        <v>12</v>
      </c>
      <c r="D724" s="48" t="s">
        <v>1381</v>
      </c>
      <c r="E724" s="50" t="s">
        <v>1382</v>
      </c>
      <c r="F724" s="74">
        <v>44348</v>
      </c>
      <c r="G724" s="74">
        <v>44377</v>
      </c>
      <c r="H724" s="32" t="str">
        <f t="shared" si="22"/>
        <v>EVEN</v>
      </c>
      <c r="I724" s="104">
        <v>0</v>
      </c>
      <c r="J724" s="46" t="str">
        <f>UPPER(TEXT(F724,"mmm")) &amp; " - " &amp; UPPER(TEXT(G724,"mmm"))</f>
        <v>JUN - JUN</v>
      </c>
      <c r="K724" s="46" t="s">
        <v>882</v>
      </c>
      <c r="L724" s="99" t="s">
        <v>3895</v>
      </c>
      <c r="M724" s="32" t="str">
        <f t="shared" si="23"/>
        <v>No</v>
      </c>
      <c r="N724" s="32">
        <f>G724 - F724</f>
        <v>29</v>
      </c>
      <c r="O724">
        <v>1</v>
      </c>
    </row>
    <row r="725" spans="1:15" ht="40.200000000000003" x14ac:dyDescent="0.3">
      <c r="A725" s="47" t="s">
        <v>1383</v>
      </c>
      <c r="B725" s="59" t="s">
        <v>78</v>
      </c>
      <c r="C725" s="59" t="s">
        <v>12</v>
      </c>
      <c r="D725" s="48" t="s">
        <v>917</v>
      </c>
      <c r="E725" s="50" t="s">
        <v>1384</v>
      </c>
      <c r="F725" s="74">
        <v>44228</v>
      </c>
      <c r="G725" s="74">
        <v>44255</v>
      </c>
      <c r="H725" s="32" t="str">
        <f t="shared" si="22"/>
        <v>EVEN</v>
      </c>
      <c r="I725" s="104">
        <v>0</v>
      </c>
      <c r="J725" s="46" t="str">
        <f>UPPER(TEXT(F725,"mmm")) &amp; " - " &amp; UPPER(TEXT(G725,"mmm"))</f>
        <v>FEB - FEB</v>
      </c>
      <c r="K725" s="46" t="s">
        <v>882</v>
      </c>
      <c r="L725" s="99" t="s">
        <v>3895</v>
      </c>
      <c r="M725" s="32" t="str">
        <f t="shared" si="23"/>
        <v>No</v>
      </c>
      <c r="N725" s="32">
        <f>G725 - F725</f>
        <v>27</v>
      </c>
      <c r="O725">
        <v>1</v>
      </c>
    </row>
    <row r="726" spans="1:15" ht="40.200000000000003" x14ac:dyDescent="0.3">
      <c r="A726" s="47" t="s">
        <v>1057</v>
      </c>
      <c r="B726" s="59" t="s">
        <v>78</v>
      </c>
      <c r="C726" s="59" t="s">
        <v>12</v>
      </c>
      <c r="D726" s="48" t="s">
        <v>1375</v>
      </c>
      <c r="E726" s="50" t="s">
        <v>1385</v>
      </c>
      <c r="F726" s="74">
        <v>44292</v>
      </c>
      <c r="G726" s="74">
        <v>44408</v>
      </c>
      <c r="H726" s="32" t="str">
        <f t="shared" si="22"/>
        <v>EVEN</v>
      </c>
      <c r="I726" s="104">
        <v>0</v>
      </c>
      <c r="J726" s="46" t="str">
        <f>UPPER(TEXT(F726,"mmm")) &amp; " - " &amp; UPPER(TEXT(G726,"mmm"))</f>
        <v>APR - JUL</v>
      </c>
      <c r="K726" s="46" t="s">
        <v>882</v>
      </c>
      <c r="L726" s="99" t="s">
        <v>3895</v>
      </c>
      <c r="M726" s="32" t="str">
        <f t="shared" si="23"/>
        <v>No</v>
      </c>
      <c r="N726" s="32">
        <f>G726 - F726</f>
        <v>116</v>
      </c>
      <c r="O726">
        <v>1</v>
      </c>
    </row>
    <row r="727" spans="1:15" x14ac:dyDescent="0.3">
      <c r="A727" s="47" t="s">
        <v>597</v>
      </c>
      <c r="B727" s="59" t="s">
        <v>66</v>
      </c>
      <c r="C727" s="59" t="s">
        <v>12</v>
      </c>
      <c r="D727" s="48" t="s">
        <v>1375</v>
      </c>
      <c r="E727" s="48" t="s">
        <v>1386</v>
      </c>
      <c r="F727" s="74">
        <v>44292</v>
      </c>
      <c r="G727" s="74">
        <v>44408</v>
      </c>
      <c r="H727" s="32" t="str">
        <f t="shared" si="22"/>
        <v>EVEN</v>
      </c>
      <c r="I727" s="104">
        <v>0</v>
      </c>
      <c r="J727" s="46" t="str">
        <f>UPPER(TEXT(F727,"mmm")) &amp; " - " &amp; UPPER(TEXT(G727,"mmm"))</f>
        <v>APR - JUL</v>
      </c>
      <c r="K727" s="46" t="s">
        <v>882</v>
      </c>
      <c r="L727" s="99" t="s">
        <v>3895</v>
      </c>
      <c r="M727" s="32" t="str">
        <f t="shared" si="23"/>
        <v>No</v>
      </c>
      <c r="N727" s="32">
        <f>G727 - F727</f>
        <v>116</v>
      </c>
      <c r="O727">
        <v>1</v>
      </c>
    </row>
    <row r="728" spans="1:15" ht="27" x14ac:dyDescent="0.3">
      <c r="A728" s="47" t="s">
        <v>346</v>
      </c>
      <c r="B728" s="59" t="s">
        <v>66</v>
      </c>
      <c r="C728" s="59" t="s">
        <v>12</v>
      </c>
      <c r="D728" s="48" t="s">
        <v>1387</v>
      </c>
      <c r="E728" s="50" t="s">
        <v>1388</v>
      </c>
      <c r="F728" s="74">
        <v>44348</v>
      </c>
      <c r="G728" s="74">
        <v>44389</v>
      </c>
      <c r="H728" s="32" t="str">
        <f t="shared" si="22"/>
        <v>EVEN</v>
      </c>
      <c r="I728" s="104">
        <v>0</v>
      </c>
      <c r="J728" s="46" t="str">
        <f>UPPER(TEXT(F728,"mmm")) &amp; " - " &amp; UPPER(TEXT(G728,"mmm"))</f>
        <v>JUN - JUL</v>
      </c>
      <c r="K728" s="46" t="s">
        <v>882</v>
      </c>
      <c r="L728" s="99" t="s">
        <v>3895</v>
      </c>
      <c r="M728" s="32" t="str">
        <f t="shared" si="23"/>
        <v>No</v>
      </c>
      <c r="N728" s="32">
        <f>G728 - F728</f>
        <v>41</v>
      </c>
      <c r="O728">
        <v>1</v>
      </c>
    </row>
    <row r="729" spans="1:15" x14ac:dyDescent="0.3">
      <c r="A729" s="47" t="s">
        <v>1389</v>
      </c>
      <c r="B729" s="59" t="s">
        <v>11</v>
      </c>
      <c r="C729" s="59" t="s">
        <v>12</v>
      </c>
      <c r="D729" s="48" t="s">
        <v>1329</v>
      </c>
      <c r="E729" s="48" t="s">
        <v>1390</v>
      </c>
      <c r="F729" s="74">
        <v>44201</v>
      </c>
      <c r="G729" s="74">
        <v>44256</v>
      </c>
      <c r="H729" s="32" t="str">
        <f t="shared" si="22"/>
        <v>EVEN</v>
      </c>
      <c r="I729" s="104">
        <v>0</v>
      </c>
      <c r="J729" s="46" t="str">
        <f>UPPER(TEXT(F729,"mmm")) &amp; " - " &amp; UPPER(TEXT(G729,"mmm"))</f>
        <v>JAN - MAR</v>
      </c>
      <c r="K729" s="46" t="s">
        <v>882</v>
      </c>
      <c r="L729" s="99" t="s">
        <v>3895</v>
      </c>
      <c r="M729" s="32" t="str">
        <f t="shared" si="23"/>
        <v>No</v>
      </c>
      <c r="N729" s="32">
        <f>G729 - F729</f>
        <v>55</v>
      </c>
      <c r="O729">
        <v>1</v>
      </c>
    </row>
    <row r="730" spans="1:15" ht="27" x14ac:dyDescent="0.3">
      <c r="A730" s="47" t="s">
        <v>1391</v>
      </c>
      <c r="B730" s="59" t="s">
        <v>11</v>
      </c>
      <c r="C730" s="59" t="s">
        <v>12</v>
      </c>
      <c r="D730" s="48" t="s">
        <v>1392</v>
      </c>
      <c r="E730" s="48" t="s">
        <v>1393</v>
      </c>
      <c r="F730" s="74">
        <v>44372</v>
      </c>
      <c r="G730" s="74">
        <v>44413</v>
      </c>
      <c r="H730" s="32" t="str">
        <f t="shared" si="22"/>
        <v>EVEN</v>
      </c>
      <c r="I730" s="104">
        <v>0</v>
      </c>
      <c r="J730" s="46" t="str">
        <f>UPPER(TEXT(F730,"mmm")) &amp; " - " &amp; UPPER(TEXT(G730,"mmm"))</f>
        <v>JUN - AUG</v>
      </c>
      <c r="K730" s="46" t="s">
        <v>882</v>
      </c>
      <c r="L730" s="99" t="s">
        <v>3895</v>
      </c>
      <c r="M730" s="32" t="str">
        <f t="shared" si="23"/>
        <v>No</v>
      </c>
      <c r="N730" s="32">
        <f>G730 - F730</f>
        <v>41</v>
      </c>
      <c r="O730">
        <v>1</v>
      </c>
    </row>
    <row r="731" spans="1:15" ht="27" x14ac:dyDescent="0.3">
      <c r="A731" s="47" t="s">
        <v>1394</v>
      </c>
      <c r="B731" s="59" t="s">
        <v>11</v>
      </c>
      <c r="C731" s="59" t="s">
        <v>12</v>
      </c>
      <c r="D731" s="48" t="s">
        <v>1395</v>
      </c>
      <c r="E731" s="48" t="s">
        <v>1396</v>
      </c>
      <c r="F731" s="74">
        <v>44317</v>
      </c>
      <c r="G731" s="74">
        <v>44408</v>
      </c>
      <c r="H731" s="32" t="str">
        <f t="shared" si="22"/>
        <v>EVEN</v>
      </c>
      <c r="I731" s="104">
        <v>0</v>
      </c>
      <c r="J731" s="46" t="str">
        <f>UPPER(TEXT(F731,"mmm")) &amp; " - " &amp; UPPER(TEXT(G731,"mmm"))</f>
        <v>MAY - JUL</v>
      </c>
      <c r="K731" s="46" t="s">
        <v>882</v>
      </c>
      <c r="L731" s="99" t="s">
        <v>3895</v>
      </c>
      <c r="M731" s="32" t="str">
        <f t="shared" si="23"/>
        <v>No</v>
      </c>
      <c r="N731" s="32">
        <f>G731 - F731</f>
        <v>91</v>
      </c>
      <c r="O731">
        <v>1</v>
      </c>
    </row>
    <row r="732" spans="1:15" x14ac:dyDescent="0.3">
      <c r="A732" s="47" t="s">
        <v>1397</v>
      </c>
      <c r="B732" s="59" t="s">
        <v>11</v>
      </c>
      <c r="C732" s="59" t="s">
        <v>12</v>
      </c>
      <c r="D732" s="48" t="s">
        <v>1398</v>
      </c>
      <c r="E732" s="48" t="s">
        <v>1399</v>
      </c>
      <c r="F732" s="74">
        <v>44317</v>
      </c>
      <c r="G732" s="74">
        <v>44408</v>
      </c>
      <c r="H732" s="32" t="str">
        <f t="shared" si="22"/>
        <v>EVEN</v>
      </c>
      <c r="I732" s="104">
        <v>0</v>
      </c>
      <c r="J732" s="46" t="str">
        <f>UPPER(TEXT(F732,"mmm")) &amp; " - " &amp; UPPER(TEXT(G732,"mmm"))</f>
        <v>MAY - JUL</v>
      </c>
      <c r="K732" s="46" t="s">
        <v>882</v>
      </c>
      <c r="L732" s="99" t="s">
        <v>3895</v>
      </c>
      <c r="M732" s="32" t="str">
        <f t="shared" si="23"/>
        <v>No</v>
      </c>
      <c r="N732" s="32">
        <f>G732 - F732</f>
        <v>91</v>
      </c>
      <c r="O732">
        <v>1</v>
      </c>
    </row>
    <row r="733" spans="1:15" ht="27" x14ac:dyDescent="0.3">
      <c r="A733" s="47" t="s">
        <v>1400</v>
      </c>
      <c r="B733" s="59" t="s">
        <v>78</v>
      </c>
      <c r="C733" s="59" t="s">
        <v>12</v>
      </c>
      <c r="D733" s="48" t="s">
        <v>1401</v>
      </c>
      <c r="E733" s="48" t="s">
        <v>1402</v>
      </c>
      <c r="F733" s="74">
        <v>44207</v>
      </c>
      <c r="G733" s="74">
        <v>44295</v>
      </c>
      <c r="H733" s="32" t="str">
        <f t="shared" si="22"/>
        <v>EVEN</v>
      </c>
      <c r="I733" s="104">
        <v>0</v>
      </c>
      <c r="J733" s="46" t="str">
        <f>UPPER(TEXT(F733,"mmm")) &amp; " - " &amp; UPPER(TEXT(G733,"mmm"))</f>
        <v>JAN - APR</v>
      </c>
      <c r="K733" s="46" t="s">
        <v>882</v>
      </c>
      <c r="L733" s="99" t="s">
        <v>3895</v>
      </c>
      <c r="M733" s="32" t="str">
        <f t="shared" si="23"/>
        <v>No</v>
      </c>
      <c r="N733" s="32">
        <f>G733 - F733</f>
        <v>88</v>
      </c>
      <c r="O733">
        <v>1</v>
      </c>
    </row>
    <row r="734" spans="1:15" ht="40.200000000000003" x14ac:dyDescent="0.3">
      <c r="A734" s="47" t="s">
        <v>1400</v>
      </c>
      <c r="B734" s="59" t="s">
        <v>78</v>
      </c>
      <c r="C734" s="59" t="s">
        <v>12</v>
      </c>
      <c r="D734" s="48" t="s">
        <v>1403</v>
      </c>
      <c r="E734" s="48" t="s">
        <v>1404</v>
      </c>
      <c r="F734" s="74">
        <v>44295</v>
      </c>
      <c r="G734" s="74">
        <v>44357</v>
      </c>
      <c r="H734" s="32" t="str">
        <f t="shared" si="22"/>
        <v>EVEN</v>
      </c>
      <c r="I734" s="104">
        <v>2000</v>
      </c>
      <c r="J734" s="46" t="str">
        <f>UPPER(TEXT(F734,"mmm")) &amp; " - " &amp; UPPER(TEXT(G734,"mmm"))</f>
        <v>APR - JUN</v>
      </c>
      <c r="K734" s="46" t="s">
        <v>882</v>
      </c>
      <c r="L734" s="99" t="s">
        <v>3895</v>
      </c>
      <c r="M734" s="32" t="str">
        <f t="shared" si="23"/>
        <v>Yes</v>
      </c>
      <c r="N734" s="32">
        <f>G734 - F734</f>
        <v>62</v>
      </c>
      <c r="O734">
        <v>1</v>
      </c>
    </row>
    <row r="735" spans="1:15" x14ac:dyDescent="0.3">
      <c r="A735" s="47" t="s">
        <v>1405</v>
      </c>
      <c r="B735" s="59" t="s">
        <v>78</v>
      </c>
      <c r="C735" s="59" t="s">
        <v>12</v>
      </c>
      <c r="D735" s="48" t="s">
        <v>964</v>
      </c>
      <c r="E735" s="48" t="s">
        <v>1406</v>
      </c>
      <c r="F735" s="74">
        <v>44214</v>
      </c>
      <c r="G735" s="74">
        <v>44259</v>
      </c>
      <c r="H735" s="32" t="str">
        <f t="shared" si="22"/>
        <v>EVEN</v>
      </c>
      <c r="I735" s="104">
        <v>0</v>
      </c>
      <c r="J735" s="46" t="str">
        <f>UPPER(TEXT(F735,"mmm")) &amp; " - " &amp; UPPER(TEXT(G735,"mmm"))</f>
        <v>JAN - MAR</v>
      </c>
      <c r="K735" s="46" t="s">
        <v>882</v>
      </c>
      <c r="L735" s="99" t="s">
        <v>3895</v>
      </c>
      <c r="M735" s="32" t="str">
        <f t="shared" si="23"/>
        <v>No</v>
      </c>
      <c r="N735" s="32">
        <f>G735 - F735</f>
        <v>45</v>
      </c>
      <c r="O735">
        <v>1</v>
      </c>
    </row>
    <row r="736" spans="1:15" ht="27" x14ac:dyDescent="0.3">
      <c r="A736" s="47" t="s">
        <v>1407</v>
      </c>
      <c r="B736" s="59" t="s">
        <v>78</v>
      </c>
      <c r="C736" s="59" t="s">
        <v>12</v>
      </c>
      <c r="D736" s="48" t="s">
        <v>1005</v>
      </c>
      <c r="E736" s="48" t="s">
        <v>1016</v>
      </c>
      <c r="F736" s="74">
        <v>44348</v>
      </c>
      <c r="G736" s="74">
        <v>44377</v>
      </c>
      <c r="H736" s="32" t="str">
        <f t="shared" si="22"/>
        <v>EVEN</v>
      </c>
      <c r="I736" s="104">
        <v>0</v>
      </c>
      <c r="J736" s="46" t="str">
        <f>UPPER(TEXT(F736,"mmm")) &amp; " - " &amp; UPPER(TEXT(G736,"mmm"))</f>
        <v>JUN - JUN</v>
      </c>
      <c r="K736" s="46" t="s">
        <v>882</v>
      </c>
      <c r="L736" s="99" t="s">
        <v>3895</v>
      </c>
      <c r="M736" s="32" t="str">
        <f t="shared" si="23"/>
        <v>No</v>
      </c>
      <c r="N736" s="32">
        <f>G736 - F736</f>
        <v>29</v>
      </c>
      <c r="O736">
        <v>1</v>
      </c>
    </row>
    <row r="737" spans="1:15" ht="27" x14ac:dyDescent="0.3">
      <c r="A737" s="47" t="s">
        <v>1408</v>
      </c>
      <c r="B737" s="59" t="s">
        <v>78</v>
      </c>
      <c r="C737" s="59" t="s">
        <v>12</v>
      </c>
      <c r="D737" s="48" t="s">
        <v>1409</v>
      </c>
      <c r="E737" s="48" t="s">
        <v>1410</v>
      </c>
      <c r="F737" s="74">
        <v>44292</v>
      </c>
      <c r="G737" s="74">
        <v>44408</v>
      </c>
      <c r="H737" s="32" t="str">
        <f t="shared" si="22"/>
        <v>EVEN</v>
      </c>
      <c r="I737" s="104">
        <v>0</v>
      </c>
      <c r="J737" s="46" t="str">
        <f>UPPER(TEXT(F737,"mmm")) &amp; " - " &amp; UPPER(TEXT(G737,"mmm"))</f>
        <v>APR - JUL</v>
      </c>
      <c r="K737" s="46" t="s">
        <v>882</v>
      </c>
      <c r="L737" s="99" t="s">
        <v>3895</v>
      </c>
      <c r="M737" s="32" t="str">
        <f t="shared" si="23"/>
        <v>No</v>
      </c>
      <c r="N737" s="32">
        <f>G737 - F737</f>
        <v>116</v>
      </c>
      <c r="O737">
        <v>1</v>
      </c>
    </row>
    <row r="738" spans="1:15" x14ac:dyDescent="0.3">
      <c r="A738" s="47" t="s">
        <v>1411</v>
      </c>
      <c r="B738" s="59" t="s">
        <v>78</v>
      </c>
      <c r="C738" s="59" t="s">
        <v>12</v>
      </c>
      <c r="D738" s="48" t="s">
        <v>1412</v>
      </c>
      <c r="E738" s="48" t="s">
        <v>1413</v>
      </c>
      <c r="F738" s="74">
        <v>44295</v>
      </c>
      <c r="G738" s="74">
        <v>44357</v>
      </c>
      <c r="H738" s="32" t="str">
        <f t="shared" si="22"/>
        <v>EVEN</v>
      </c>
      <c r="I738" s="104">
        <v>1000</v>
      </c>
      <c r="J738" s="46" t="str">
        <f>UPPER(TEXT(F738,"mmm")) &amp; " - " &amp; UPPER(TEXT(G738,"mmm"))</f>
        <v>APR - JUN</v>
      </c>
      <c r="K738" s="46" t="s">
        <v>882</v>
      </c>
      <c r="L738" s="99" t="s">
        <v>3895</v>
      </c>
      <c r="M738" s="32" t="str">
        <f t="shared" si="23"/>
        <v>Yes</v>
      </c>
      <c r="N738" s="32">
        <f>G738 - F738</f>
        <v>62</v>
      </c>
      <c r="O738">
        <v>1</v>
      </c>
    </row>
    <row r="739" spans="1:15" x14ac:dyDescent="0.3">
      <c r="A739" s="47" t="s">
        <v>1414</v>
      </c>
      <c r="B739" s="59" t="s">
        <v>78</v>
      </c>
      <c r="C739" s="59" t="s">
        <v>12</v>
      </c>
      <c r="D739" s="48" t="s">
        <v>1415</v>
      </c>
      <c r="E739" s="48" t="s">
        <v>1416</v>
      </c>
      <c r="F739" s="74">
        <v>44348</v>
      </c>
      <c r="G739" s="74">
        <v>44378</v>
      </c>
      <c r="H739" s="32" t="str">
        <f t="shared" si="22"/>
        <v>EVEN</v>
      </c>
      <c r="I739" s="104">
        <v>1310</v>
      </c>
      <c r="J739" s="46" t="str">
        <f>UPPER(TEXT(F739,"mmm")) &amp; " - " &amp; UPPER(TEXT(G739,"mmm"))</f>
        <v>JUN - JUL</v>
      </c>
      <c r="K739" s="46" t="s">
        <v>882</v>
      </c>
      <c r="L739" s="99" t="s">
        <v>3895</v>
      </c>
      <c r="M739" s="32" t="str">
        <f t="shared" si="23"/>
        <v>Yes</v>
      </c>
      <c r="N739" s="32">
        <f>G739 - F739</f>
        <v>30</v>
      </c>
      <c r="O739">
        <v>1</v>
      </c>
    </row>
    <row r="740" spans="1:15" x14ac:dyDescent="0.3">
      <c r="A740" s="47" t="s">
        <v>1414</v>
      </c>
      <c r="B740" s="59" t="s">
        <v>78</v>
      </c>
      <c r="C740" s="59" t="s">
        <v>12</v>
      </c>
      <c r="D740" s="48" t="s">
        <v>1395</v>
      </c>
      <c r="E740" s="48" t="s">
        <v>497</v>
      </c>
      <c r="F740" s="74">
        <v>44345</v>
      </c>
      <c r="G740" s="74">
        <v>44408</v>
      </c>
      <c r="H740" s="32" t="str">
        <f t="shared" si="22"/>
        <v>EVEN</v>
      </c>
      <c r="I740" s="104">
        <v>0</v>
      </c>
      <c r="J740" s="46" t="str">
        <f>UPPER(TEXT(F740,"mmm")) &amp; " - " &amp; UPPER(TEXT(G740,"mmm"))</f>
        <v>MAY - JUL</v>
      </c>
      <c r="K740" s="46" t="s">
        <v>882</v>
      </c>
      <c r="L740" s="99" t="s">
        <v>3895</v>
      </c>
      <c r="M740" s="32" t="str">
        <f t="shared" si="23"/>
        <v>No</v>
      </c>
      <c r="N740" s="32">
        <f>G740 - F740</f>
        <v>63</v>
      </c>
      <c r="O740">
        <v>1</v>
      </c>
    </row>
    <row r="741" spans="1:15" ht="40.200000000000003" x14ac:dyDescent="0.3">
      <c r="A741" s="47" t="s">
        <v>1417</v>
      </c>
      <c r="B741" s="59" t="s">
        <v>66</v>
      </c>
      <c r="C741" s="59" t="s">
        <v>12</v>
      </c>
      <c r="D741" s="48" t="s">
        <v>1418</v>
      </c>
      <c r="E741" s="48" t="s">
        <v>1419</v>
      </c>
      <c r="F741" s="74">
        <v>44348</v>
      </c>
      <c r="G741" s="74">
        <v>44408</v>
      </c>
      <c r="H741" s="32" t="str">
        <f t="shared" si="22"/>
        <v>EVEN</v>
      </c>
      <c r="I741" s="104">
        <v>0</v>
      </c>
      <c r="J741" s="46" t="str">
        <f>UPPER(TEXT(F741,"mmm")) &amp; " - " &amp; UPPER(TEXT(G741,"mmm"))</f>
        <v>JUN - JUL</v>
      </c>
      <c r="K741" s="46" t="s">
        <v>882</v>
      </c>
      <c r="L741" s="99" t="s">
        <v>3895</v>
      </c>
      <c r="M741" s="32" t="str">
        <f t="shared" si="23"/>
        <v>No</v>
      </c>
      <c r="N741" s="32">
        <f>G741 - F741</f>
        <v>60</v>
      </c>
      <c r="O741">
        <v>1</v>
      </c>
    </row>
    <row r="742" spans="1:15" ht="27" x14ac:dyDescent="0.3">
      <c r="A742" s="47" t="s">
        <v>1259</v>
      </c>
      <c r="B742" s="59" t="s">
        <v>66</v>
      </c>
      <c r="C742" s="59" t="s">
        <v>12</v>
      </c>
      <c r="D742" s="48" t="s">
        <v>1007</v>
      </c>
      <c r="E742" s="48" t="s">
        <v>1056</v>
      </c>
      <c r="F742" s="74">
        <v>44372</v>
      </c>
      <c r="G742" s="74">
        <v>44409</v>
      </c>
      <c r="H742" s="32" t="str">
        <f t="shared" si="22"/>
        <v>EVEN</v>
      </c>
      <c r="I742" s="104">
        <v>0</v>
      </c>
      <c r="J742" s="46" t="str">
        <f>UPPER(TEXT(F742,"mmm")) &amp; " - " &amp; UPPER(TEXT(G742,"mmm"))</f>
        <v>JUN - AUG</v>
      </c>
      <c r="K742" s="46" t="s">
        <v>882</v>
      </c>
      <c r="L742" s="99" t="s">
        <v>3895</v>
      </c>
      <c r="M742" s="32" t="str">
        <f t="shared" si="23"/>
        <v>No</v>
      </c>
      <c r="N742" s="32">
        <f>G742 - F742</f>
        <v>37</v>
      </c>
      <c r="O742">
        <v>1</v>
      </c>
    </row>
    <row r="743" spans="1:15" ht="40.200000000000003" x14ac:dyDescent="0.3">
      <c r="A743" s="47" t="s">
        <v>381</v>
      </c>
      <c r="B743" s="59" t="s">
        <v>66</v>
      </c>
      <c r="C743" s="59" t="s">
        <v>12</v>
      </c>
      <c r="D743" s="48" t="s">
        <v>1420</v>
      </c>
      <c r="E743" s="48" t="s">
        <v>1421</v>
      </c>
      <c r="F743" s="74">
        <v>44354</v>
      </c>
      <c r="G743" s="74">
        <v>44413</v>
      </c>
      <c r="H743" s="32" t="str">
        <f t="shared" si="22"/>
        <v>EVEN</v>
      </c>
      <c r="I743" s="104">
        <v>0</v>
      </c>
      <c r="J743" s="46" t="str">
        <f>UPPER(TEXT(F743,"mmm")) &amp; " - " &amp; UPPER(TEXT(G743,"mmm"))</f>
        <v>JUN - AUG</v>
      </c>
      <c r="K743" s="46" t="s">
        <v>882</v>
      </c>
      <c r="L743" s="99" t="s">
        <v>3895</v>
      </c>
      <c r="M743" s="32" t="str">
        <f t="shared" si="23"/>
        <v>No</v>
      </c>
      <c r="N743" s="32">
        <f>G743 - F743</f>
        <v>59</v>
      </c>
      <c r="O743">
        <v>1</v>
      </c>
    </row>
    <row r="744" spans="1:15" ht="27" x14ac:dyDescent="0.3">
      <c r="A744" s="47" t="s">
        <v>1138</v>
      </c>
      <c r="B744" s="59" t="s">
        <v>11</v>
      </c>
      <c r="C744" s="59" t="s">
        <v>12</v>
      </c>
      <c r="D744" s="48" t="s">
        <v>1422</v>
      </c>
      <c r="E744" s="48" t="s">
        <v>1423</v>
      </c>
      <c r="F744" s="74">
        <v>44354</v>
      </c>
      <c r="G744" s="74">
        <v>44421</v>
      </c>
      <c r="H744" s="32" t="str">
        <f t="shared" si="22"/>
        <v>EVEN</v>
      </c>
      <c r="I744" s="104">
        <v>60000</v>
      </c>
      <c r="J744" s="46" t="str">
        <f>UPPER(TEXT(F744,"mmm")) &amp; " - " &amp; UPPER(TEXT(G744,"mmm"))</f>
        <v>JUN - AUG</v>
      </c>
      <c r="K744" s="46" t="s">
        <v>882</v>
      </c>
      <c r="L744" s="99" t="s">
        <v>3895</v>
      </c>
      <c r="M744" s="32" t="str">
        <f t="shared" si="23"/>
        <v>Yes</v>
      </c>
      <c r="N744" s="32">
        <f>G744 - F744</f>
        <v>67</v>
      </c>
      <c r="O744">
        <v>1</v>
      </c>
    </row>
    <row r="745" spans="1:15" ht="40.200000000000003" x14ac:dyDescent="0.3">
      <c r="A745" s="47" t="s">
        <v>1424</v>
      </c>
      <c r="B745" s="59" t="s">
        <v>78</v>
      </c>
      <c r="C745" s="59" t="s">
        <v>12</v>
      </c>
      <c r="D745" s="48" t="s">
        <v>1425</v>
      </c>
      <c r="E745" s="48" t="s">
        <v>1426</v>
      </c>
      <c r="F745" s="74">
        <v>44347</v>
      </c>
      <c r="G745" s="74">
        <v>44407</v>
      </c>
      <c r="H745" s="32" t="str">
        <f t="shared" si="22"/>
        <v>EVEN</v>
      </c>
      <c r="I745" s="104">
        <v>0</v>
      </c>
      <c r="J745" s="46" t="str">
        <f>UPPER(TEXT(F745,"mmm")) &amp; " - " &amp; UPPER(TEXT(G745,"mmm"))</f>
        <v>MAY - JUL</v>
      </c>
      <c r="K745" s="46" t="s">
        <v>882</v>
      </c>
      <c r="L745" s="99" t="s">
        <v>3895</v>
      </c>
      <c r="M745" s="32" t="str">
        <f t="shared" si="23"/>
        <v>No</v>
      </c>
      <c r="N745" s="32">
        <f>G745 - F745</f>
        <v>60</v>
      </c>
      <c r="O745">
        <v>1</v>
      </c>
    </row>
    <row r="746" spans="1:15" x14ac:dyDescent="0.3">
      <c r="A746" s="47" t="s">
        <v>1427</v>
      </c>
      <c r="B746" s="59" t="s">
        <v>78</v>
      </c>
      <c r="C746" s="59" t="s">
        <v>12</v>
      </c>
      <c r="D746" s="48" t="s">
        <v>1428</v>
      </c>
      <c r="E746" s="48" t="s">
        <v>1429</v>
      </c>
      <c r="F746" s="74">
        <v>44378</v>
      </c>
      <c r="G746" s="74">
        <v>44409</v>
      </c>
      <c r="H746" s="32" t="str">
        <f t="shared" si="22"/>
        <v>EVEN</v>
      </c>
      <c r="I746" s="104">
        <v>0</v>
      </c>
      <c r="J746" s="46" t="str">
        <f>UPPER(TEXT(F746,"mmm")) &amp; " - " &amp; UPPER(TEXT(G746,"mmm"))</f>
        <v>JUL - AUG</v>
      </c>
      <c r="K746" s="46" t="s">
        <v>882</v>
      </c>
      <c r="L746" s="99" t="s">
        <v>3895</v>
      </c>
      <c r="M746" s="32" t="str">
        <f t="shared" si="23"/>
        <v>No</v>
      </c>
      <c r="N746" s="32">
        <f>G746 - F746</f>
        <v>31</v>
      </c>
      <c r="O746">
        <v>1</v>
      </c>
    </row>
    <row r="747" spans="1:15" x14ac:dyDescent="0.3">
      <c r="A747" s="47" t="s">
        <v>1430</v>
      </c>
      <c r="B747" s="59" t="s">
        <v>78</v>
      </c>
      <c r="C747" s="59" t="s">
        <v>12</v>
      </c>
      <c r="D747" s="48" t="s">
        <v>1431</v>
      </c>
      <c r="E747" s="48" t="s">
        <v>1432</v>
      </c>
      <c r="F747" s="74">
        <v>44352</v>
      </c>
      <c r="G747" s="74">
        <v>44412</v>
      </c>
      <c r="H747" s="32" t="str">
        <f t="shared" si="22"/>
        <v>EVEN</v>
      </c>
      <c r="I747" s="104">
        <v>0</v>
      </c>
      <c r="J747" s="46" t="str">
        <f>UPPER(TEXT(F747,"mmm")) &amp; " - " &amp; UPPER(TEXT(G747,"mmm"))</f>
        <v>JUN - AUG</v>
      </c>
      <c r="K747" s="46" t="s">
        <v>882</v>
      </c>
      <c r="L747" s="99" t="s">
        <v>3895</v>
      </c>
      <c r="M747" s="32" t="str">
        <f t="shared" si="23"/>
        <v>No</v>
      </c>
      <c r="N747" s="32">
        <f>G747 - F747</f>
        <v>60</v>
      </c>
      <c r="O747">
        <v>1</v>
      </c>
    </row>
    <row r="748" spans="1:15" ht="27" x14ac:dyDescent="0.3">
      <c r="A748" s="47" t="s">
        <v>29</v>
      </c>
      <c r="B748" s="59" t="s">
        <v>66</v>
      </c>
      <c r="C748" s="59" t="s">
        <v>12</v>
      </c>
      <c r="D748" s="48" t="s">
        <v>1433</v>
      </c>
      <c r="E748" s="48" t="s">
        <v>1434</v>
      </c>
      <c r="F748" s="74">
        <v>44348</v>
      </c>
      <c r="G748" s="74">
        <v>44414</v>
      </c>
      <c r="H748" s="32" t="str">
        <f t="shared" si="22"/>
        <v>EVEN</v>
      </c>
      <c r="I748" s="104">
        <v>7500</v>
      </c>
      <c r="J748" s="46" t="str">
        <f>UPPER(TEXT(F748,"mmm")) &amp; " - " &amp; UPPER(TEXT(G748,"mmm"))</f>
        <v>JUN - AUG</v>
      </c>
      <c r="K748" s="46" t="s">
        <v>882</v>
      </c>
      <c r="L748" s="99" t="s">
        <v>3895</v>
      </c>
      <c r="M748" s="32" t="str">
        <f t="shared" si="23"/>
        <v>Yes</v>
      </c>
      <c r="N748" s="32">
        <f>G748 - F748</f>
        <v>66</v>
      </c>
      <c r="O748">
        <v>1</v>
      </c>
    </row>
    <row r="749" spans="1:15" x14ac:dyDescent="0.3">
      <c r="A749" s="47" t="s">
        <v>673</v>
      </c>
      <c r="B749" s="59" t="s">
        <v>66</v>
      </c>
      <c r="C749" s="59" t="s">
        <v>12</v>
      </c>
      <c r="D749" s="48" t="s">
        <v>1363</v>
      </c>
      <c r="E749" s="48" t="s">
        <v>1255</v>
      </c>
      <c r="F749" s="74">
        <v>44308</v>
      </c>
      <c r="G749" s="74">
        <v>44399</v>
      </c>
      <c r="H749" s="32" t="str">
        <f t="shared" si="22"/>
        <v>EVEN</v>
      </c>
      <c r="I749" s="104">
        <v>0</v>
      </c>
      <c r="J749" s="46" t="str">
        <f>UPPER(TEXT(F749,"mmm")) &amp; " - " &amp; UPPER(TEXT(G749,"mmm"))</f>
        <v>APR - JUL</v>
      </c>
      <c r="K749" s="46" t="s">
        <v>882</v>
      </c>
      <c r="L749" s="99" t="s">
        <v>3895</v>
      </c>
      <c r="M749" s="32" t="str">
        <f t="shared" si="23"/>
        <v>No</v>
      </c>
      <c r="N749" s="32">
        <f>G749 - F749</f>
        <v>91</v>
      </c>
      <c r="O749">
        <v>1</v>
      </c>
    </row>
    <row r="750" spans="1:15" x14ac:dyDescent="0.3">
      <c r="A750" s="47" t="s">
        <v>1435</v>
      </c>
      <c r="B750" s="59" t="s">
        <v>78</v>
      </c>
      <c r="C750" s="59" t="s">
        <v>12</v>
      </c>
      <c r="D750" s="48" t="s">
        <v>634</v>
      </c>
      <c r="E750" s="48" t="s">
        <v>1436</v>
      </c>
      <c r="F750" s="74">
        <v>44348</v>
      </c>
      <c r="G750" s="74">
        <v>44408</v>
      </c>
      <c r="H750" s="32" t="str">
        <f t="shared" si="22"/>
        <v>EVEN</v>
      </c>
      <c r="I750" s="104">
        <v>0</v>
      </c>
      <c r="J750" s="46" t="str">
        <f>UPPER(TEXT(F750,"mmm")) &amp; " - " &amp; UPPER(TEXT(G750,"mmm"))</f>
        <v>JUN - JUL</v>
      </c>
      <c r="K750" s="46" t="s">
        <v>882</v>
      </c>
      <c r="L750" s="59" t="s">
        <v>895</v>
      </c>
      <c r="M750" s="32" t="str">
        <f t="shared" si="23"/>
        <v>No</v>
      </c>
      <c r="N750" s="32">
        <f>G750 - F750</f>
        <v>60</v>
      </c>
      <c r="O750">
        <v>1</v>
      </c>
    </row>
    <row r="751" spans="1:15" x14ac:dyDescent="0.3">
      <c r="A751" s="47" t="s">
        <v>1091</v>
      </c>
      <c r="B751" s="59" t="s">
        <v>78</v>
      </c>
      <c r="C751" s="59" t="s">
        <v>12</v>
      </c>
      <c r="D751" s="48" t="s">
        <v>1437</v>
      </c>
      <c r="E751" s="48" t="s">
        <v>1438</v>
      </c>
      <c r="F751" s="74">
        <v>44375</v>
      </c>
      <c r="G751" s="74">
        <v>44420</v>
      </c>
      <c r="H751" s="32" t="str">
        <f t="shared" si="22"/>
        <v>EVEN</v>
      </c>
      <c r="I751" s="104">
        <v>0</v>
      </c>
      <c r="J751" s="46" t="str">
        <f>UPPER(TEXT(F751,"mmm")) &amp; " - " &amp; UPPER(TEXT(G751,"mmm"))</f>
        <v>JUN - AUG</v>
      </c>
      <c r="K751" s="46" t="s">
        <v>882</v>
      </c>
      <c r="L751" s="99" t="s">
        <v>3895</v>
      </c>
      <c r="M751" s="32" t="str">
        <f t="shared" si="23"/>
        <v>No</v>
      </c>
      <c r="N751" s="32">
        <f>G751 - F751</f>
        <v>45</v>
      </c>
      <c r="O751">
        <v>1</v>
      </c>
    </row>
    <row r="752" spans="1:15" x14ac:dyDescent="0.3">
      <c r="A752" s="47" t="s">
        <v>1439</v>
      </c>
      <c r="B752" s="59" t="s">
        <v>78</v>
      </c>
      <c r="C752" s="59" t="s">
        <v>12</v>
      </c>
      <c r="D752" s="48" t="s">
        <v>1440</v>
      </c>
      <c r="E752" s="48" t="s">
        <v>1441</v>
      </c>
      <c r="F752" s="74">
        <v>44201</v>
      </c>
      <c r="G752" s="74">
        <v>44377</v>
      </c>
      <c r="H752" s="32" t="str">
        <f t="shared" si="22"/>
        <v>EVEN</v>
      </c>
      <c r="I752" s="104">
        <v>2500</v>
      </c>
      <c r="J752" s="46" t="str">
        <f>UPPER(TEXT(F752,"mmm")) &amp; " - " &amp; UPPER(TEXT(G752,"mmm"))</f>
        <v>JAN - JUN</v>
      </c>
      <c r="K752" s="46" t="s">
        <v>882</v>
      </c>
      <c r="L752" s="99" t="s">
        <v>3895</v>
      </c>
      <c r="M752" s="32" t="str">
        <f t="shared" si="23"/>
        <v>Yes</v>
      </c>
      <c r="N752" s="32">
        <f>G752 - F752</f>
        <v>176</v>
      </c>
      <c r="O752">
        <v>1</v>
      </c>
    </row>
    <row r="753" spans="1:15" x14ac:dyDescent="0.3">
      <c r="A753" s="47" t="s">
        <v>1442</v>
      </c>
      <c r="B753" s="59" t="s">
        <v>78</v>
      </c>
      <c r="C753" s="59" t="s">
        <v>12</v>
      </c>
      <c r="D753" s="48" t="s">
        <v>1007</v>
      </c>
      <c r="E753" s="48" t="s">
        <v>1382</v>
      </c>
      <c r="F753" s="74">
        <v>44378</v>
      </c>
      <c r="G753" s="74">
        <v>44413</v>
      </c>
      <c r="H753" s="32" t="str">
        <f t="shared" si="22"/>
        <v>EVEN</v>
      </c>
      <c r="I753" s="104">
        <v>0</v>
      </c>
      <c r="J753" s="46" t="str">
        <f>UPPER(TEXT(F753,"mmm")) &amp; " - " &amp; UPPER(TEXT(G753,"mmm"))</f>
        <v>JUL - AUG</v>
      </c>
      <c r="K753" s="46" t="s">
        <v>882</v>
      </c>
      <c r="L753" s="99" t="s">
        <v>3895</v>
      </c>
      <c r="M753" s="32" t="str">
        <f t="shared" si="23"/>
        <v>No</v>
      </c>
      <c r="N753" s="32">
        <f>G753 - F753</f>
        <v>35</v>
      </c>
      <c r="O753">
        <v>1</v>
      </c>
    </row>
    <row r="754" spans="1:15" x14ac:dyDescent="0.3">
      <c r="A754" s="47" t="s">
        <v>180</v>
      </c>
      <c r="B754" s="59" t="s">
        <v>66</v>
      </c>
      <c r="C754" s="59" t="s">
        <v>12</v>
      </c>
      <c r="D754" s="48" t="s">
        <v>1443</v>
      </c>
      <c r="E754" s="48" t="s">
        <v>1444</v>
      </c>
      <c r="F754" s="74">
        <v>44354</v>
      </c>
      <c r="G754" s="74">
        <v>44400</v>
      </c>
      <c r="H754" s="32" t="str">
        <f t="shared" si="22"/>
        <v>EVEN</v>
      </c>
      <c r="I754" s="104">
        <v>0</v>
      </c>
      <c r="J754" s="46" t="str">
        <f>UPPER(TEXT(F754,"mmm")) &amp; " - " &amp; UPPER(TEXT(G754,"mmm"))</f>
        <v>JUN - JUL</v>
      </c>
      <c r="K754" s="46" t="s">
        <v>882</v>
      </c>
      <c r="L754" s="99" t="s">
        <v>3895</v>
      </c>
      <c r="M754" s="32" t="str">
        <f t="shared" si="23"/>
        <v>No</v>
      </c>
      <c r="N754" s="32">
        <f>G754 - F754</f>
        <v>46</v>
      </c>
      <c r="O754">
        <v>1</v>
      </c>
    </row>
    <row r="755" spans="1:15" x14ac:dyDescent="0.3">
      <c r="A755" s="47" t="s">
        <v>1003</v>
      </c>
      <c r="B755" s="59" t="s">
        <v>66</v>
      </c>
      <c r="C755" s="59" t="s">
        <v>12</v>
      </c>
      <c r="D755" s="48" t="s">
        <v>1445</v>
      </c>
      <c r="E755" s="48" t="s">
        <v>1446</v>
      </c>
      <c r="F755" s="74">
        <v>43945</v>
      </c>
      <c r="G755" s="74">
        <v>44380</v>
      </c>
      <c r="H755" s="32" t="str">
        <f t="shared" si="22"/>
        <v>EVEN</v>
      </c>
      <c r="I755" s="104">
        <v>0</v>
      </c>
      <c r="J755" s="46" t="str">
        <f>UPPER(TEXT(F755,"mmm")) &amp; " - " &amp; UPPER(TEXT(G755,"mmm"))</f>
        <v>APR - JUL</v>
      </c>
      <c r="K755" s="46" t="s">
        <v>882</v>
      </c>
      <c r="L755" s="99" t="s">
        <v>3895</v>
      </c>
      <c r="M755" s="32" t="str">
        <f t="shared" si="23"/>
        <v>No</v>
      </c>
      <c r="N755" s="32">
        <f>G755 - F755</f>
        <v>435</v>
      </c>
      <c r="O755">
        <v>1</v>
      </c>
    </row>
    <row r="756" spans="1:15" ht="27" x14ac:dyDescent="0.3">
      <c r="A756" s="47" t="s">
        <v>1084</v>
      </c>
      <c r="B756" s="59" t="s">
        <v>66</v>
      </c>
      <c r="C756" s="59" t="s">
        <v>12</v>
      </c>
      <c r="D756" s="48" t="s">
        <v>1375</v>
      </c>
      <c r="E756" s="48" t="s">
        <v>1447</v>
      </c>
      <c r="F756" s="74">
        <v>44292</v>
      </c>
      <c r="G756" s="74">
        <v>44408</v>
      </c>
      <c r="H756" s="32" t="str">
        <f t="shared" si="22"/>
        <v>EVEN</v>
      </c>
      <c r="I756" s="104">
        <v>0</v>
      </c>
      <c r="J756" s="46" t="str">
        <f>UPPER(TEXT(F756,"mmm")) &amp; " - " &amp; UPPER(TEXT(G756,"mmm"))</f>
        <v>APR - JUL</v>
      </c>
      <c r="K756" s="46" t="s">
        <v>882</v>
      </c>
      <c r="L756" s="99" t="s">
        <v>3895</v>
      </c>
      <c r="M756" s="32" t="str">
        <f t="shared" si="23"/>
        <v>No</v>
      </c>
      <c r="N756" s="32">
        <f>G756 - F756</f>
        <v>116</v>
      </c>
      <c r="O756">
        <v>1</v>
      </c>
    </row>
    <row r="757" spans="1:15" x14ac:dyDescent="0.3">
      <c r="A757" s="47" t="s">
        <v>1448</v>
      </c>
      <c r="B757" s="59" t="s">
        <v>11</v>
      </c>
      <c r="C757" s="59" t="s">
        <v>12</v>
      </c>
      <c r="D757" s="48" t="s">
        <v>1449</v>
      </c>
      <c r="E757" s="48" t="s">
        <v>497</v>
      </c>
      <c r="F757" s="74">
        <v>44295</v>
      </c>
      <c r="G757" s="74">
        <v>44323</v>
      </c>
      <c r="H757" s="32" t="str">
        <f t="shared" si="22"/>
        <v>EVEN</v>
      </c>
      <c r="I757" s="104">
        <v>0</v>
      </c>
      <c r="J757" s="46" t="str">
        <f>UPPER(TEXT(F757,"mmm")) &amp; " - " &amp; UPPER(TEXT(G757,"mmm"))</f>
        <v>APR - MAY</v>
      </c>
      <c r="K757" s="46" t="s">
        <v>882</v>
      </c>
      <c r="L757" s="99" t="s">
        <v>3895</v>
      </c>
      <c r="M757" s="32" t="str">
        <f t="shared" si="23"/>
        <v>No</v>
      </c>
      <c r="N757" s="32">
        <f>G757 - F757</f>
        <v>28</v>
      </c>
      <c r="O757">
        <v>1</v>
      </c>
    </row>
    <row r="758" spans="1:15" x14ac:dyDescent="0.3">
      <c r="A758" s="47" t="s">
        <v>1450</v>
      </c>
      <c r="B758" s="59" t="s">
        <v>11</v>
      </c>
      <c r="C758" s="59" t="s">
        <v>12</v>
      </c>
      <c r="D758" s="48" t="s">
        <v>1375</v>
      </c>
      <c r="E758" s="48" t="s">
        <v>1386</v>
      </c>
      <c r="F758" s="74">
        <v>44292</v>
      </c>
      <c r="G758" s="74">
        <v>44408</v>
      </c>
      <c r="H758" s="32" t="str">
        <f t="shared" si="22"/>
        <v>EVEN</v>
      </c>
      <c r="I758" s="104">
        <v>0</v>
      </c>
      <c r="J758" s="46" t="str">
        <f>UPPER(TEXT(F758,"mmm")) &amp; " - " &amp; UPPER(TEXT(G758,"mmm"))</f>
        <v>APR - JUL</v>
      </c>
      <c r="K758" s="46" t="s">
        <v>882</v>
      </c>
      <c r="L758" s="99" t="s">
        <v>3895</v>
      </c>
      <c r="M758" s="32" t="str">
        <f t="shared" si="23"/>
        <v>No</v>
      </c>
      <c r="N758" s="32">
        <f>G758 - F758</f>
        <v>116</v>
      </c>
      <c r="O758">
        <v>1</v>
      </c>
    </row>
    <row r="759" spans="1:15" x14ac:dyDescent="0.3">
      <c r="A759" s="47" t="s">
        <v>1451</v>
      </c>
      <c r="B759" s="59" t="s">
        <v>11</v>
      </c>
      <c r="C759" s="59" t="s">
        <v>12</v>
      </c>
      <c r="D759" s="48" t="s">
        <v>593</v>
      </c>
      <c r="E759" s="48" t="s">
        <v>1452</v>
      </c>
      <c r="F759" s="74">
        <v>44291</v>
      </c>
      <c r="G759" s="74">
        <v>44377</v>
      </c>
      <c r="H759" s="32" t="str">
        <f t="shared" si="22"/>
        <v>EVEN</v>
      </c>
      <c r="I759" s="104">
        <v>0</v>
      </c>
      <c r="J759" s="46" t="str">
        <f>UPPER(TEXT(F759,"mmm")) &amp; " - " &amp; UPPER(TEXT(G759,"mmm"))</f>
        <v>APR - JUN</v>
      </c>
      <c r="K759" s="46" t="s">
        <v>882</v>
      </c>
      <c r="L759" s="59" t="s">
        <v>895</v>
      </c>
      <c r="M759" s="32" t="str">
        <f t="shared" si="23"/>
        <v>No</v>
      </c>
      <c r="N759" s="32">
        <f>G759 - F759</f>
        <v>86</v>
      </c>
      <c r="O759">
        <v>1</v>
      </c>
    </row>
    <row r="760" spans="1:15" x14ac:dyDescent="0.3">
      <c r="A760" s="47" t="s">
        <v>950</v>
      </c>
      <c r="B760" s="59" t="s">
        <v>11</v>
      </c>
      <c r="C760" s="59" t="s">
        <v>12</v>
      </c>
      <c r="D760" s="48" t="s">
        <v>1453</v>
      </c>
      <c r="E760" s="48" t="s">
        <v>1454</v>
      </c>
      <c r="F760" s="74">
        <v>44124</v>
      </c>
      <c r="G760" s="74">
        <v>44185</v>
      </c>
      <c r="H760" s="32" t="str">
        <f t="shared" si="22"/>
        <v>ODD</v>
      </c>
      <c r="I760" s="104">
        <v>0</v>
      </c>
      <c r="J760" s="46" t="str">
        <f>UPPER(TEXT(F760,"mmm")) &amp; " - " &amp; UPPER(TEXT(G760,"mmm"))</f>
        <v>OCT - DEC</v>
      </c>
      <c r="K760" s="46" t="s">
        <v>882</v>
      </c>
      <c r="L760" s="99" t="s">
        <v>3895</v>
      </c>
      <c r="M760" s="32" t="str">
        <f t="shared" si="23"/>
        <v>No</v>
      </c>
      <c r="N760" s="32">
        <f>G760 - F760</f>
        <v>61</v>
      </c>
      <c r="O760">
        <v>1</v>
      </c>
    </row>
    <row r="761" spans="1:15" ht="27" x14ac:dyDescent="0.3">
      <c r="A761" s="47" t="s">
        <v>1455</v>
      </c>
      <c r="B761" s="59" t="s">
        <v>11</v>
      </c>
      <c r="C761" s="59" t="s">
        <v>12</v>
      </c>
      <c r="D761" s="48" t="s">
        <v>1456</v>
      </c>
      <c r="E761" s="48" t="s">
        <v>1457</v>
      </c>
      <c r="F761" s="74">
        <v>44071</v>
      </c>
      <c r="G761" s="74">
        <v>44403</v>
      </c>
      <c r="H761" s="32" t="str">
        <f t="shared" si="22"/>
        <v>ODD</v>
      </c>
      <c r="I761" s="104">
        <v>0</v>
      </c>
      <c r="J761" s="46" t="str">
        <f>UPPER(TEXT(F761,"mmm")) &amp; " - " &amp; UPPER(TEXT(G761,"mmm"))</f>
        <v>AUG - JUL</v>
      </c>
      <c r="K761" s="46" t="s">
        <v>882</v>
      </c>
      <c r="L761" s="59" t="s">
        <v>895</v>
      </c>
      <c r="M761" s="32" t="str">
        <f t="shared" si="23"/>
        <v>No</v>
      </c>
      <c r="N761" s="32">
        <f>G761 - F761</f>
        <v>332</v>
      </c>
      <c r="O761">
        <v>1</v>
      </c>
    </row>
    <row r="762" spans="1:15" ht="27" x14ac:dyDescent="0.3">
      <c r="A762" s="47" t="s">
        <v>1328</v>
      </c>
      <c r="B762" s="59" t="s">
        <v>11</v>
      </c>
      <c r="C762" s="59" t="s">
        <v>12</v>
      </c>
      <c r="D762" s="48" t="s">
        <v>1456</v>
      </c>
      <c r="E762" s="48" t="s">
        <v>1457</v>
      </c>
      <c r="F762" s="74">
        <v>44071</v>
      </c>
      <c r="G762" s="74">
        <v>44435</v>
      </c>
      <c r="H762" s="32" t="str">
        <f t="shared" si="22"/>
        <v>ODD</v>
      </c>
      <c r="I762" s="104">
        <v>0</v>
      </c>
      <c r="J762" s="46" t="str">
        <f>UPPER(TEXT(F762,"mmm")) &amp; " - " &amp; UPPER(TEXT(G762,"mmm"))</f>
        <v>AUG - AUG</v>
      </c>
      <c r="K762" s="46" t="s">
        <v>882</v>
      </c>
      <c r="L762" s="59" t="s">
        <v>895</v>
      </c>
      <c r="M762" s="32" t="str">
        <f t="shared" si="23"/>
        <v>No</v>
      </c>
      <c r="N762" s="32">
        <f>G762 - F762</f>
        <v>364</v>
      </c>
      <c r="O762">
        <v>1</v>
      </c>
    </row>
    <row r="763" spans="1:15" x14ac:dyDescent="0.3">
      <c r="A763" s="47" t="s">
        <v>925</v>
      </c>
      <c r="B763" s="59" t="s">
        <v>78</v>
      </c>
      <c r="C763" s="59" t="s">
        <v>12</v>
      </c>
      <c r="D763" s="48" t="s">
        <v>1458</v>
      </c>
      <c r="E763" s="48" t="s">
        <v>1459</v>
      </c>
      <c r="F763" s="74">
        <v>44348</v>
      </c>
      <c r="G763" s="74">
        <v>44408</v>
      </c>
      <c r="H763" s="32" t="str">
        <f t="shared" si="22"/>
        <v>EVEN</v>
      </c>
      <c r="I763" s="104">
        <v>3000</v>
      </c>
      <c r="J763" s="46" t="str">
        <f>UPPER(TEXT(F763,"mmm")) &amp; " - " &amp; UPPER(TEXT(G763,"mmm"))</f>
        <v>JUN - JUL</v>
      </c>
      <c r="K763" s="46" t="s">
        <v>882</v>
      </c>
      <c r="L763" s="99" t="s">
        <v>3895</v>
      </c>
      <c r="M763" s="32" t="str">
        <f t="shared" si="23"/>
        <v>Yes</v>
      </c>
      <c r="N763" s="32">
        <f>G763 - F763</f>
        <v>60</v>
      </c>
      <c r="O763">
        <v>1</v>
      </c>
    </row>
    <row r="764" spans="1:15" x14ac:dyDescent="0.3">
      <c r="A764" s="47" t="s">
        <v>1291</v>
      </c>
      <c r="B764" s="59" t="s">
        <v>78</v>
      </c>
      <c r="C764" s="59" t="s">
        <v>12</v>
      </c>
      <c r="D764" s="48" t="s">
        <v>25</v>
      </c>
      <c r="E764" s="48" t="s">
        <v>1460</v>
      </c>
      <c r="F764" s="74">
        <v>44362</v>
      </c>
      <c r="G764" s="74">
        <v>44376</v>
      </c>
      <c r="H764" s="32" t="str">
        <f t="shared" si="22"/>
        <v>EVEN</v>
      </c>
      <c r="I764" s="104">
        <v>0</v>
      </c>
      <c r="J764" s="46" t="str">
        <f>UPPER(TEXT(F764,"mmm")) &amp; " - " &amp; UPPER(TEXT(G764,"mmm"))</f>
        <v>JUN - JUN</v>
      </c>
      <c r="K764" s="46" t="s">
        <v>882</v>
      </c>
      <c r="L764" s="59" t="s">
        <v>895</v>
      </c>
      <c r="M764" s="32" t="str">
        <f t="shared" si="23"/>
        <v>No</v>
      </c>
      <c r="N764" s="32">
        <f>G764 - F764</f>
        <v>14</v>
      </c>
      <c r="O764">
        <v>1</v>
      </c>
    </row>
    <row r="765" spans="1:15" x14ac:dyDescent="0.3">
      <c r="A765" s="47" t="s">
        <v>1024</v>
      </c>
      <c r="B765" s="59" t="s">
        <v>78</v>
      </c>
      <c r="C765" s="59" t="s">
        <v>12</v>
      </c>
      <c r="D765" s="48" t="s">
        <v>25</v>
      </c>
      <c r="E765" s="48" t="s">
        <v>1460</v>
      </c>
      <c r="F765" s="74">
        <v>44362</v>
      </c>
      <c r="G765" s="74">
        <v>44376</v>
      </c>
      <c r="H765" s="32" t="str">
        <f t="shared" si="22"/>
        <v>EVEN</v>
      </c>
      <c r="I765" s="104">
        <v>0</v>
      </c>
      <c r="J765" s="46" t="str">
        <f>UPPER(TEXT(F765,"mmm")) &amp; " - " &amp; UPPER(TEXT(G765,"mmm"))</f>
        <v>JUN - JUN</v>
      </c>
      <c r="K765" s="46" t="s">
        <v>882</v>
      </c>
      <c r="L765" s="59" t="s">
        <v>895</v>
      </c>
      <c r="M765" s="32" t="str">
        <f t="shared" si="23"/>
        <v>No</v>
      </c>
      <c r="N765" s="32">
        <f>G765 - F765</f>
        <v>14</v>
      </c>
      <c r="O765">
        <v>1</v>
      </c>
    </row>
    <row r="766" spans="1:15" x14ac:dyDescent="0.3">
      <c r="A766" s="47" t="s">
        <v>352</v>
      </c>
      <c r="B766" s="59" t="s">
        <v>78</v>
      </c>
      <c r="C766" s="59" t="s">
        <v>12</v>
      </c>
      <c r="D766" s="48" t="s">
        <v>1456</v>
      </c>
      <c r="E766" s="48" t="s">
        <v>1461</v>
      </c>
      <c r="F766" s="74">
        <v>44044</v>
      </c>
      <c r="G766" s="74">
        <v>44409</v>
      </c>
      <c r="H766" s="32" t="str">
        <f t="shared" si="22"/>
        <v>ODD</v>
      </c>
      <c r="I766" s="104">
        <v>0</v>
      </c>
      <c r="J766" s="46" t="str">
        <f>UPPER(TEXT(F766,"mmm")) &amp; " - " &amp; UPPER(TEXT(G766,"mmm"))</f>
        <v>AUG - AUG</v>
      </c>
      <c r="K766" s="46" t="s">
        <v>882</v>
      </c>
      <c r="L766" s="59" t="s">
        <v>895</v>
      </c>
      <c r="M766" s="32" t="str">
        <f t="shared" si="23"/>
        <v>No</v>
      </c>
      <c r="N766" s="32">
        <f>G766 - F766</f>
        <v>365</v>
      </c>
      <c r="O766">
        <v>1</v>
      </c>
    </row>
    <row r="767" spans="1:15" x14ac:dyDescent="0.3">
      <c r="A767" s="47" t="s">
        <v>52</v>
      </c>
      <c r="B767" s="59" t="s">
        <v>66</v>
      </c>
      <c r="C767" s="59" t="s">
        <v>12</v>
      </c>
      <c r="D767" s="48" t="s">
        <v>1462</v>
      </c>
      <c r="E767" s="48" t="s">
        <v>1463</v>
      </c>
      <c r="F767" s="74">
        <v>44354</v>
      </c>
      <c r="G767" s="74">
        <v>44414</v>
      </c>
      <c r="H767" s="32" t="str">
        <f t="shared" ref="H767:H830" si="24">IF(AND(F767&gt;=DATE(2020,7,15), F767&lt;=DATE(2020,12,31)), "ODD", "EVEN")</f>
        <v>EVEN</v>
      </c>
      <c r="I767" s="104">
        <v>0</v>
      </c>
      <c r="J767" s="46" t="str">
        <f>UPPER(TEXT(F767,"mmm")) &amp; " - " &amp; UPPER(TEXT(G767,"mmm"))</f>
        <v>JUN - AUG</v>
      </c>
      <c r="K767" s="46" t="s">
        <v>882</v>
      </c>
      <c r="L767" s="99" t="s">
        <v>3895</v>
      </c>
      <c r="M767" s="32" t="str">
        <f t="shared" si="23"/>
        <v>No</v>
      </c>
      <c r="N767" s="32">
        <f>G767 - F767</f>
        <v>60</v>
      </c>
      <c r="O767">
        <v>1</v>
      </c>
    </row>
    <row r="768" spans="1:15" ht="40.200000000000003" x14ac:dyDescent="0.3">
      <c r="A768" s="47" t="s">
        <v>1464</v>
      </c>
      <c r="B768" s="59" t="s">
        <v>66</v>
      </c>
      <c r="C768" s="59" t="s">
        <v>12</v>
      </c>
      <c r="D768" s="48" t="s">
        <v>1465</v>
      </c>
      <c r="E768" s="48" t="s">
        <v>1466</v>
      </c>
      <c r="F768" s="74">
        <v>44354</v>
      </c>
      <c r="G768" s="74">
        <v>44407</v>
      </c>
      <c r="H768" s="32" t="str">
        <f t="shared" si="24"/>
        <v>EVEN</v>
      </c>
      <c r="I768" s="104">
        <v>25000</v>
      </c>
      <c r="J768" s="46" t="str">
        <f>UPPER(TEXT(F768,"mmm")) &amp; " - " &amp; UPPER(TEXT(G768,"mmm"))</f>
        <v>JUN - JUL</v>
      </c>
      <c r="K768" s="46" t="s">
        <v>882</v>
      </c>
      <c r="L768" s="99" t="s">
        <v>3895</v>
      </c>
      <c r="M768" s="32" t="str">
        <f t="shared" si="23"/>
        <v>Yes</v>
      </c>
      <c r="N768" s="32">
        <f>G768 - F768</f>
        <v>53</v>
      </c>
      <c r="O768">
        <v>1</v>
      </c>
    </row>
    <row r="769" spans="1:15" ht="27" x14ac:dyDescent="0.3">
      <c r="A769" s="47" t="s">
        <v>1467</v>
      </c>
      <c r="B769" s="59" t="s">
        <v>11</v>
      </c>
      <c r="C769" s="59" t="s">
        <v>12</v>
      </c>
      <c r="D769" s="48" t="s">
        <v>1468</v>
      </c>
      <c r="E769" s="48" t="s">
        <v>1469</v>
      </c>
      <c r="F769" s="74">
        <v>44328</v>
      </c>
      <c r="G769" s="74">
        <v>44426</v>
      </c>
      <c r="H769" s="32" t="str">
        <f t="shared" si="24"/>
        <v>EVEN</v>
      </c>
      <c r="I769" s="104">
        <v>0</v>
      </c>
      <c r="J769" s="46" t="str">
        <f>UPPER(TEXT(F769,"mmm")) &amp; " - " &amp; UPPER(TEXT(G769,"mmm"))</f>
        <v>MAY - AUG</v>
      </c>
      <c r="K769" s="46" t="s">
        <v>882</v>
      </c>
      <c r="L769" s="99" t="s">
        <v>3895</v>
      </c>
      <c r="M769" s="32" t="str">
        <f t="shared" si="23"/>
        <v>No</v>
      </c>
      <c r="N769" s="32">
        <f>G769 - F769</f>
        <v>98</v>
      </c>
      <c r="O769">
        <v>1</v>
      </c>
    </row>
    <row r="770" spans="1:15" x14ac:dyDescent="0.3">
      <c r="A770" s="47" t="s">
        <v>1470</v>
      </c>
      <c r="B770" s="59" t="s">
        <v>11</v>
      </c>
      <c r="C770" s="59" t="s">
        <v>12</v>
      </c>
      <c r="D770" s="48" t="s">
        <v>593</v>
      </c>
      <c r="E770" s="48" t="s">
        <v>1471</v>
      </c>
      <c r="F770" s="74">
        <v>44071</v>
      </c>
      <c r="G770" s="74">
        <v>44377</v>
      </c>
      <c r="H770" s="32" t="str">
        <f t="shared" si="24"/>
        <v>ODD</v>
      </c>
      <c r="I770" s="104">
        <v>0</v>
      </c>
      <c r="J770" s="46" t="str">
        <f>UPPER(TEXT(F770,"mmm")) &amp; " - " &amp; UPPER(TEXT(G770,"mmm"))</f>
        <v>AUG - JUN</v>
      </c>
      <c r="K770" s="46" t="s">
        <v>882</v>
      </c>
      <c r="L770" s="59" t="s">
        <v>895</v>
      </c>
      <c r="M770" s="32" t="str">
        <f t="shared" ref="M770:M833" si="25">IF(I770 &gt; 0, "Yes", "No")</f>
        <v>No</v>
      </c>
      <c r="N770" s="32">
        <f>G770 - F770</f>
        <v>306</v>
      </c>
      <c r="O770">
        <v>1</v>
      </c>
    </row>
    <row r="771" spans="1:15" ht="40.200000000000003" x14ac:dyDescent="0.3">
      <c r="A771" s="47" t="s">
        <v>898</v>
      </c>
      <c r="B771" s="59" t="s">
        <v>78</v>
      </c>
      <c r="C771" s="59" t="s">
        <v>12</v>
      </c>
      <c r="D771" s="48" t="s">
        <v>1472</v>
      </c>
      <c r="E771" s="48" t="s">
        <v>1473</v>
      </c>
      <c r="F771" s="74">
        <v>44292</v>
      </c>
      <c r="G771" s="74">
        <v>44408</v>
      </c>
      <c r="H771" s="32" t="str">
        <f t="shared" si="24"/>
        <v>EVEN</v>
      </c>
      <c r="I771" s="104">
        <v>0</v>
      </c>
      <c r="J771" s="46" t="str">
        <f>UPPER(TEXT(F771,"mmm")) &amp; " - " &amp; UPPER(TEXT(G771,"mmm"))</f>
        <v>APR - JUL</v>
      </c>
      <c r="K771" s="46" t="s">
        <v>882</v>
      </c>
      <c r="L771" s="99" t="s">
        <v>3895</v>
      </c>
      <c r="M771" s="32" t="str">
        <f t="shared" si="25"/>
        <v>No</v>
      </c>
      <c r="N771" s="32">
        <f>G771 - F771</f>
        <v>116</v>
      </c>
      <c r="O771">
        <v>1</v>
      </c>
    </row>
    <row r="772" spans="1:15" x14ac:dyDescent="0.3">
      <c r="A772" s="47" t="s">
        <v>1474</v>
      </c>
      <c r="B772" s="59" t="s">
        <v>78</v>
      </c>
      <c r="C772" s="59" t="s">
        <v>12</v>
      </c>
      <c r="D772" s="48" t="s">
        <v>1475</v>
      </c>
      <c r="E772" s="48" t="s">
        <v>395</v>
      </c>
      <c r="F772" s="74">
        <v>44369</v>
      </c>
      <c r="G772" s="74">
        <v>44398</v>
      </c>
      <c r="H772" s="32" t="str">
        <f t="shared" si="24"/>
        <v>EVEN</v>
      </c>
      <c r="I772" s="104">
        <v>0</v>
      </c>
      <c r="J772" s="46" t="str">
        <f>UPPER(TEXT(F772,"mmm")) &amp; " - " &amp; UPPER(TEXT(G772,"mmm"))</f>
        <v>JUN - JUL</v>
      </c>
      <c r="K772" s="46" t="s">
        <v>882</v>
      </c>
      <c r="L772" s="99" t="s">
        <v>3895</v>
      </c>
      <c r="M772" s="32" t="str">
        <f t="shared" si="25"/>
        <v>No</v>
      </c>
      <c r="N772" s="32">
        <f>G772 - F772</f>
        <v>29</v>
      </c>
      <c r="O772">
        <v>1</v>
      </c>
    </row>
    <row r="773" spans="1:15" ht="27" x14ac:dyDescent="0.3">
      <c r="A773" s="47" t="s">
        <v>1476</v>
      </c>
      <c r="B773" s="59" t="s">
        <v>66</v>
      </c>
      <c r="C773" s="59" t="s">
        <v>12</v>
      </c>
      <c r="D773" s="48" t="s">
        <v>1477</v>
      </c>
      <c r="E773" s="48" t="s">
        <v>1478</v>
      </c>
      <c r="F773" s="74">
        <v>44348</v>
      </c>
      <c r="G773" s="74">
        <v>44408</v>
      </c>
      <c r="H773" s="32" t="str">
        <f t="shared" si="24"/>
        <v>EVEN</v>
      </c>
      <c r="I773" s="104">
        <v>10000</v>
      </c>
      <c r="J773" s="46" t="str">
        <f>UPPER(TEXT(F773,"mmm")) &amp; " - " &amp; UPPER(TEXT(G773,"mmm"))</f>
        <v>JUN - JUL</v>
      </c>
      <c r="K773" s="46" t="s">
        <v>882</v>
      </c>
      <c r="L773" s="99" t="s">
        <v>3895</v>
      </c>
      <c r="M773" s="32" t="str">
        <f t="shared" si="25"/>
        <v>Yes</v>
      </c>
      <c r="N773" s="32">
        <f>G773 - F773</f>
        <v>60</v>
      </c>
      <c r="O773">
        <v>1</v>
      </c>
    </row>
    <row r="774" spans="1:15" ht="27" x14ac:dyDescent="0.3">
      <c r="A774" s="47" t="s">
        <v>1013</v>
      </c>
      <c r="B774" s="59" t="s">
        <v>66</v>
      </c>
      <c r="C774" s="59" t="s">
        <v>12</v>
      </c>
      <c r="D774" s="48" t="s">
        <v>1479</v>
      </c>
      <c r="E774" s="48" t="s">
        <v>1410</v>
      </c>
      <c r="F774" s="74">
        <v>44292</v>
      </c>
      <c r="G774" s="74">
        <v>44408</v>
      </c>
      <c r="H774" s="32" t="str">
        <f t="shared" si="24"/>
        <v>EVEN</v>
      </c>
      <c r="I774" s="104">
        <v>0</v>
      </c>
      <c r="J774" s="46" t="str">
        <f>UPPER(TEXT(F774,"mmm")) &amp; " - " &amp; UPPER(TEXT(G774,"mmm"))</f>
        <v>APR - JUL</v>
      </c>
      <c r="K774" s="46" t="s">
        <v>882</v>
      </c>
      <c r="L774" s="99" t="s">
        <v>3895</v>
      </c>
      <c r="M774" s="32" t="str">
        <f t="shared" si="25"/>
        <v>No</v>
      </c>
      <c r="N774" s="32">
        <f>G774 - F774</f>
        <v>116</v>
      </c>
      <c r="O774">
        <v>1</v>
      </c>
    </row>
    <row r="775" spans="1:15" ht="40.200000000000003" x14ac:dyDescent="0.3">
      <c r="A775" s="47" t="s">
        <v>1060</v>
      </c>
      <c r="B775" s="59" t="s">
        <v>66</v>
      </c>
      <c r="C775" s="59" t="s">
        <v>12</v>
      </c>
      <c r="D775" s="48" t="s">
        <v>1480</v>
      </c>
      <c r="E775" s="48" t="s">
        <v>1481</v>
      </c>
      <c r="F775" s="74">
        <v>44348</v>
      </c>
      <c r="G775" s="74">
        <v>44408</v>
      </c>
      <c r="H775" s="32" t="str">
        <f t="shared" si="24"/>
        <v>EVEN</v>
      </c>
      <c r="I775" s="104">
        <v>10000</v>
      </c>
      <c r="J775" s="46" t="str">
        <f>UPPER(TEXT(F775,"mmm")) &amp; " - " &amp; UPPER(TEXT(G775,"mmm"))</f>
        <v>JUN - JUL</v>
      </c>
      <c r="K775" s="46" t="s">
        <v>882</v>
      </c>
      <c r="L775" s="99" t="s">
        <v>3895</v>
      </c>
      <c r="M775" s="32" t="str">
        <f t="shared" si="25"/>
        <v>Yes</v>
      </c>
      <c r="N775" s="32">
        <f>G775 - F775</f>
        <v>60</v>
      </c>
      <c r="O775">
        <v>1</v>
      </c>
    </row>
    <row r="776" spans="1:15" x14ac:dyDescent="0.3">
      <c r="A776" s="47" t="s">
        <v>637</v>
      </c>
      <c r="B776" s="59" t="s">
        <v>66</v>
      </c>
      <c r="C776" s="59" t="s">
        <v>12</v>
      </c>
      <c r="D776" s="48" t="s">
        <v>1482</v>
      </c>
      <c r="E776" s="48" t="s">
        <v>1483</v>
      </c>
      <c r="F776" s="74">
        <v>44348</v>
      </c>
      <c r="G776" s="74">
        <v>44408</v>
      </c>
      <c r="H776" s="32" t="str">
        <f t="shared" si="24"/>
        <v>EVEN</v>
      </c>
      <c r="I776" s="104">
        <v>10000</v>
      </c>
      <c r="J776" s="46" t="str">
        <f>UPPER(TEXT(F776,"mmm")) &amp; " - " &amp; UPPER(TEXT(G776,"mmm"))</f>
        <v>JUN - JUL</v>
      </c>
      <c r="K776" s="46" t="s">
        <v>882</v>
      </c>
      <c r="L776" s="99" t="s">
        <v>3895</v>
      </c>
      <c r="M776" s="32" t="str">
        <f t="shared" si="25"/>
        <v>Yes</v>
      </c>
      <c r="N776" s="32">
        <f>G776 - F776</f>
        <v>60</v>
      </c>
      <c r="O776">
        <v>1</v>
      </c>
    </row>
    <row r="777" spans="1:15" x14ac:dyDescent="0.3">
      <c r="A777" s="47" t="s">
        <v>335</v>
      </c>
      <c r="B777" s="59" t="s">
        <v>66</v>
      </c>
      <c r="C777" s="59" t="s">
        <v>12</v>
      </c>
      <c r="D777" s="48" t="s">
        <v>1484</v>
      </c>
      <c r="E777" s="48" t="s">
        <v>1478</v>
      </c>
      <c r="F777" s="74">
        <v>44348</v>
      </c>
      <c r="G777" s="74">
        <v>44408</v>
      </c>
      <c r="H777" s="32" t="str">
        <f t="shared" si="24"/>
        <v>EVEN</v>
      </c>
      <c r="I777" s="104">
        <v>10000</v>
      </c>
      <c r="J777" s="46" t="str">
        <f>UPPER(TEXT(F777,"mmm")) &amp; " - " &amp; UPPER(TEXT(G777,"mmm"))</f>
        <v>JUN - JUL</v>
      </c>
      <c r="K777" s="46" t="s">
        <v>882</v>
      </c>
      <c r="L777" s="99" t="s">
        <v>3895</v>
      </c>
      <c r="M777" s="32" t="str">
        <f t="shared" si="25"/>
        <v>Yes</v>
      </c>
      <c r="N777" s="32">
        <f>G777 - F777</f>
        <v>60</v>
      </c>
      <c r="O777">
        <v>1</v>
      </c>
    </row>
    <row r="778" spans="1:15" x14ac:dyDescent="0.3">
      <c r="A778" s="47" t="s">
        <v>1158</v>
      </c>
      <c r="B778" s="59" t="s">
        <v>66</v>
      </c>
      <c r="C778" s="59" t="s">
        <v>12</v>
      </c>
      <c r="D778" s="48" t="s">
        <v>1485</v>
      </c>
      <c r="E778" s="48" t="s">
        <v>586</v>
      </c>
      <c r="F778" s="74">
        <v>44357</v>
      </c>
      <c r="G778" s="74">
        <v>44439</v>
      </c>
      <c r="H778" s="32" t="str">
        <f t="shared" si="24"/>
        <v>EVEN</v>
      </c>
      <c r="I778" s="104">
        <v>0</v>
      </c>
      <c r="J778" s="46" t="str">
        <f>UPPER(TEXT(F778,"mmm")) &amp; " - " &amp; UPPER(TEXT(G778,"mmm"))</f>
        <v>JUN - AUG</v>
      </c>
      <c r="K778" s="46" t="s">
        <v>882</v>
      </c>
      <c r="L778" s="99" t="s">
        <v>3895</v>
      </c>
      <c r="M778" s="32" t="str">
        <f t="shared" si="25"/>
        <v>No</v>
      </c>
      <c r="N778" s="32">
        <f>G778 - F778</f>
        <v>82</v>
      </c>
      <c r="O778">
        <v>1</v>
      </c>
    </row>
    <row r="779" spans="1:15" x14ac:dyDescent="0.3">
      <c r="A779" s="47" t="s">
        <v>1486</v>
      </c>
      <c r="B779" s="59" t="s">
        <v>66</v>
      </c>
      <c r="C779" s="59" t="s">
        <v>12</v>
      </c>
      <c r="D779" s="48" t="s">
        <v>1487</v>
      </c>
      <c r="E779" s="48" t="s">
        <v>1488</v>
      </c>
      <c r="F779" s="74">
        <v>44343</v>
      </c>
      <c r="G779" s="74">
        <v>44418</v>
      </c>
      <c r="H779" s="32" t="str">
        <f t="shared" si="24"/>
        <v>EVEN</v>
      </c>
      <c r="I779" s="104">
        <v>2000</v>
      </c>
      <c r="J779" s="46" t="str">
        <f>UPPER(TEXT(F779,"mmm")) &amp; " - " &amp; UPPER(TEXT(G779,"mmm"))</f>
        <v>MAY - AUG</v>
      </c>
      <c r="K779" s="46" t="s">
        <v>882</v>
      </c>
      <c r="L779" s="99" t="s">
        <v>3895</v>
      </c>
      <c r="M779" s="32" t="str">
        <f t="shared" si="25"/>
        <v>Yes</v>
      </c>
      <c r="N779" s="32">
        <f>G779 - F779</f>
        <v>75</v>
      </c>
      <c r="O779">
        <v>1</v>
      </c>
    </row>
    <row r="780" spans="1:15" ht="27" x14ac:dyDescent="0.3">
      <c r="A780" s="47" t="s">
        <v>1489</v>
      </c>
      <c r="B780" s="59" t="s">
        <v>66</v>
      </c>
      <c r="C780" s="59" t="s">
        <v>12</v>
      </c>
      <c r="D780" s="48" t="s">
        <v>1490</v>
      </c>
      <c r="E780" s="48" t="s">
        <v>1491</v>
      </c>
      <c r="F780" s="74">
        <v>44166</v>
      </c>
      <c r="G780" s="74">
        <v>44227</v>
      </c>
      <c r="H780" s="32" t="str">
        <f t="shared" si="24"/>
        <v>ODD</v>
      </c>
      <c r="I780" s="104">
        <v>0</v>
      </c>
      <c r="J780" s="46" t="str">
        <f>UPPER(TEXT(F780,"mmm")) &amp; " - " &amp; UPPER(TEXT(G780,"mmm"))</f>
        <v>DEC - JAN</v>
      </c>
      <c r="K780" s="46" t="s">
        <v>882</v>
      </c>
      <c r="L780" s="99" t="s">
        <v>3895</v>
      </c>
      <c r="M780" s="32" t="str">
        <f t="shared" si="25"/>
        <v>No</v>
      </c>
      <c r="N780" s="32">
        <f>G780 - F780</f>
        <v>61</v>
      </c>
      <c r="O780">
        <v>1</v>
      </c>
    </row>
    <row r="781" spans="1:15" ht="27" x14ac:dyDescent="0.3">
      <c r="A781" s="47" t="s">
        <v>1489</v>
      </c>
      <c r="B781" s="59" t="s">
        <v>66</v>
      </c>
      <c r="C781" s="59" t="s">
        <v>12</v>
      </c>
      <c r="D781" s="48" t="s">
        <v>1492</v>
      </c>
      <c r="E781" s="48" t="s">
        <v>1493</v>
      </c>
      <c r="F781" s="74">
        <v>44348</v>
      </c>
      <c r="G781" s="74">
        <v>44408</v>
      </c>
      <c r="H781" s="32" t="str">
        <f t="shared" si="24"/>
        <v>EVEN</v>
      </c>
      <c r="I781" s="104">
        <v>0</v>
      </c>
      <c r="J781" s="46" t="str">
        <f>UPPER(TEXT(F781,"mmm")) &amp; " - " &amp; UPPER(TEXT(G781,"mmm"))</f>
        <v>JUN - JUL</v>
      </c>
      <c r="K781" s="46" t="s">
        <v>882</v>
      </c>
      <c r="L781" s="99" t="s">
        <v>3895</v>
      </c>
      <c r="M781" s="32" t="str">
        <f t="shared" si="25"/>
        <v>No</v>
      </c>
      <c r="N781" s="32">
        <f>G781 - F781</f>
        <v>60</v>
      </c>
      <c r="O781">
        <v>1</v>
      </c>
    </row>
    <row r="782" spans="1:15" ht="27" x14ac:dyDescent="0.3">
      <c r="A782" s="47" t="s">
        <v>1494</v>
      </c>
      <c r="B782" s="59" t="s">
        <v>66</v>
      </c>
      <c r="C782" s="59" t="s">
        <v>12</v>
      </c>
      <c r="D782" s="48" t="s">
        <v>1495</v>
      </c>
      <c r="E782" s="48" t="s">
        <v>1496</v>
      </c>
      <c r="F782" s="74">
        <v>44317</v>
      </c>
      <c r="G782" s="74">
        <v>44422</v>
      </c>
      <c r="H782" s="32" t="str">
        <f t="shared" si="24"/>
        <v>EVEN</v>
      </c>
      <c r="I782" s="104">
        <v>0</v>
      </c>
      <c r="J782" s="46" t="str">
        <f>UPPER(TEXT(F782,"mmm")) &amp; " - " &amp; UPPER(TEXT(G782,"mmm"))</f>
        <v>MAY - AUG</v>
      </c>
      <c r="K782" s="46" t="s">
        <v>882</v>
      </c>
      <c r="L782" s="99" t="s">
        <v>3895</v>
      </c>
      <c r="M782" s="32" t="str">
        <f t="shared" si="25"/>
        <v>No</v>
      </c>
      <c r="N782" s="32">
        <f>G782 - F782</f>
        <v>105</v>
      </c>
      <c r="O782">
        <v>1</v>
      </c>
    </row>
    <row r="783" spans="1:15" ht="27" x14ac:dyDescent="0.3">
      <c r="A783" s="47" t="s">
        <v>1497</v>
      </c>
      <c r="B783" s="59" t="s">
        <v>66</v>
      </c>
      <c r="C783" s="59" t="s">
        <v>12</v>
      </c>
      <c r="D783" s="48" t="s">
        <v>1498</v>
      </c>
      <c r="E783" s="48" t="s">
        <v>1499</v>
      </c>
      <c r="F783" s="74">
        <v>44348</v>
      </c>
      <c r="G783" s="74">
        <v>44408</v>
      </c>
      <c r="H783" s="32" t="str">
        <f t="shared" si="24"/>
        <v>EVEN</v>
      </c>
      <c r="I783" s="104">
        <v>0</v>
      </c>
      <c r="J783" s="46" t="str">
        <f>UPPER(TEXT(F783,"mmm")) &amp; " - " &amp; UPPER(TEXT(G783,"mmm"))</f>
        <v>JUN - JUL</v>
      </c>
      <c r="K783" s="46" t="s">
        <v>882</v>
      </c>
      <c r="L783" s="99" t="s">
        <v>3895</v>
      </c>
      <c r="M783" s="32" t="str">
        <f t="shared" si="25"/>
        <v>No</v>
      </c>
      <c r="N783" s="32">
        <f>G783 - F783</f>
        <v>60</v>
      </c>
      <c r="O783">
        <v>1</v>
      </c>
    </row>
    <row r="784" spans="1:15" ht="40.200000000000003" x14ac:dyDescent="0.3">
      <c r="A784" s="47" t="s">
        <v>975</v>
      </c>
      <c r="B784" s="59" t="s">
        <v>66</v>
      </c>
      <c r="C784" s="59" t="s">
        <v>12</v>
      </c>
      <c r="D784" s="48" t="s">
        <v>1500</v>
      </c>
      <c r="E784" s="48" t="s">
        <v>1478</v>
      </c>
      <c r="F784" s="74">
        <v>44348</v>
      </c>
      <c r="G784" s="74">
        <v>44408</v>
      </c>
      <c r="H784" s="32" t="str">
        <f t="shared" si="24"/>
        <v>EVEN</v>
      </c>
      <c r="I784" s="104">
        <v>10000</v>
      </c>
      <c r="J784" s="46" t="str">
        <f>UPPER(TEXT(F784,"mmm")) &amp; " - " &amp; UPPER(TEXT(G784,"mmm"))</f>
        <v>JUN - JUL</v>
      </c>
      <c r="K784" s="46" t="s">
        <v>882</v>
      </c>
      <c r="L784" s="99" t="s">
        <v>3895</v>
      </c>
      <c r="M784" s="32" t="str">
        <f t="shared" si="25"/>
        <v>Yes</v>
      </c>
      <c r="N784" s="32">
        <f>G784 - F784</f>
        <v>60</v>
      </c>
      <c r="O784">
        <v>1</v>
      </c>
    </row>
    <row r="785" spans="1:15" ht="27" x14ac:dyDescent="0.3">
      <c r="A785" s="47" t="s">
        <v>660</v>
      </c>
      <c r="B785" s="59" t="s">
        <v>66</v>
      </c>
      <c r="C785" s="59" t="s">
        <v>12</v>
      </c>
      <c r="D785" s="48" t="s">
        <v>1501</v>
      </c>
      <c r="E785" s="48" t="s">
        <v>1478</v>
      </c>
      <c r="F785" s="74">
        <v>44348</v>
      </c>
      <c r="G785" s="74">
        <v>44408</v>
      </c>
      <c r="H785" s="32" t="str">
        <f t="shared" si="24"/>
        <v>EVEN</v>
      </c>
      <c r="I785" s="104">
        <v>10000</v>
      </c>
      <c r="J785" s="46" t="str">
        <f>UPPER(TEXT(F785,"mmm")) &amp; " - " &amp; UPPER(TEXT(G785,"mmm"))</f>
        <v>JUN - JUL</v>
      </c>
      <c r="K785" s="46" t="s">
        <v>882</v>
      </c>
      <c r="L785" s="99" t="s">
        <v>3895</v>
      </c>
      <c r="M785" s="32" t="str">
        <f t="shared" si="25"/>
        <v>Yes</v>
      </c>
      <c r="N785" s="32">
        <f>G785 - F785</f>
        <v>60</v>
      </c>
      <c r="O785">
        <v>1</v>
      </c>
    </row>
    <row r="786" spans="1:15" ht="27" x14ac:dyDescent="0.3">
      <c r="A786" s="47" t="s">
        <v>684</v>
      </c>
      <c r="B786" s="59" t="s">
        <v>66</v>
      </c>
      <c r="C786" s="59" t="s">
        <v>12</v>
      </c>
      <c r="D786" s="48" t="s">
        <v>1502</v>
      </c>
      <c r="E786" s="48" t="s">
        <v>1503</v>
      </c>
      <c r="F786" s="74">
        <v>44348</v>
      </c>
      <c r="G786" s="74">
        <v>44408</v>
      </c>
      <c r="H786" s="32" t="str">
        <f t="shared" si="24"/>
        <v>EVEN</v>
      </c>
      <c r="I786" s="104">
        <v>15000</v>
      </c>
      <c r="J786" s="46" t="str">
        <f>UPPER(TEXT(F786,"mmm")) &amp; " - " &amp; UPPER(TEXT(G786,"mmm"))</f>
        <v>JUN - JUL</v>
      </c>
      <c r="K786" s="46" t="s">
        <v>882</v>
      </c>
      <c r="L786" s="99" t="s">
        <v>3895</v>
      </c>
      <c r="M786" s="32" t="str">
        <f t="shared" si="25"/>
        <v>Yes</v>
      </c>
      <c r="N786" s="32">
        <f>G786 - F786</f>
        <v>60</v>
      </c>
      <c r="O786">
        <v>1</v>
      </c>
    </row>
    <row r="787" spans="1:15" ht="27" x14ac:dyDescent="0.3">
      <c r="A787" s="47" t="s">
        <v>699</v>
      </c>
      <c r="B787" s="59" t="s">
        <v>66</v>
      </c>
      <c r="C787" s="59" t="s">
        <v>12</v>
      </c>
      <c r="D787" s="48" t="s">
        <v>1504</v>
      </c>
      <c r="E787" s="48" t="s">
        <v>1505</v>
      </c>
      <c r="F787" s="74">
        <v>44348</v>
      </c>
      <c r="G787" s="74">
        <v>44408</v>
      </c>
      <c r="H787" s="32" t="str">
        <f t="shared" si="24"/>
        <v>EVEN</v>
      </c>
      <c r="I787" s="104">
        <v>0</v>
      </c>
      <c r="J787" s="46" t="str">
        <f>UPPER(TEXT(F787,"mmm")) &amp; " - " &amp; UPPER(TEXT(G787,"mmm"))</f>
        <v>JUN - JUL</v>
      </c>
      <c r="K787" s="46" t="s">
        <v>882</v>
      </c>
      <c r="L787" s="99" t="s">
        <v>3895</v>
      </c>
      <c r="M787" s="32" t="str">
        <f t="shared" si="25"/>
        <v>No</v>
      </c>
      <c r="N787" s="32">
        <f>G787 - F787</f>
        <v>60</v>
      </c>
      <c r="O787">
        <v>1</v>
      </c>
    </row>
    <row r="788" spans="1:15" ht="27" x14ac:dyDescent="0.3">
      <c r="A788" s="47" t="s">
        <v>702</v>
      </c>
      <c r="B788" s="59" t="s">
        <v>66</v>
      </c>
      <c r="C788" s="59" t="s">
        <v>12</v>
      </c>
      <c r="D788" s="48" t="s">
        <v>1506</v>
      </c>
      <c r="E788" s="48" t="s">
        <v>1507</v>
      </c>
      <c r="F788" s="74">
        <v>44211</v>
      </c>
      <c r="G788" s="74">
        <v>44331</v>
      </c>
      <c r="H788" s="32" t="str">
        <f t="shared" si="24"/>
        <v>EVEN</v>
      </c>
      <c r="I788" s="104">
        <v>0</v>
      </c>
      <c r="J788" s="46" t="str">
        <f>UPPER(TEXT(F788,"mmm")) &amp; " - " &amp; UPPER(TEXT(G788,"mmm"))</f>
        <v>JAN - MAY</v>
      </c>
      <c r="K788" s="46" t="s">
        <v>882</v>
      </c>
      <c r="L788" s="99" t="s">
        <v>3895</v>
      </c>
      <c r="M788" s="32" t="str">
        <f t="shared" si="25"/>
        <v>No</v>
      </c>
      <c r="N788" s="32">
        <f>G788 - F788</f>
        <v>120</v>
      </c>
      <c r="O788">
        <v>1</v>
      </c>
    </row>
    <row r="789" spans="1:15" x14ac:dyDescent="0.3">
      <c r="A789" s="47" t="s">
        <v>1508</v>
      </c>
      <c r="B789" s="59" t="s">
        <v>78</v>
      </c>
      <c r="C789" s="59" t="s">
        <v>12</v>
      </c>
      <c r="D789" s="48" t="s">
        <v>1509</v>
      </c>
      <c r="E789" s="48" t="s">
        <v>998</v>
      </c>
      <c r="F789" s="74">
        <v>44355</v>
      </c>
      <c r="G789" s="74">
        <v>44417</v>
      </c>
      <c r="H789" s="32" t="str">
        <f t="shared" si="24"/>
        <v>EVEN</v>
      </c>
      <c r="I789" s="104">
        <v>6000</v>
      </c>
      <c r="J789" s="46" t="str">
        <f>UPPER(TEXT(F789,"mmm")) &amp; " - " &amp; UPPER(TEXT(G789,"mmm"))</f>
        <v>JUN - AUG</v>
      </c>
      <c r="K789" s="46" t="s">
        <v>882</v>
      </c>
      <c r="L789" s="99" t="s">
        <v>3895</v>
      </c>
      <c r="M789" s="32" t="str">
        <f t="shared" si="25"/>
        <v>Yes</v>
      </c>
      <c r="N789" s="32">
        <f>G789 - F789</f>
        <v>62</v>
      </c>
      <c r="O789">
        <v>1</v>
      </c>
    </row>
    <row r="790" spans="1:15" x14ac:dyDescent="0.3">
      <c r="A790" s="47" t="s">
        <v>1510</v>
      </c>
      <c r="B790" s="59" t="s">
        <v>78</v>
      </c>
      <c r="C790" s="59" t="s">
        <v>12</v>
      </c>
      <c r="D790" s="48" t="s">
        <v>1511</v>
      </c>
      <c r="E790" s="48" t="s">
        <v>1512</v>
      </c>
      <c r="F790" s="74">
        <v>44197</v>
      </c>
      <c r="G790" s="74">
        <v>44438</v>
      </c>
      <c r="H790" s="32" t="str">
        <f t="shared" si="24"/>
        <v>EVEN</v>
      </c>
      <c r="I790" s="104">
        <v>0</v>
      </c>
      <c r="J790" s="46" t="str">
        <f>UPPER(TEXT(F790,"mmm")) &amp; " - " &amp; UPPER(TEXT(G790,"mmm"))</f>
        <v>JAN - AUG</v>
      </c>
      <c r="K790" s="46" t="s">
        <v>882</v>
      </c>
      <c r="L790" s="99" t="s">
        <v>3895</v>
      </c>
      <c r="M790" s="32" t="str">
        <f t="shared" si="25"/>
        <v>No</v>
      </c>
      <c r="N790" s="32">
        <f>G790 - F790</f>
        <v>241</v>
      </c>
      <c r="O790">
        <v>1</v>
      </c>
    </row>
    <row r="791" spans="1:15" x14ac:dyDescent="0.3">
      <c r="A791" s="47" t="s">
        <v>663</v>
      </c>
      <c r="B791" s="59" t="s">
        <v>78</v>
      </c>
      <c r="C791" s="59" t="s">
        <v>12</v>
      </c>
      <c r="D791" s="48" t="s">
        <v>1513</v>
      </c>
      <c r="E791" s="48" t="s">
        <v>1514</v>
      </c>
      <c r="F791" s="74">
        <v>44256</v>
      </c>
      <c r="G791" s="74">
        <v>44439</v>
      </c>
      <c r="H791" s="32" t="str">
        <f t="shared" si="24"/>
        <v>EVEN</v>
      </c>
      <c r="I791" s="104">
        <v>0</v>
      </c>
      <c r="J791" s="46" t="str">
        <f>UPPER(TEXT(F791,"mmm")) &amp; " - " &amp; UPPER(TEXT(G791,"mmm"))</f>
        <v>MAR - AUG</v>
      </c>
      <c r="K791" s="46" t="s">
        <v>882</v>
      </c>
      <c r="L791" s="99" t="s">
        <v>3895</v>
      </c>
      <c r="M791" s="32" t="str">
        <f t="shared" si="25"/>
        <v>No</v>
      </c>
      <c r="N791" s="32">
        <f>G791 - F791</f>
        <v>183</v>
      </c>
      <c r="O791">
        <v>1</v>
      </c>
    </row>
    <row r="792" spans="1:15" ht="27" x14ac:dyDescent="0.3">
      <c r="A792" s="47" t="s">
        <v>1515</v>
      </c>
      <c r="B792" s="59" t="s">
        <v>66</v>
      </c>
      <c r="C792" s="59" t="s">
        <v>12</v>
      </c>
      <c r="D792" s="48" t="s">
        <v>1516</v>
      </c>
      <c r="E792" s="48" t="s">
        <v>1517</v>
      </c>
      <c r="F792" s="74">
        <v>44348</v>
      </c>
      <c r="G792" s="74">
        <v>44408</v>
      </c>
      <c r="H792" s="32" t="str">
        <f t="shared" si="24"/>
        <v>EVEN</v>
      </c>
      <c r="I792" s="104">
        <v>10000</v>
      </c>
      <c r="J792" s="46" t="str">
        <f>UPPER(TEXT(F792,"mmm")) &amp; " - " &amp; UPPER(TEXT(G792,"mmm"))</f>
        <v>JUN - JUL</v>
      </c>
      <c r="K792" s="46" t="s">
        <v>882</v>
      </c>
      <c r="L792" s="99" t="s">
        <v>3895</v>
      </c>
      <c r="M792" s="32" t="str">
        <f t="shared" si="25"/>
        <v>Yes</v>
      </c>
      <c r="N792" s="32">
        <f>G792 - F792</f>
        <v>60</v>
      </c>
      <c r="O792">
        <v>1</v>
      </c>
    </row>
    <row r="793" spans="1:15" x14ac:dyDescent="0.3">
      <c r="A793" s="47" t="s">
        <v>1518</v>
      </c>
      <c r="B793" s="59" t="s">
        <v>11</v>
      </c>
      <c r="C793" s="59" t="s">
        <v>12</v>
      </c>
      <c r="D793" s="48" t="s">
        <v>1519</v>
      </c>
      <c r="E793" s="48" t="s">
        <v>1520</v>
      </c>
      <c r="F793" s="74">
        <v>44075</v>
      </c>
      <c r="G793" s="74">
        <v>44227</v>
      </c>
      <c r="H793" s="32" t="str">
        <f t="shared" si="24"/>
        <v>ODD</v>
      </c>
      <c r="I793" s="104">
        <v>0</v>
      </c>
      <c r="J793" s="46" t="str">
        <f>UPPER(TEXT(F793,"mmm")) &amp; " - " &amp; UPPER(TEXT(G793,"mmm"))</f>
        <v>SEP - JAN</v>
      </c>
      <c r="K793" s="46" t="s">
        <v>882</v>
      </c>
      <c r="L793" s="99" t="s">
        <v>3895</v>
      </c>
      <c r="M793" s="32" t="str">
        <f t="shared" si="25"/>
        <v>No</v>
      </c>
      <c r="N793" s="32">
        <f>G793 - F793</f>
        <v>152</v>
      </c>
      <c r="O793">
        <v>1</v>
      </c>
    </row>
    <row r="794" spans="1:15" x14ac:dyDescent="0.3">
      <c r="A794" s="47" t="s">
        <v>1521</v>
      </c>
      <c r="B794" s="59" t="s">
        <v>78</v>
      </c>
      <c r="C794" s="59" t="s">
        <v>12</v>
      </c>
      <c r="D794" s="48" t="s">
        <v>1513</v>
      </c>
      <c r="E794" s="48" t="s">
        <v>1514</v>
      </c>
      <c r="F794" s="74">
        <v>44256</v>
      </c>
      <c r="G794" s="74">
        <v>44439</v>
      </c>
      <c r="H794" s="32" t="str">
        <f t="shared" si="24"/>
        <v>EVEN</v>
      </c>
      <c r="I794" s="104">
        <v>0</v>
      </c>
      <c r="J794" s="46" t="str">
        <f>UPPER(TEXT(F794,"mmm")) &amp; " - " &amp; UPPER(TEXT(G794,"mmm"))</f>
        <v>MAR - AUG</v>
      </c>
      <c r="K794" s="46" t="s">
        <v>882</v>
      </c>
      <c r="L794" s="99" t="s">
        <v>3895</v>
      </c>
      <c r="M794" s="32" t="str">
        <f t="shared" si="25"/>
        <v>No</v>
      </c>
      <c r="N794" s="32">
        <f>G794 - F794</f>
        <v>183</v>
      </c>
      <c r="O794">
        <v>1</v>
      </c>
    </row>
    <row r="795" spans="1:15" x14ac:dyDescent="0.3">
      <c r="A795" s="47" t="s">
        <v>1199</v>
      </c>
      <c r="B795" s="59" t="s">
        <v>78</v>
      </c>
      <c r="C795" s="59" t="s">
        <v>12</v>
      </c>
      <c r="D795" s="48" t="s">
        <v>964</v>
      </c>
      <c r="E795" s="48" t="s">
        <v>1522</v>
      </c>
      <c r="F795" s="74">
        <v>44256</v>
      </c>
      <c r="G795" s="74">
        <v>44439</v>
      </c>
      <c r="H795" s="32" t="str">
        <f t="shared" si="24"/>
        <v>EVEN</v>
      </c>
      <c r="I795" s="104">
        <v>0</v>
      </c>
      <c r="J795" s="46" t="str">
        <f>UPPER(TEXT(F795,"mmm")) &amp; " - " &amp; UPPER(TEXT(G795,"mmm"))</f>
        <v>MAR - AUG</v>
      </c>
      <c r="K795" s="46" t="s">
        <v>882</v>
      </c>
      <c r="L795" s="99" t="s">
        <v>3895</v>
      </c>
      <c r="M795" s="32" t="str">
        <f t="shared" si="25"/>
        <v>No</v>
      </c>
      <c r="N795" s="32">
        <f>G795 - F795</f>
        <v>183</v>
      </c>
      <c r="O795">
        <v>1</v>
      </c>
    </row>
    <row r="796" spans="1:15" x14ac:dyDescent="0.3">
      <c r="A796" s="47" t="s">
        <v>58</v>
      </c>
      <c r="B796" s="59" t="s">
        <v>78</v>
      </c>
      <c r="C796" s="59" t="s">
        <v>12</v>
      </c>
      <c r="D796" s="48" t="s">
        <v>964</v>
      </c>
      <c r="E796" s="48" t="s">
        <v>552</v>
      </c>
      <c r="F796" s="74">
        <v>44256</v>
      </c>
      <c r="G796" s="74">
        <v>44439</v>
      </c>
      <c r="H796" s="32" t="str">
        <f t="shared" si="24"/>
        <v>EVEN</v>
      </c>
      <c r="I796" s="104">
        <v>0</v>
      </c>
      <c r="J796" s="46" t="str">
        <f>UPPER(TEXT(F796,"mmm")) &amp; " - " &amp; UPPER(TEXT(G796,"mmm"))</f>
        <v>MAR - AUG</v>
      </c>
      <c r="K796" s="46" t="s">
        <v>882</v>
      </c>
      <c r="L796" s="99" t="s">
        <v>3895</v>
      </c>
      <c r="M796" s="32" t="str">
        <f t="shared" si="25"/>
        <v>No</v>
      </c>
      <c r="N796" s="32">
        <f>G796 - F796</f>
        <v>183</v>
      </c>
      <c r="O796">
        <v>1</v>
      </c>
    </row>
    <row r="797" spans="1:15" x14ac:dyDescent="0.3">
      <c r="A797" s="47" t="s">
        <v>1523</v>
      </c>
      <c r="B797" s="59" t="s">
        <v>78</v>
      </c>
      <c r="C797" s="59" t="s">
        <v>12</v>
      </c>
      <c r="D797" s="48" t="s">
        <v>1513</v>
      </c>
      <c r="E797" s="48" t="s">
        <v>277</v>
      </c>
      <c r="F797" s="74">
        <v>44256</v>
      </c>
      <c r="G797" s="74">
        <v>44439</v>
      </c>
      <c r="H797" s="32" t="str">
        <f t="shared" si="24"/>
        <v>EVEN</v>
      </c>
      <c r="I797" s="104">
        <v>0</v>
      </c>
      <c r="J797" s="46" t="str">
        <f>UPPER(TEXT(F797,"mmm")) &amp; " - " &amp; UPPER(TEXT(G797,"mmm"))</f>
        <v>MAR - AUG</v>
      </c>
      <c r="K797" s="46" t="s">
        <v>882</v>
      </c>
      <c r="L797" s="99" t="s">
        <v>3895</v>
      </c>
      <c r="M797" s="32" t="str">
        <f t="shared" si="25"/>
        <v>No</v>
      </c>
      <c r="N797" s="32">
        <f>G797 - F797</f>
        <v>183</v>
      </c>
      <c r="O797">
        <v>1</v>
      </c>
    </row>
    <row r="798" spans="1:15" ht="40.200000000000003" x14ac:dyDescent="0.3">
      <c r="A798" s="47" t="s">
        <v>973</v>
      </c>
      <c r="B798" s="59" t="s">
        <v>66</v>
      </c>
      <c r="C798" s="59" t="s">
        <v>12</v>
      </c>
      <c r="D798" s="48" t="s">
        <v>1524</v>
      </c>
      <c r="E798" s="48" t="s">
        <v>1525</v>
      </c>
      <c r="F798" s="74">
        <v>44354</v>
      </c>
      <c r="G798" s="74">
        <v>44384</v>
      </c>
      <c r="H798" s="32" t="str">
        <f t="shared" si="24"/>
        <v>EVEN</v>
      </c>
      <c r="I798" s="104">
        <v>0</v>
      </c>
      <c r="J798" s="46" t="str">
        <f>UPPER(TEXT(F798,"mmm")) &amp; " - " &amp; UPPER(TEXT(G798,"mmm"))</f>
        <v>JUN - JUL</v>
      </c>
      <c r="K798" s="46" t="s">
        <v>882</v>
      </c>
      <c r="L798" s="99" t="s">
        <v>3895</v>
      </c>
      <c r="M798" s="32" t="str">
        <f t="shared" si="25"/>
        <v>No</v>
      </c>
      <c r="N798" s="32">
        <f>G798 - F798</f>
        <v>30</v>
      </c>
      <c r="O798">
        <v>1</v>
      </c>
    </row>
    <row r="799" spans="1:15" ht="27" x14ac:dyDescent="0.3">
      <c r="A799" s="47" t="s">
        <v>1526</v>
      </c>
      <c r="B799" s="59" t="s">
        <v>66</v>
      </c>
      <c r="C799" s="59" t="s">
        <v>12</v>
      </c>
      <c r="D799" s="48" t="s">
        <v>1527</v>
      </c>
      <c r="E799" s="48" t="s">
        <v>1528</v>
      </c>
      <c r="F799" s="74">
        <v>44348</v>
      </c>
      <c r="G799" s="74">
        <v>44439</v>
      </c>
      <c r="H799" s="32" t="str">
        <f t="shared" si="24"/>
        <v>EVEN</v>
      </c>
      <c r="I799" s="104">
        <v>7500</v>
      </c>
      <c r="J799" s="46" t="str">
        <f>UPPER(TEXT(F799,"mmm")) &amp; " - " &amp; UPPER(TEXT(G799,"mmm"))</f>
        <v>JUN - AUG</v>
      </c>
      <c r="K799" s="46" t="s">
        <v>882</v>
      </c>
      <c r="L799" s="99" t="s">
        <v>3895</v>
      </c>
      <c r="M799" s="32" t="str">
        <f t="shared" si="25"/>
        <v>Yes</v>
      </c>
      <c r="N799" s="32">
        <f>G799 - F799</f>
        <v>91</v>
      </c>
      <c r="O799">
        <v>1</v>
      </c>
    </row>
    <row r="800" spans="1:15" x14ac:dyDescent="0.3">
      <c r="A800" s="47" t="s">
        <v>1529</v>
      </c>
      <c r="B800" s="59" t="s">
        <v>66</v>
      </c>
      <c r="C800" s="59" t="s">
        <v>12</v>
      </c>
      <c r="D800" s="48" t="s">
        <v>1530</v>
      </c>
      <c r="E800" s="48" t="s">
        <v>1531</v>
      </c>
      <c r="F800" s="74">
        <v>44362</v>
      </c>
      <c r="G800" s="74">
        <v>44438</v>
      </c>
      <c r="H800" s="32" t="str">
        <f t="shared" si="24"/>
        <v>EVEN</v>
      </c>
      <c r="I800" s="104">
        <v>0</v>
      </c>
      <c r="J800" s="46" t="str">
        <f>UPPER(TEXT(F800,"mmm")) &amp; " - " &amp; UPPER(TEXT(G800,"mmm"))</f>
        <v>JUN - AUG</v>
      </c>
      <c r="K800" s="46" t="s">
        <v>882</v>
      </c>
      <c r="L800" s="99" t="s">
        <v>3895</v>
      </c>
      <c r="M800" s="32" t="str">
        <f t="shared" si="25"/>
        <v>No</v>
      </c>
      <c r="N800" s="32">
        <f>G800 - F800</f>
        <v>76</v>
      </c>
      <c r="O800">
        <v>1</v>
      </c>
    </row>
    <row r="801" spans="1:17" ht="40.200000000000003" x14ac:dyDescent="0.3">
      <c r="A801" s="47" t="s">
        <v>1532</v>
      </c>
      <c r="B801" s="59" t="s">
        <v>66</v>
      </c>
      <c r="C801" s="59" t="s">
        <v>12</v>
      </c>
      <c r="D801" s="48" t="s">
        <v>1533</v>
      </c>
      <c r="E801" s="48" t="s">
        <v>1534</v>
      </c>
      <c r="F801" s="74">
        <v>44354</v>
      </c>
      <c r="G801" s="74">
        <v>44448</v>
      </c>
      <c r="H801" s="32" t="str">
        <f t="shared" si="24"/>
        <v>EVEN</v>
      </c>
      <c r="I801" s="104">
        <v>0</v>
      </c>
      <c r="J801" s="46" t="str">
        <f>UPPER(TEXT(F801,"mmm")) &amp; " - " &amp; UPPER(TEXT(G801,"mmm"))</f>
        <v>JUN - SEP</v>
      </c>
      <c r="K801" s="46" t="s">
        <v>882</v>
      </c>
      <c r="L801" s="99" t="s">
        <v>3895</v>
      </c>
      <c r="M801" s="32" t="str">
        <f t="shared" si="25"/>
        <v>No</v>
      </c>
      <c r="N801" s="32">
        <f>G801 - F801</f>
        <v>94</v>
      </c>
      <c r="O801">
        <v>1</v>
      </c>
    </row>
    <row r="802" spans="1:17" ht="27" x14ac:dyDescent="0.3">
      <c r="A802" s="47" t="s">
        <v>702</v>
      </c>
      <c r="B802" s="59" t="s">
        <v>66</v>
      </c>
      <c r="C802" s="59" t="s">
        <v>12</v>
      </c>
      <c r="D802" s="48" t="s">
        <v>1535</v>
      </c>
      <c r="E802" s="48" t="s">
        <v>1536</v>
      </c>
      <c r="F802" s="74">
        <v>43952</v>
      </c>
      <c r="G802" s="74">
        <v>44058</v>
      </c>
      <c r="H802" s="32" t="str">
        <f t="shared" ref="H802" si="26">IF((AND(F802&gt;=DATE(2019,7,15),F802&lt;=DATE(2019,12,31))),"ODD", "EVEN")</f>
        <v>EVEN</v>
      </c>
      <c r="I802" s="104">
        <v>0</v>
      </c>
      <c r="J802" s="3" t="str">
        <f>UPPER(TEXT(F802,"mmm")) &amp; " - " &amp; UPPER(TEXT(G802,"mmm"))</f>
        <v>MAY - AUG</v>
      </c>
      <c r="K802" s="46" t="s">
        <v>882</v>
      </c>
      <c r="L802" s="59" t="s">
        <v>895</v>
      </c>
      <c r="M802" s="32" t="str">
        <f t="shared" si="25"/>
        <v>No</v>
      </c>
      <c r="N802" s="32">
        <f>G802 - F802</f>
        <v>106</v>
      </c>
      <c r="O802">
        <v>1</v>
      </c>
      <c r="P802" s="74"/>
      <c r="Q802" s="74"/>
    </row>
    <row r="803" spans="1:17" x14ac:dyDescent="0.3">
      <c r="A803" s="47" t="s">
        <v>1218</v>
      </c>
      <c r="B803" s="59" t="s">
        <v>66</v>
      </c>
      <c r="C803" s="59" t="s">
        <v>12</v>
      </c>
      <c r="D803" s="48" t="s">
        <v>1524</v>
      </c>
      <c r="E803" s="48" t="s">
        <v>1438</v>
      </c>
      <c r="F803" s="74">
        <v>44354</v>
      </c>
      <c r="G803" s="74">
        <v>44395</v>
      </c>
      <c r="H803" s="32" t="str">
        <f t="shared" si="24"/>
        <v>EVEN</v>
      </c>
      <c r="I803" s="104">
        <v>0</v>
      </c>
      <c r="J803" s="46" t="str">
        <f>UPPER(TEXT(F803,"mmm")) &amp; " - " &amp; UPPER(TEXT(G803,"mmm"))</f>
        <v>JUN - JUL</v>
      </c>
      <c r="K803" s="46" t="s">
        <v>882</v>
      </c>
      <c r="L803" s="99" t="s">
        <v>3895</v>
      </c>
      <c r="M803" s="32" t="str">
        <f t="shared" si="25"/>
        <v>No</v>
      </c>
      <c r="N803" s="32">
        <f>G803 - F803</f>
        <v>41</v>
      </c>
      <c r="O803">
        <v>1</v>
      </c>
    </row>
    <row r="804" spans="1:17" ht="40.200000000000003" x14ac:dyDescent="0.3">
      <c r="A804" s="47" t="s">
        <v>970</v>
      </c>
      <c r="B804" s="59" t="s">
        <v>66</v>
      </c>
      <c r="C804" s="59" t="s">
        <v>12</v>
      </c>
      <c r="D804" s="48" t="s">
        <v>1537</v>
      </c>
      <c r="E804" s="48" t="s">
        <v>1538</v>
      </c>
      <c r="F804" s="74">
        <v>44372</v>
      </c>
      <c r="G804" s="74">
        <v>44464</v>
      </c>
      <c r="H804" s="32" t="str">
        <f t="shared" si="24"/>
        <v>EVEN</v>
      </c>
      <c r="I804" s="104">
        <v>0</v>
      </c>
      <c r="J804" s="46" t="str">
        <f>UPPER(TEXT(F804,"mmm")) &amp; " - " &amp; UPPER(TEXT(G804,"mmm"))</f>
        <v>JUN - SEP</v>
      </c>
      <c r="K804" s="46" t="s">
        <v>882</v>
      </c>
      <c r="L804" s="99" t="s">
        <v>3895</v>
      </c>
      <c r="M804" s="32" t="str">
        <f t="shared" si="25"/>
        <v>No</v>
      </c>
      <c r="N804" s="32">
        <f>G804 - F804</f>
        <v>92</v>
      </c>
      <c r="O804">
        <v>1</v>
      </c>
    </row>
    <row r="805" spans="1:17" x14ac:dyDescent="0.3">
      <c r="A805" s="47" t="s">
        <v>1305</v>
      </c>
      <c r="B805" s="59" t="s">
        <v>66</v>
      </c>
      <c r="C805" s="59" t="s">
        <v>12</v>
      </c>
      <c r="D805" s="48" t="s">
        <v>1539</v>
      </c>
      <c r="E805" s="48" t="s">
        <v>1107</v>
      </c>
      <c r="F805" s="74">
        <v>44326</v>
      </c>
      <c r="G805" s="74">
        <v>44361</v>
      </c>
      <c r="H805" s="32" t="str">
        <f t="shared" si="24"/>
        <v>EVEN</v>
      </c>
      <c r="I805" s="104">
        <v>3000</v>
      </c>
      <c r="J805" s="46" t="str">
        <f>UPPER(TEXT(F805,"mmm")) &amp; " - " &amp; UPPER(TEXT(G805,"mmm"))</f>
        <v>MAY - JUN</v>
      </c>
      <c r="K805" s="46" t="s">
        <v>882</v>
      </c>
      <c r="L805" s="99" t="s">
        <v>3895</v>
      </c>
      <c r="M805" s="32" t="str">
        <f t="shared" si="25"/>
        <v>Yes</v>
      </c>
      <c r="N805" s="32">
        <f>G805 - F805</f>
        <v>35</v>
      </c>
      <c r="O805">
        <v>1</v>
      </c>
    </row>
    <row r="806" spans="1:17" x14ac:dyDescent="0.3">
      <c r="A806" s="47" t="s">
        <v>1305</v>
      </c>
      <c r="B806" s="59" t="s">
        <v>66</v>
      </c>
      <c r="C806" s="59" t="s">
        <v>12</v>
      </c>
      <c r="D806" s="48" t="s">
        <v>1540</v>
      </c>
      <c r="E806" s="48" t="s">
        <v>1541</v>
      </c>
      <c r="F806" s="74">
        <v>44013</v>
      </c>
      <c r="G806" s="74">
        <v>44196</v>
      </c>
      <c r="H806" s="32" t="str">
        <f t="shared" si="24"/>
        <v>EVEN</v>
      </c>
      <c r="I806" s="104">
        <v>0</v>
      </c>
      <c r="J806" s="46" t="str">
        <f>UPPER(TEXT(F806,"mmm")) &amp; " - " &amp; UPPER(TEXT(G806,"mmm"))</f>
        <v>JUL - DEC</v>
      </c>
      <c r="K806" s="46" t="s">
        <v>882</v>
      </c>
      <c r="L806" s="59" t="s">
        <v>895</v>
      </c>
      <c r="M806" s="32" t="str">
        <f t="shared" si="25"/>
        <v>No</v>
      </c>
      <c r="N806" s="32">
        <f>G806 - F806</f>
        <v>183</v>
      </c>
      <c r="O806">
        <v>1</v>
      </c>
    </row>
    <row r="807" spans="1:17" x14ac:dyDescent="0.3">
      <c r="A807" s="47" t="s">
        <v>53</v>
      </c>
      <c r="B807" s="59" t="s">
        <v>66</v>
      </c>
      <c r="C807" s="59" t="s">
        <v>12</v>
      </c>
      <c r="D807" s="48" t="s">
        <v>1540</v>
      </c>
      <c r="E807" s="48" t="s">
        <v>1541</v>
      </c>
      <c r="F807" s="74">
        <v>44013</v>
      </c>
      <c r="G807" s="74">
        <v>44196</v>
      </c>
      <c r="H807" s="32" t="str">
        <f t="shared" si="24"/>
        <v>EVEN</v>
      </c>
      <c r="I807" s="104">
        <v>0</v>
      </c>
      <c r="J807" s="46" t="str">
        <f>UPPER(TEXT(F807,"mmm")) &amp; " - " &amp; UPPER(TEXT(G807,"mmm"))</f>
        <v>JUL - DEC</v>
      </c>
      <c r="K807" s="46" t="s">
        <v>882</v>
      </c>
      <c r="L807" s="59" t="s">
        <v>895</v>
      </c>
      <c r="M807" s="32" t="str">
        <f t="shared" si="25"/>
        <v>No</v>
      </c>
      <c r="N807" s="32">
        <f>G807 - F807</f>
        <v>183</v>
      </c>
      <c r="O807">
        <v>1</v>
      </c>
    </row>
    <row r="808" spans="1:17" x14ac:dyDescent="0.3">
      <c r="A808" s="47" t="s">
        <v>54</v>
      </c>
      <c r="B808" s="59" t="s">
        <v>66</v>
      </c>
      <c r="C808" s="59" t="s">
        <v>12</v>
      </c>
      <c r="D808" s="48" t="s">
        <v>1191</v>
      </c>
      <c r="E808" s="48" t="s">
        <v>1542</v>
      </c>
      <c r="F808" s="74">
        <v>44362</v>
      </c>
      <c r="G808" s="74">
        <v>44423</v>
      </c>
      <c r="H808" s="32" t="str">
        <f t="shared" si="24"/>
        <v>EVEN</v>
      </c>
      <c r="I808" s="104">
        <v>1000</v>
      </c>
      <c r="J808" s="46" t="str">
        <f>UPPER(TEXT(F808,"mmm")) &amp; " - " &amp; UPPER(TEXT(G808,"mmm"))</f>
        <v>JUN - AUG</v>
      </c>
      <c r="K808" s="46" t="s">
        <v>882</v>
      </c>
      <c r="L808" s="99" t="s">
        <v>3895</v>
      </c>
      <c r="M808" s="32" t="str">
        <f t="shared" si="25"/>
        <v>Yes</v>
      </c>
      <c r="N808" s="32">
        <f>G808 - F808</f>
        <v>61</v>
      </c>
      <c r="O808">
        <v>1</v>
      </c>
    </row>
    <row r="809" spans="1:17" x14ac:dyDescent="0.3">
      <c r="A809" s="47" t="s">
        <v>1543</v>
      </c>
      <c r="B809" s="59" t="s">
        <v>66</v>
      </c>
      <c r="C809" s="59" t="s">
        <v>12</v>
      </c>
      <c r="D809" s="48" t="s">
        <v>1262</v>
      </c>
      <c r="E809" s="48" t="s">
        <v>1544</v>
      </c>
      <c r="F809" s="74">
        <v>44136</v>
      </c>
      <c r="G809" s="74">
        <v>44316</v>
      </c>
      <c r="H809" s="32" t="str">
        <f t="shared" si="24"/>
        <v>ODD</v>
      </c>
      <c r="I809" s="104">
        <v>0</v>
      </c>
      <c r="J809" s="46" t="str">
        <f>UPPER(TEXT(F809,"mmm")) &amp; " - " &amp; UPPER(TEXT(G809,"mmm"))</f>
        <v>NOV - APR</v>
      </c>
      <c r="K809" s="46" t="s">
        <v>882</v>
      </c>
      <c r="L809" s="59" t="s">
        <v>895</v>
      </c>
      <c r="M809" s="32" t="str">
        <f t="shared" si="25"/>
        <v>No</v>
      </c>
      <c r="N809" s="32">
        <f>G809 - F809</f>
        <v>180</v>
      </c>
      <c r="O809">
        <v>1</v>
      </c>
    </row>
    <row r="810" spans="1:17" x14ac:dyDescent="0.3">
      <c r="A810" s="47" t="s">
        <v>1545</v>
      </c>
      <c r="B810" s="59" t="s">
        <v>78</v>
      </c>
      <c r="C810" s="59" t="s">
        <v>12</v>
      </c>
      <c r="D810" s="48" t="s">
        <v>1546</v>
      </c>
      <c r="E810" s="48" t="s">
        <v>1547</v>
      </c>
      <c r="F810" s="74">
        <v>44197</v>
      </c>
      <c r="G810" s="74">
        <v>44287</v>
      </c>
      <c r="H810" s="32" t="str">
        <f t="shared" si="24"/>
        <v>EVEN</v>
      </c>
      <c r="I810" s="104">
        <v>0</v>
      </c>
      <c r="J810" s="46" t="str">
        <f>UPPER(TEXT(F810,"mmm")) &amp; " - " &amp; UPPER(TEXT(G810,"mmm"))</f>
        <v>JAN - APR</v>
      </c>
      <c r="K810" s="46" t="s">
        <v>882</v>
      </c>
      <c r="L810" s="99" t="s">
        <v>3895</v>
      </c>
      <c r="M810" s="32" t="str">
        <f t="shared" si="25"/>
        <v>No</v>
      </c>
      <c r="N810" s="32">
        <f>G810 - F810</f>
        <v>90</v>
      </c>
      <c r="O810">
        <v>1</v>
      </c>
    </row>
    <row r="811" spans="1:17" x14ac:dyDescent="0.3">
      <c r="A811" s="47" t="s">
        <v>1548</v>
      </c>
      <c r="B811" s="59" t="s">
        <v>78</v>
      </c>
      <c r="C811" s="59" t="s">
        <v>12</v>
      </c>
      <c r="D811" s="48" t="s">
        <v>1549</v>
      </c>
      <c r="E811" s="48" t="s">
        <v>1550</v>
      </c>
      <c r="F811" s="74">
        <v>44350</v>
      </c>
      <c r="G811" s="74">
        <v>44454</v>
      </c>
      <c r="H811" s="32" t="str">
        <f t="shared" si="24"/>
        <v>EVEN</v>
      </c>
      <c r="I811" s="104">
        <v>0</v>
      </c>
      <c r="J811" s="46" t="str">
        <f>UPPER(TEXT(F811,"mmm")) &amp; " - " &amp; UPPER(TEXT(G811,"mmm"))</f>
        <v>JUN - SEP</v>
      </c>
      <c r="K811" s="46" t="s">
        <v>882</v>
      </c>
      <c r="L811" s="99" t="s">
        <v>3895</v>
      </c>
      <c r="M811" s="32" t="str">
        <f t="shared" si="25"/>
        <v>No</v>
      </c>
      <c r="N811" s="32">
        <f>G811 - F811</f>
        <v>104</v>
      </c>
      <c r="O811">
        <v>1</v>
      </c>
    </row>
    <row r="812" spans="1:17" x14ac:dyDescent="0.3">
      <c r="A812" s="47" t="s">
        <v>776</v>
      </c>
      <c r="B812" s="59" t="s">
        <v>78</v>
      </c>
      <c r="C812" s="59" t="s">
        <v>12</v>
      </c>
      <c r="D812" s="48" t="s">
        <v>1551</v>
      </c>
      <c r="E812" s="48" t="s">
        <v>1459</v>
      </c>
      <c r="F812" s="74">
        <v>44391</v>
      </c>
      <c r="G812" s="74">
        <v>44464</v>
      </c>
      <c r="H812" s="32" t="str">
        <f t="shared" si="24"/>
        <v>EVEN</v>
      </c>
      <c r="I812" s="104">
        <v>8000</v>
      </c>
      <c r="J812" s="46" t="str">
        <f>UPPER(TEXT(F812,"mmm")) &amp; " - " &amp; UPPER(TEXT(G812,"mmm"))</f>
        <v>JUL - SEP</v>
      </c>
      <c r="K812" s="46" t="s">
        <v>882</v>
      </c>
      <c r="L812" s="99" t="s">
        <v>3895</v>
      </c>
      <c r="M812" s="32" t="str">
        <f t="shared" si="25"/>
        <v>Yes</v>
      </c>
      <c r="N812" s="32">
        <f>G812 - F812</f>
        <v>73</v>
      </c>
      <c r="O812">
        <v>1</v>
      </c>
    </row>
    <row r="813" spans="1:17" x14ac:dyDescent="0.3">
      <c r="A813" s="47" t="s">
        <v>1552</v>
      </c>
      <c r="B813" s="59" t="s">
        <v>78</v>
      </c>
      <c r="C813" s="59" t="s">
        <v>12</v>
      </c>
      <c r="D813" s="48" t="s">
        <v>1553</v>
      </c>
      <c r="E813" s="48" t="s">
        <v>1554</v>
      </c>
      <c r="F813" s="74">
        <v>44250</v>
      </c>
      <c r="G813" s="74">
        <v>44431</v>
      </c>
      <c r="H813" s="32" t="str">
        <f t="shared" si="24"/>
        <v>EVEN</v>
      </c>
      <c r="I813" s="104">
        <v>0</v>
      </c>
      <c r="J813" s="46" t="str">
        <f>UPPER(TEXT(F813,"mmm")) &amp; " - " &amp; UPPER(TEXT(G813,"mmm"))</f>
        <v>FEB - AUG</v>
      </c>
      <c r="K813" s="46" t="s">
        <v>882</v>
      </c>
      <c r="L813" s="99" t="s">
        <v>3895</v>
      </c>
      <c r="M813" s="32" t="str">
        <f t="shared" si="25"/>
        <v>No</v>
      </c>
      <c r="N813" s="32">
        <f>G813 - F813</f>
        <v>181</v>
      </c>
      <c r="O813">
        <v>1</v>
      </c>
    </row>
    <row r="814" spans="1:17" x14ac:dyDescent="0.3">
      <c r="A814" s="47" t="s">
        <v>1555</v>
      </c>
      <c r="B814" s="59" t="s">
        <v>78</v>
      </c>
      <c r="C814" s="59" t="s">
        <v>12</v>
      </c>
      <c r="D814" s="48" t="s">
        <v>1556</v>
      </c>
      <c r="E814" s="48" t="s">
        <v>1557</v>
      </c>
      <c r="F814" s="74">
        <v>44368</v>
      </c>
      <c r="G814" s="74">
        <v>44397</v>
      </c>
      <c r="H814" s="32" t="str">
        <f t="shared" si="24"/>
        <v>EVEN</v>
      </c>
      <c r="I814" s="104">
        <v>2000</v>
      </c>
      <c r="J814" s="46" t="str">
        <f>UPPER(TEXT(F814,"mmm")) &amp; " - " &amp; UPPER(TEXT(G814,"mmm"))</f>
        <v>JUN - JUL</v>
      </c>
      <c r="K814" s="46" t="s">
        <v>882</v>
      </c>
      <c r="L814" s="99" t="s">
        <v>3895</v>
      </c>
      <c r="M814" s="32" t="str">
        <f t="shared" si="25"/>
        <v>Yes</v>
      </c>
      <c r="N814" s="32">
        <f>G814 - F814</f>
        <v>29</v>
      </c>
      <c r="O814">
        <v>1</v>
      </c>
    </row>
    <row r="815" spans="1:17" x14ac:dyDescent="0.3">
      <c r="A815" s="47" t="s">
        <v>1558</v>
      </c>
      <c r="B815" s="59" t="s">
        <v>78</v>
      </c>
      <c r="C815" s="59" t="s">
        <v>12</v>
      </c>
      <c r="D815" s="48" t="s">
        <v>1553</v>
      </c>
      <c r="E815" s="48" t="s">
        <v>1438</v>
      </c>
      <c r="F815" s="74">
        <v>44250</v>
      </c>
      <c r="G815" s="74">
        <v>44431</v>
      </c>
      <c r="H815" s="32" t="str">
        <f t="shared" si="24"/>
        <v>EVEN</v>
      </c>
      <c r="I815" s="104">
        <v>0</v>
      </c>
      <c r="J815" s="46" t="str">
        <f>UPPER(TEXT(F815,"mmm")) &amp; " - " &amp; UPPER(TEXT(G815,"mmm"))</f>
        <v>FEB - AUG</v>
      </c>
      <c r="K815" s="46" t="s">
        <v>882</v>
      </c>
      <c r="L815" s="99" t="s">
        <v>3895</v>
      </c>
      <c r="M815" s="32" t="str">
        <f t="shared" si="25"/>
        <v>No</v>
      </c>
      <c r="N815" s="32">
        <f>G815 - F815</f>
        <v>181</v>
      </c>
      <c r="O815">
        <v>1</v>
      </c>
    </row>
    <row r="816" spans="1:17" x14ac:dyDescent="0.3">
      <c r="A816" s="47" t="s">
        <v>803</v>
      </c>
      <c r="B816" s="59" t="s">
        <v>78</v>
      </c>
      <c r="C816" s="59" t="s">
        <v>12</v>
      </c>
      <c r="D816" s="48" t="s">
        <v>1553</v>
      </c>
      <c r="E816" s="48" t="s">
        <v>1438</v>
      </c>
      <c r="F816" s="74">
        <v>44250</v>
      </c>
      <c r="G816" s="74">
        <v>44431</v>
      </c>
      <c r="H816" s="32" t="str">
        <f t="shared" si="24"/>
        <v>EVEN</v>
      </c>
      <c r="I816" s="104">
        <v>0</v>
      </c>
      <c r="J816" s="46" t="str">
        <f>UPPER(TEXT(F816,"mmm")) &amp; " - " &amp; UPPER(TEXT(G816,"mmm"))</f>
        <v>FEB - AUG</v>
      </c>
      <c r="K816" s="46" t="s">
        <v>882</v>
      </c>
      <c r="L816" s="99" t="s">
        <v>3895</v>
      </c>
      <c r="M816" s="32" t="str">
        <f t="shared" si="25"/>
        <v>No</v>
      </c>
      <c r="N816" s="32">
        <f>G816 - F816</f>
        <v>181</v>
      </c>
      <c r="O816">
        <v>1</v>
      </c>
    </row>
    <row r="817" spans="1:15" x14ac:dyDescent="0.3">
      <c r="A817" s="47" t="s">
        <v>1315</v>
      </c>
      <c r="B817" s="59" t="s">
        <v>78</v>
      </c>
      <c r="C817" s="59" t="s">
        <v>12</v>
      </c>
      <c r="D817" s="48" t="s">
        <v>1559</v>
      </c>
      <c r="E817" s="48" t="s">
        <v>1560</v>
      </c>
      <c r="F817" s="74">
        <v>44362</v>
      </c>
      <c r="G817" s="74">
        <v>44423</v>
      </c>
      <c r="H817" s="32" t="str">
        <f t="shared" si="24"/>
        <v>EVEN</v>
      </c>
      <c r="I817" s="104">
        <v>1000</v>
      </c>
      <c r="J817" s="46" t="str">
        <f>UPPER(TEXT(F817,"mmm")) &amp; " - " &amp; UPPER(TEXT(G817,"mmm"))</f>
        <v>JUN - AUG</v>
      </c>
      <c r="K817" s="46" t="s">
        <v>882</v>
      </c>
      <c r="L817" s="99" t="s">
        <v>3895</v>
      </c>
      <c r="M817" s="32" t="str">
        <f t="shared" si="25"/>
        <v>Yes</v>
      </c>
      <c r="N817" s="32">
        <f>G817 - F817</f>
        <v>61</v>
      </c>
      <c r="O817">
        <v>1</v>
      </c>
    </row>
    <row r="818" spans="1:15" x14ac:dyDescent="0.3">
      <c r="A818" s="47" t="s">
        <v>1561</v>
      </c>
      <c r="B818" s="59" t="s">
        <v>78</v>
      </c>
      <c r="C818" s="59" t="s">
        <v>12</v>
      </c>
      <c r="D818" s="48" t="s">
        <v>1562</v>
      </c>
      <c r="E818" s="48" t="s">
        <v>1563</v>
      </c>
      <c r="F818" s="74">
        <v>44352</v>
      </c>
      <c r="G818" s="74">
        <v>44443</v>
      </c>
      <c r="H818" s="32" t="str">
        <f t="shared" si="24"/>
        <v>EVEN</v>
      </c>
      <c r="I818" s="104">
        <v>0</v>
      </c>
      <c r="J818" s="46" t="str">
        <f>UPPER(TEXT(F818,"mmm")) &amp; " - " &amp; UPPER(TEXT(G818,"mmm"))</f>
        <v>JUN - SEP</v>
      </c>
      <c r="K818" s="46" t="s">
        <v>882</v>
      </c>
      <c r="L818" s="99" t="s">
        <v>3895</v>
      </c>
      <c r="M818" s="32" t="str">
        <f t="shared" si="25"/>
        <v>No</v>
      </c>
      <c r="N818" s="32">
        <f>G818 - F818</f>
        <v>91</v>
      </c>
      <c r="O818">
        <v>1</v>
      </c>
    </row>
    <row r="819" spans="1:15" x14ac:dyDescent="0.3">
      <c r="A819" s="47" t="s">
        <v>732</v>
      </c>
      <c r="B819" s="59" t="s">
        <v>78</v>
      </c>
      <c r="C819" s="59" t="s">
        <v>12</v>
      </c>
      <c r="D819" s="48" t="s">
        <v>1553</v>
      </c>
      <c r="E819" s="48" t="s">
        <v>1438</v>
      </c>
      <c r="F819" s="74">
        <v>44250</v>
      </c>
      <c r="G819" s="74">
        <v>44431</v>
      </c>
      <c r="H819" s="32" t="str">
        <f t="shared" si="24"/>
        <v>EVEN</v>
      </c>
      <c r="I819" s="104">
        <v>0</v>
      </c>
      <c r="J819" s="46" t="str">
        <f>UPPER(TEXT(F819,"mmm")) &amp; " - " &amp; UPPER(TEXT(G819,"mmm"))</f>
        <v>FEB - AUG</v>
      </c>
      <c r="K819" s="46" t="s">
        <v>882</v>
      </c>
      <c r="L819" s="99" t="s">
        <v>3895</v>
      </c>
      <c r="M819" s="32" t="str">
        <f t="shared" si="25"/>
        <v>No</v>
      </c>
      <c r="N819" s="32">
        <f>G819 - F819</f>
        <v>181</v>
      </c>
      <c r="O819">
        <v>1</v>
      </c>
    </row>
    <row r="820" spans="1:15" x14ac:dyDescent="0.3">
      <c r="A820" s="47" t="s">
        <v>1564</v>
      </c>
      <c r="B820" s="59" t="s">
        <v>66</v>
      </c>
      <c r="C820" s="59" t="s">
        <v>12</v>
      </c>
      <c r="D820" s="48" t="s">
        <v>1565</v>
      </c>
      <c r="E820" s="48" t="s">
        <v>1438</v>
      </c>
      <c r="F820" s="74">
        <v>44256</v>
      </c>
      <c r="G820" s="74">
        <v>44378</v>
      </c>
      <c r="H820" s="32" t="str">
        <f t="shared" si="24"/>
        <v>EVEN</v>
      </c>
      <c r="I820" s="104">
        <v>0</v>
      </c>
      <c r="J820" s="46" t="str">
        <f>UPPER(TEXT(F820,"mmm")) &amp; " - " &amp; UPPER(TEXT(G820,"mmm"))</f>
        <v>MAR - JUL</v>
      </c>
      <c r="K820" s="46" t="s">
        <v>882</v>
      </c>
      <c r="L820" s="99" t="s">
        <v>3895</v>
      </c>
      <c r="M820" s="32" t="str">
        <f t="shared" si="25"/>
        <v>No</v>
      </c>
      <c r="N820" s="32">
        <f>G820 - F820</f>
        <v>122</v>
      </c>
      <c r="O820">
        <v>1</v>
      </c>
    </row>
    <row r="821" spans="1:15" ht="27" x14ac:dyDescent="0.3">
      <c r="A821" s="47" t="s">
        <v>1566</v>
      </c>
      <c r="B821" s="59" t="s">
        <v>11</v>
      </c>
      <c r="C821" s="59" t="s">
        <v>12</v>
      </c>
      <c r="D821" s="48" t="s">
        <v>1567</v>
      </c>
      <c r="E821" s="48" t="s">
        <v>1568</v>
      </c>
      <c r="F821" s="74">
        <v>44228</v>
      </c>
      <c r="G821" s="74">
        <v>44438</v>
      </c>
      <c r="H821" s="32" t="str">
        <f t="shared" si="24"/>
        <v>EVEN</v>
      </c>
      <c r="I821" s="104">
        <v>0</v>
      </c>
      <c r="J821" s="46" t="str">
        <f>UPPER(TEXT(F821,"mmm")) &amp; " - " &amp; UPPER(TEXT(G821,"mmm"))</f>
        <v>FEB - AUG</v>
      </c>
      <c r="K821" s="46" t="s">
        <v>882</v>
      </c>
      <c r="L821" s="99" t="s">
        <v>3895</v>
      </c>
      <c r="M821" s="32" t="str">
        <f t="shared" si="25"/>
        <v>No</v>
      </c>
      <c r="N821" s="32">
        <f>G821 - F821</f>
        <v>210</v>
      </c>
      <c r="O821">
        <v>1</v>
      </c>
    </row>
    <row r="822" spans="1:15" ht="27" x14ac:dyDescent="0.3">
      <c r="A822" s="47" t="s">
        <v>1569</v>
      </c>
      <c r="B822" s="59" t="s">
        <v>11</v>
      </c>
      <c r="C822" s="59" t="s">
        <v>12</v>
      </c>
      <c r="D822" s="48" t="s">
        <v>1519</v>
      </c>
      <c r="E822" s="48" t="s">
        <v>1570</v>
      </c>
      <c r="F822" s="74">
        <v>44075</v>
      </c>
      <c r="G822" s="74">
        <v>44227</v>
      </c>
      <c r="H822" s="32" t="str">
        <f t="shared" si="24"/>
        <v>ODD</v>
      </c>
      <c r="I822" s="104">
        <v>0</v>
      </c>
      <c r="J822" s="46" t="str">
        <f>UPPER(TEXT(F822,"mmm")) &amp; " - " &amp; UPPER(TEXT(G822,"mmm"))</f>
        <v>SEP - JAN</v>
      </c>
      <c r="K822" s="46" t="s">
        <v>882</v>
      </c>
      <c r="L822" s="99" t="s">
        <v>3895</v>
      </c>
      <c r="M822" s="32" t="str">
        <f t="shared" si="25"/>
        <v>No</v>
      </c>
      <c r="N822" s="32">
        <f>G822 - F822</f>
        <v>152</v>
      </c>
      <c r="O822">
        <v>1</v>
      </c>
    </row>
    <row r="823" spans="1:15" x14ac:dyDescent="0.3">
      <c r="A823" s="47" t="s">
        <v>1571</v>
      </c>
      <c r="B823" s="59" t="s">
        <v>78</v>
      </c>
      <c r="C823" s="59" t="s">
        <v>12</v>
      </c>
      <c r="D823" s="48" t="s">
        <v>1572</v>
      </c>
      <c r="E823" s="48" t="s">
        <v>1104</v>
      </c>
      <c r="F823" s="74">
        <v>44259</v>
      </c>
      <c r="G823" s="74">
        <v>44415</v>
      </c>
      <c r="H823" s="32" t="str">
        <f t="shared" si="24"/>
        <v>EVEN</v>
      </c>
      <c r="I823" s="104">
        <v>0</v>
      </c>
      <c r="J823" s="46" t="str">
        <f>UPPER(TEXT(F823,"mmm")) &amp; " - " &amp; UPPER(TEXT(G823,"mmm"))</f>
        <v>MAR - AUG</v>
      </c>
      <c r="K823" s="46" t="s">
        <v>882</v>
      </c>
      <c r="L823" s="99" t="s">
        <v>3895</v>
      </c>
      <c r="M823" s="32" t="str">
        <f t="shared" si="25"/>
        <v>No</v>
      </c>
      <c r="N823" s="32">
        <f>G823 - F823</f>
        <v>156</v>
      </c>
      <c r="O823">
        <v>1</v>
      </c>
    </row>
    <row r="824" spans="1:15" ht="27" x14ac:dyDescent="0.3">
      <c r="A824" s="47" t="s">
        <v>1573</v>
      </c>
      <c r="B824" s="59" t="s">
        <v>66</v>
      </c>
      <c r="C824" s="59" t="s">
        <v>12</v>
      </c>
      <c r="D824" s="48" t="s">
        <v>1574</v>
      </c>
      <c r="E824" s="48" t="s">
        <v>1575</v>
      </c>
      <c r="F824" s="74">
        <v>44364</v>
      </c>
      <c r="G824" s="74">
        <v>44439</v>
      </c>
      <c r="H824" s="32" t="str">
        <f t="shared" si="24"/>
        <v>EVEN</v>
      </c>
      <c r="I824" s="104">
        <v>0</v>
      </c>
      <c r="J824" s="46" t="str">
        <f>UPPER(TEXT(F824,"mmm")) &amp; " - " &amp; UPPER(TEXT(G824,"mmm"))</f>
        <v>JUN - AUG</v>
      </c>
      <c r="K824" s="46" t="s">
        <v>882</v>
      </c>
      <c r="L824" s="99" t="s">
        <v>3895</v>
      </c>
      <c r="M824" s="32" t="str">
        <f t="shared" si="25"/>
        <v>No</v>
      </c>
      <c r="N824" s="32">
        <f>G824 - F824</f>
        <v>75</v>
      </c>
      <c r="O824">
        <v>1</v>
      </c>
    </row>
    <row r="825" spans="1:15" x14ac:dyDescent="0.3">
      <c r="A825" s="47" t="s">
        <v>883</v>
      </c>
      <c r="B825" s="59" t="s">
        <v>66</v>
      </c>
      <c r="C825" s="59" t="s">
        <v>12</v>
      </c>
      <c r="D825" s="48" t="s">
        <v>964</v>
      </c>
      <c r="E825" s="48" t="s">
        <v>1576</v>
      </c>
      <c r="F825" s="74">
        <v>44350</v>
      </c>
      <c r="G825" s="74">
        <v>44394</v>
      </c>
      <c r="H825" s="32" t="str">
        <f t="shared" si="24"/>
        <v>EVEN</v>
      </c>
      <c r="I825" s="104">
        <v>22000</v>
      </c>
      <c r="J825" s="46" t="str">
        <f>UPPER(TEXT(F825,"mmm")) &amp; " - " &amp; UPPER(TEXT(G825,"mmm"))</f>
        <v>JUN - JUL</v>
      </c>
      <c r="K825" s="46" t="s">
        <v>882</v>
      </c>
      <c r="L825" s="99" t="s">
        <v>3895</v>
      </c>
      <c r="M825" s="32" t="str">
        <f t="shared" si="25"/>
        <v>Yes</v>
      </c>
      <c r="N825" s="32">
        <f>G825 - F825</f>
        <v>44</v>
      </c>
      <c r="O825">
        <v>1</v>
      </c>
    </row>
    <row r="826" spans="1:15" ht="27" x14ac:dyDescent="0.3">
      <c r="A826" s="47" t="s">
        <v>1577</v>
      </c>
      <c r="B826" s="59" t="s">
        <v>66</v>
      </c>
      <c r="C826" s="59" t="s">
        <v>12</v>
      </c>
      <c r="D826" s="48" t="s">
        <v>1578</v>
      </c>
      <c r="E826" s="48" t="s">
        <v>259</v>
      </c>
      <c r="F826" s="74">
        <v>44348</v>
      </c>
      <c r="G826" s="74">
        <v>44408</v>
      </c>
      <c r="H826" s="32" t="str">
        <f t="shared" si="24"/>
        <v>EVEN</v>
      </c>
      <c r="I826" s="104">
        <v>10000</v>
      </c>
      <c r="J826" s="46" t="str">
        <f>UPPER(TEXT(F826,"mmm")) &amp; " - " &amp; UPPER(TEXT(G826,"mmm"))</f>
        <v>JUN - JUL</v>
      </c>
      <c r="K826" s="46" t="s">
        <v>882</v>
      </c>
      <c r="L826" s="99" t="s">
        <v>3895</v>
      </c>
      <c r="M826" s="32" t="str">
        <f t="shared" si="25"/>
        <v>Yes</v>
      </c>
      <c r="N826" s="32">
        <f>G826 - F826</f>
        <v>60</v>
      </c>
      <c r="O826">
        <v>1</v>
      </c>
    </row>
    <row r="827" spans="1:15" x14ac:dyDescent="0.3">
      <c r="A827" s="47" t="s">
        <v>1579</v>
      </c>
      <c r="B827" s="59" t="s">
        <v>11</v>
      </c>
      <c r="C827" s="59" t="s">
        <v>12</v>
      </c>
      <c r="D827" s="48" t="s">
        <v>1580</v>
      </c>
      <c r="E827" s="48" t="s">
        <v>1581</v>
      </c>
      <c r="F827" s="74">
        <v>44370</v>
      </c>
      <c r="G827" s="74">
        <v>44431</v>
      </c>
      <c r="H827" s="32" t="str">
        <f t="shared" si="24"/>
        <v>EVEN</v>
      </c>
      <c r="I827" s="104">
        <v>0</v>
      </c>
      <c r="J827" s="46" t="str">
        <f>UPPER(TEXT(F827,"mmm")) &amp; " - " &amp; UPPER(TEXT(G827,"mmm"))</f>
        <v>JUN - AUG</v>
      </c>
      <c r="K827" s="46" t="s">
        <v>882</v>
      </c>
      <c r="L827" s="99" t="s">
        <v>3895</v>
      </c>
      <c r="M827" s="32" t="str">
        <f t="shared" si="25"/>
        <v>No</v>
      </c>
      <c r="N827" s="32">
        <f>G827 - F827</f>
        <v>61</v>
      </c>
      <c r="O827">
        <v>1</v>
      </c>
    </row>
    <row r="828" spans="1:15" x14ac:dyDescent="0.3">
      <c r="A828" s="47" t="s">
        <v>1582</v>
      </c>
      <c r="B828" s="59" t="s">
        <v>78</v>
      </c>
      <c r="C828" s="59" t="s">
        <v>12</v>
      </c>
      <c r="D828" s="48" t="s">
        <v>1583</v>
      </c>
      <c r="E828" s="48" t="s">
        <v>1438</v>
      </c>
      <c r="F828" s="74">
        <v>44270</v>
      </c>
      <c r="G828" s="74">
        <v>44485</v>
      </c>
      <c r="H828" s="32" t="str">
        <f t="shared" si="24"/>
        <v>EVEN</v>
      </c>
      <c r="I828" s="104">
        <v>0</v>
      </c>
      <c r="J828" s="46" t="str">
        <f>UPPER(TEXT(F828,"mmm")) &amp; " - " &amp; UPPER(TEXT(G828,"mmm"))</f>
        <v>MAR - OCT</v>
      </c>
      <c r="K828" s="46" t="s">
        <v>882</v>
      </c>
      <c r="L828" s="99" t="s">
        <v>3895</v>
      </c>
      <c r="M828" s="32" t="str">
        <f t="shared" si="25"/>
        <v>No</v>
      </c>
      <c r="N828" s="32">
        <f>G828 - F828</f>
        <v>215</v>
      </c>
      <c r="O828">
        <v>1</v>
      </c>
    </row>
    <row r="829" spans="1:15" x14ac:dyDescent="0.3">
      <c r="A829" s="47" t="s">
        <v>1584</v>
      </c>
      <c r="B829" s="59" t="s">
        <v>78</v>
      </c>
      <c r="C829" s="59" t="s">
        <v>12</v>
      </c>
      <c r="D829" s="48" t="s">
        <v>1585</v>
      </c>
      <c r="E829" s="48" t="s">
        <v>1586</v>
      </c>
      <c r="F829" s="74">
        <v>44353</v>
      </c>
      <c r="G829" s="74">
        <v>44424</v>
      </c>
      <c r="H829" s="32" t="str">
        <f t="shared" si="24"/>
        <v>EVEN</v>
      </c>
      <c r="I829" s="104">
        <v>0</v>
      </c>
      <c r="J829" s="46" t="str">
        <f>UPPER(TEXT(F829,"mmm")) &amp; " - " &amp; UPPER(TEXT(G829,"mmm"))</f>
        <v>JUN - AUG</v>
      </c>
      <c r="K829" s="46" t="s">
        <v>882</v>
      </c>
      <c r="L829" s="99" t="s">
        <v>3895</v>
      </c>
      <c r="M829" s="32" t="str">
        <f t="shared" si="25"/>
        <v>No</v>
      </c>
      <c r="N829" s="32">
        <f>G829 - F829</f>
        <v>71</v>
      </c>
      <c r="O829">
        <v>1</v>
      </c>
    </row>
    <row r="830" spans="1:15" x14ac:dyDescent="0.3">
      <c r="A830" s="47" t="s">
        <v>1587</v>
      </c>
      <c r="B830" s="59" t="s">
        <v>78</v>
      </c>
      <c r="C830" s="59" t="s">
        <v>12</v>
      </c>
      <c r="D830" s="48" t="s">
        <v>1585</v>
      </c>
      <c r="E830" s="48" t="s">
        <v>1586</v>
      </c>
      <c r="F830" s="74">
        <v>44353</v>
      </c>
      <c r="G830" s="74">
        <v>44424</v>
      </c>
      <c r="H830" s="32" t="str">
        <f t="shared" si="24"/>
        <v>EVEN</v>
      </c>
      <c r="I830" s="104">
        <v>0</v>
      </c>
      <c r="J830" s="46" t="str">
        <f>UPPER(TEXT(F830,"mmm")) &amp; " - " &amp; UPPER(TEXT(G830,"mmm"))</f>
        <v>JUN - AUG</v>
      </c>
      <c r="K830" s="46" t="s">
        <v>882</v>
      </c>
      <c r="L830" s="99" t="s">
        <v>3895</v>
      </c>
      <c r="M830" s="32" t="str">
        <f t="shared" si="25"/>
        <v>No</v>
      </c>
      <c r="N830" s="32">
        <f>G830 - F830</f>
        <v>71</v>
      </c>
      <c r="O830">
        <v>1</v>
      </c>
    </row>
    <row r="831" spans="1:15" x14ac:dyDescent="0.3">
      <c r="A831" s="47" t="s">
        <v>1588</v>
      </c>
      <c r="B831" s="59" t="s">
        <v>78</v>
      </c>
      <c r="C831" s="59" t="s">
        <v>12</v>
      </c>
      <c r="D831" s="48" t="s">
        <v>1585</v>
      </c>
      <c r="E831" s="48" t="s">
        <v>1586</v>
      </c>
      <c r="F831" s="74">
        <v>44353</v>
      </c>
      <c r="G831" s="74">
        <v>44424</v>
      </c>
      <c r="H831" s="32" t="str">
        <f t="shared" ref="H831:H894" si="27">IF(AND(F831&gt;=DATE(2020,7,15), F831&lt;=DATE(2020,12,31)), "ODD", "EVEN")</f>
        <v>EVEN</v>
      </c>
      <c r="I831" s="104">
        <v>0</v>
      </c>
      <c r="J831" s="46" t="str">
        <f>UPPER(TEXT(F831,"mmm")) &amp; " - " &amp; UPPER(TEXT(G831,"mmm"))</f>
        <v>JUN - AUG</v>
      </c>
      <c r="K831" s="46" t="s">
        <v>882</v>
      </c>
      <c r="L831" s="99" t="s">
        <v>3895</v>
      </c>
      <c r="M831" s="32" t="str">
        <f t="shared" si="25"/>
        <v>No</v>
      </c>
      <c r="N831" s="32">
        <f>G831 - F831</f>
        <v>71</v>
      </c>
      <c r="O831">
        <v>1</v>
      </c>
    </row>
    <row r="832" spans="1:15" ht="40.200000000000003" x14ac:dyDescent="0.3">
      <c r="A832" s="47" t="s">
        <v>1589</v>
      </c>
      <c r="B832" s="59" t="s">
        <v>66</v>
      </c>
      <c r="C832" s="59" t="s">
        <v>12</v>
      </c>
      <c r="D832" s="48" t="s">
        <v>1590</v>
      </c>
      <c r="E832" s="48" t="s">
        <v>1591</v>
      </c>
      <c r="F832" s="74">
        <v>44356</v>
      </c>
      <c r="G832" s="74">
        <v>44437</v>
      </c>
      <c r="H832" s="32" t="str">
        <f t="shared" si="27"/>
        <v>EVEN</v>
      </c>
      <c r="I832" s="104">
        <v>0</v>
      </c>
      <c r="J832" s="46" t="str">
        <f>UPPER(TEXT(F832,"mmm")) &amp; " - " &amp; UPPER(TEXT(G832,"mmm"))</f>
        <v>JUN - AUG</v>
      </c>
      <c r="K832" s="46" t="s">
        <v>882</v>
      </c>
      <c r="L832" s="99" t="s">
        <v>3895</v>
      </c>
      <c r="M832" s="32" t="str">
        <f t="shared" si="25"/>
        <v>No</v>
      </c>
      <c r="N832" s="32">
        <f>G832 - F832</f>
        <v>81</v>
      </c>
      <c r="O832">
        <v>1</v>
      </c>
    </row>
    <row r="833" spans="1:15" ht="40.200000000000003" x14ac:dyDescent="0.3">
      <c r="A833" s="47" t="s">
        <v>1417</v>
      </c>
      <c r="B833" s="59" t="s">
        <v>66</v>
      </c>
      <c r="C833" s="59" t="s">
        <v>12</v>
      </c>
      <c r="D833" s="48" t="s">
        <v>1592</v>
      </c>
      <c r="E833" s="48" t="s">
        <v>1591</v>
      </c>
      <c r="F833" s="74">
        <v>44356</v>
      </c>
      <c r="G833" s="74">
        <v>44437</v>
      </c>
      <c r="H833" s="32" t="str">
        <f t="shared" si="27"/>
        <v>EVEN</v>
      </c>
      <c r="I833" s="104">
        <v>0</v>
      </c>
      <c r="J833" s="46" t="str">
        <f>UPPER(TEXT(F833,"mmm")) &amp; " - " &amp; UPPER(TEXT(G833,"mmm"))</f>
        <v>JUN - AUG</v>
      </c>
      <c r="K833" s="46" t="s">
        <v>882</v>
      </c>
      <c r="L833" s="99" t="s">
        <v>3895</v>
      </c>
      <c r="M833" s="32" t="str">
        <f t="shared" si="25"/>
        <v>No</v>
      </c>
      <c r="N833" s="32">
        <f>G833 - F833</f>
        <v>81</v>
      </c>
      <c r="O833">
        <v>1</v>
      </c>
    </row>
    <row r="834" spans="1:15" x14ac:dyDescent="0.3">
      <c r="A834" s="47" t="s">
        <v>1593</v>
      </c>
      <c r="B834" s="59" t="s">
        <v>66</v>
      </c>
      <c r="C834" s="59" t="s">
        <v>12</v>
      </c>
      <c r="D834" s="48" t="s">
        <v>842</v>
      </c>
      <c r="E834" s="48" t="s">
        <v>1594</v>
      </c>
      <c r="F834" s="74">
        <v>44058</v>
      </c>
      <c r="G834" s="74">
        <v>44296</v>
      </c>
      <c r="H834" s="32" t="str">
        <f t="shared" si="27"/>
        <v>ODD</v>
      </c>
      <c r="I834" s="104">
        <v>0</v>
      </c>
      <c r="J834" s="46" t="str">
        <f>UPPER(TEXT(F834,"mmm")) &amp; " - " &amp; UPPER(TEXT(G834,"mmm"))</f>
        <v>AUG - APR</v>
      </c>
      <c r="K834" s="46" t="s">
        <v>882</v>
      </c>
      <c r="L834" s="59" t="s">
        <v>895</v>
      </c>
      <c r="M834" s="32" t="str">
        <f t="shared" ref="M834:M897" si="28">IF(I834 &gt; 0, "Yes", "No")</f>
        <v>No</v>
      </c>
      <c r="N834" s="32">
        <f>G834 - F834</f>
        <v>238</v>
      </c>
      <c r="O834">
        <v>1</v>
      </c>
    </row>
    <row r="835" spans="1:15" x14ac:dyDescent="0.3">
      <c r="A835" s="47" t="s">
        <v>1595</v>
      </c>
      <c r="B835" s="59" t="s">
        <v>66</v>
      </c>
      <c r="C835" s="59" t="s">
        <v>12</v>
      </c>
      <c r="D835" s="48" t="s">
        <v>1596</v>
      </c>
      <c r="E835" s="48" t="s">
        <v>1597</v>
      </c>
      <c r="F835" s="74">
        <v>44058</v>
      </c>
      <c r="G835" s="74">
        <v>44296</v>
      </c>
      <c r="H835" s="32" t="str">
        <f t="shared" si="27"/>
        <v>ODD</v>
      </c>
      <c r="I835" s="104">
        <v>0</v>
      </c>
      <c r="J835" s="46" t="str">
        <f>UPPER(TEXT(F835,"mmm")) &amp; " - " &amp; UPPER(TEXT(G835,"mmm"))</f>
        <v>AUG - APR</v>
      </c>
      <c r="K835" s="46" t="s">
        <v>882</v>
      </c>
      <c r="L835" s="59" t="s">
        <v>895</v>
      </c>
      <c r="M835" s="32" t="str">
        <f t="shared" si="28"/>
        <v>No</v>
      </c>
      <c r="N835" s="32">
        <f>G835 - F835</f>
        <v>238</v>
      </c>
      <c r="O835">
        <v>1</v>
      </c>
    </row>
    <row r="836" spans="1:15" ht="27" x14ac:dyDescent="0.3">
      <c r="A836" s="47" t="s">
        <v>1598</v>
      </c>
      <c r="B836" s="59" t="s">
        <v>66</v>
      </c>
      <c r="C836" s="59" t="s">
        <v>12</v>
      </c>
      <c r="D836" s="48" t="s">
        <v>1599</v>
      </c>
      <c r="E836" s="48" t="s">
        <v>1600</v>
      </c>
      <c r="F836" s="74">
        <v>44058</v>
      </c>
      <c r="G836" s="74">
        <v>44296</v>
      </c>
      <c r="H836" s="32" t="str">
        <f t="shared" si="27"/>
        <v>ODD</v>
      </c>
      <c r="I836" s="104">
        <v>0</v>
      </c>
      <c r="J836" s="46" t="str">
        <f>UPPER(TEXT(F836,"mmm")) &amp; " - " &amp; UPPER(TEXT(G836,"mmm"))</f>
        <v>AUG - APR</v>
      </c>
      <c r="K836" s="46" t="s">
        <v>882</v>
      </c>
      <c r="L836" s="59" t="s">
        <v>895</v>
      </c>
      <c r="M836" s="32" t="str">
        <f t="shared" si="28"/>
        <v>No</v>
      </c>
      <c r="N836" s="32">
        <f>G836 - F836</f>
        <v>238</v>
      </c>
      <c r="O836">
        <v>1</v>
      </c>
    </row>
    <row r="837" spans="1:15" ht="40.200000000000003" x14ac:dyDescent="0.3">
      <c r="A837" s="47" t="s">
        <v>1494</v>
      </c>
      <c r="B837" s="59" t="s">
        <v>66</v>
      </c>
      <c r="C837" s="59" t="s">
        <v>12</v>
      </c>
      <c r="D837" s="48" t="s">
        <v>1601</v>
      </c>
      <c r="E837" s="48" t="s">
        <v>1602</v>
      </c>
      <c r="F837" s="74">
        <v>44348</v>
      </c>
      <c r="G837" s="74">
        <v>44501</v>
      </c>
      <c r="H837" s="32" t="str">
        <f t="shared" si="27"/>
        <v>EVEN</v>
      </c>
      <c r="I837" s="104">
        <v>0</v>
      </c>
      <c r="J837" s="46" t="str">
        <f>UPPER(TEXT(F837,"mmm")) &amp; " - " &amp; UPPER(TEXT(G837,"mmm"))</f>
        <v>JUN - NOV</v>
      </c>
      <c r="K837" s="46" t="s">
        <v>882</v>
      </c>
      <c r="L837" s="99" t="s">
        <v>3895</v>
      </c>
      <c r="M837" s="32" t="str">
        <f t="shared" si="28"/>
        <v>No</v>
      </c>
      <c r="N837" s="32">
        <f>G837 - F837</f>
        <v>153</v>
      </c>
      <c r="O837">
        <v>1</v>
      </c>
    </row>
    <row r="838" spans="1:15" ht="27" x14ac:dyDescent="0.3">
      <c r="A838" s="47" t="s">
        <v>41</v>
      </c>
      <c r="B838" s="59" t="s">
        <v>66</v>
      </c>
      <c r="C838" s="59" t="s">
        <v>12</v>
      </c>
      <c r="D838" s="48" t="s">
        <v>842</v>
      </c>
      <c r="E838" s="48" t="s">
        <v>1603</v>
      </c>
      <c r="F838" s="74">
        <v>44058</v>
      </c>
      <c r="G838" s="74">
        <v>44296</v>
      </c>
      <c r="H838" s="32" t="str">
        <f t="shared" si="27"/>
        <v>ODD</v>
      </c>
      <c r="I838" s="104">
        <v>0</v>
      </c>
      <c r="J838" s="46" t="str">
        <f>UPPER(TEXT(F838,"mmm")) &amp; " - " &amp; UPPER(TEXT(G838,"mmm"))</f>
        <v>AUG - APR</v>
      </c>
      <c r="K838" s="46" t="s">
        <v>882</v>
      </c>
      <c r="L838" s="59" t="s">
        <v>895</v>
      </c>
      <c r="M838" s="32" t="str">
        <f t="shared" si="28"/>
        <v>No</v>
      </c>
      <c r="N838" s="32">
        <f>G838 - F838</f>
        <v>238</v>
      </c>
      <c r="O838">
        <v>1</v>
      </c>
    </row>
    <row r="839" spans="1:15" ht="27" x14ac:dyDescent="0.3">
      <c r="A839" s="47" t="s">
        <v>1532</v>
      </c>
      <c r="B839" s="59" t="s">
        <v>66</v>
      </c>
      <c r="C839" s="59" t="s">
        <v>12</v>
      </c>
      <c r="D839" s="48" t="s">
        <v>842</v>
      </c>
      <c r="E839" s="48" t="s">
        <v>1604</v>
      </c>
      <c r="F839" s="74">
        <v>44058</v>
      </c>
      <c r="G839" s="74">
        <v>44296</v>
      </c>
      <c r="H839" s="32" t="str">
        <f t="shared" si="27"/>
        <v>ODD</v>
      </c>
      <c r="I839" s="104">
        <v>0</v>
      </c>
      <c r="J839" s="46" t="str">
        <f>UPPER(TEXT(F839,"mmm")) &amp; " - " &amp; UPPER(TEXT(G839,"mmm"))</f>
        <v>AUG - APR</v>
      </c>
      <c r="K839" s="46" t="s">
        <v>882</v>
      </c>
      <c r="L839" s="59" t="s">
        <v>895</v>
      </c>
      <c r="M839" s="32" t="str">
        <f t="shared" si="28"/>
        <v>No</v>
      </c>
      <c r="N839" s="32">
        <f>G839 - F839</f>
        <v>238</v>
      </c>
      <c r="O839">
        <v>1</v>
      </c>
    </row>
    <row r="840" spans="1:15" x14ac:dyDescent="0.3">
      <c r="A840" s="47" t="s">
        <v>1605</v>
      </c>
      <c r="B840" s="59" t="s">
        <v>78</v>
      </c>
      <c r="C840" s="59" t="s">
        <v>12</v>
      </c>
      <c r="D840" s="48" t="s">
        <v>842</v>
      </c>
      <c r="E840" s="48" t="s">
        <v>1606</v>
      </c>
      <c r="F840" s="74">
        <v>44118</v>
      </c>
      <c r="G840" s="74">
        <v>44296</v>
      </c>
      <c r="H840" s="32" t="str">
        <f t="shared" si="27"/>
        <v>ODD</v>
      </c>
      <c r="I840" s="104">
        <v>0</v>
      </c>
      <c r="J840" s="46" t="str">
        <f>UPPER(TEXT(F840,"mmm")) &amp; " - " &amp; UPPER(TEXT(G840,"mmm"))</f>
        <v>OCT - APR</v>
      </c>
      <c r="K840" s="46" t="s">
        <v>882</v>
      </c>
      <c r="L840" s="59" t="s">
        <v>895</v>
      </c>
      <c r="M840" s="32" t="str">
        <f t="shared" si="28"/>
        <v>No</v>
      </c>
      <c r="N840" s="32">
        <f>G840 - F840</f>
        <v>178</v>
      </c>
      <c r="O840">
        <v>1</v>
      </c>
    </row>
    <row r="841" spans="1:15" ht="27" x14ac:dyDescent="0.3">
      <c r="A841" s="47" t="s">
        <v>361</v>
      </c>
      <c r="B841" s="59" t="s">
        <v>78</v>
      </c>
      <c r="C841" s="59" t="s">
        <v>12</v>
      </c>
      <c r="D841" s="48" t="s">
        <v>170</v>
      </c>
      <c r="E841" s="48" t="s">
        <v>1607</v>
      </c>
      <c r="F841" s="74">
        <v>44366</v>
      </c>
      <c r="G841" s="74">
        <v>44431</v>
      </c>
      <c r="H841" s="32" t="str">
        <f t="shared" si="27"/>
        <v>EVEN</v>
      </c>
      <c r="I841" s="104">
        <v>0</v>
      </c>
      <c r="J841" s="46" t="str">
        <f>UPPER(TEXT(F841,"mmm")) &amp; " - " &amp; UPPER(TEXT(G841,"mmm"))</f>
        <v>JUN - AUG</v>
      </c>
      <c r="K841" s="46" t="s">
        <v>882</v>
      </c>
      <c r="L841" s="59" t="s">
        <v>895</v>
      </c>
      <c r="M841" s="32" t="str">
        <f t="shared" si="28"/>
        <v>No</v>
      </c>
      <c r="N841" s="32">
        <f>G841 - F841</f>
        <v>65</v>
      </c>
      <c r="O841">
        <v>1</v>
      </c>
    </row>
    <row r="842" spans="1:15" ht="27" x14ac:dyDescent="0.3">
      <c r="A842" s="47" t="s">
        <v>1414</v>
      </c>
      <c r="B842" s="59" t="s">
        <v>78</v>
      </c>
      <c r="C842" s="59" t="s">
        <v>12</v>
      </c>
      <c r="D842" s="48" t="s">
        <v>1608</v>
      </c>
      <c r="E842" s="48" t="s">
        <v>1609</v>
      </c>
      <c r="F842" s="74">
        <v>44058</v>
      </c>
      <c r="G842" s="74">
        <v>44296</v>
      </c>
      <c r="H842" s="32" t="str">
        <f t="shared" si="27"/>
        <v>ODD</v>
      </c>
      <c r="I842" s="104">
        <v>0</v>
      </c>
      <c r="J842" s="46" t="str">
        <f>UPPER(TEXT(F842,"mmm")) &amp; " - " &amp; UPPER(TEXT(G842,"mmm"))</f>
        <v>AUG - APR</v>
      </c>
      <c r="K842" s="46" t="s">
        <v>882</v>
      </c>
      <c r="L842" s="59" t="s">
        <v>895</v>
      </c>
      <c r="M842" s="32" t="str">
        <f t="shared" si="28"/>
        <v>No</v>
      </c>
      <c r="N842" s="32">
        <f>G842 - F842</f>
        <v>238</v>
      </c>
      <c r="O842">
        <v>1</v>
      </c>
    </row>
    <row r="843" spans="1:15" ht="27" x14ac:dyDescent="0.3">
      <c r="A843" s="47" t="s">
        <v>1182</v>
      </c>
      <c r="B843" s="59" t="s">
        <v>11</v>
      </c>
      <c r="C843" s="59" t="s">
        <v>12</v>
      </c>
      <c r="D843" s="48" t="s">
        <v>1178</v>
      </c>
      <c r="E843" s="48" t="s">
        <v>1171</v>
      </c>
      <c r="F843" s="74">
        <v>44301</v>
      </c>
      <c r="G843" s="74">
        <v>44427</v>
      </c>
      <c r="H843" s="32" t="str">
        <f t="shared" si="27"/>
        <v>EVEN</v>
      </c>
      <c r="I843" s="104">
        <v>0</v>
      </c>
      <c r="J843" s="46" t="str">
        <f>UPPER(TEXT(F843,"mmm")) &amp; " - " &amp; UPPER(TEXT(G843,"mmm"))</f>
        <v>APR - AUG</v>
      </c>
      <c r="K843" s="46" t="s">
        <v>882</v>
      </c>
      <c r="L843" s="59" t="s">
        <v>895</v>
      </c>
      <c r="M843" s="32" t="str">
        <f t="shared" si="28"/>
        <v>No</v>
      </c>
      <c r="N843" s="32">
        <f>G843 - F843</f>
        <v>126</v>
      </c>
      <c r="O843">
        <v>1</v>
      </c>
    </row>
    <row r="844" spans="1:15" ht="40.200000000000003" x14ac:dyDescent="0.3">
      <c r="A844" s="47" t="s">
        <v>21</v>
      </c>
      <c r="B844" s="59" t="s">
        <v>66</v>
      </c>
      <c r="C844" s="59" t="s">
        <v>12</v>
      </c>
      <c r="D844" s="48" t="s">
        <v>1610</v>
      </c>
      <c r="E844" s="48" t="s">
        <v>1611</v>
      </c>
      <c r="F844" s="74">
        <v>44348</v>
      </c>
      <c r="G844" s="74">
        <v>44501</v>
      </c>
      <c r="H844" s="32" t="str">
        <f t="shared" si="27"/>
        <v>EVEN</v>
      </c>
      <c r="I844" s="104">
        <v>0</v>
      </c>
      <c r="J844" s="46" t="str">
        <f>UPPER(TEXT(F844,"mmm")) &amp; " - " &amp; UPPER(TEXT(G844,"mmm"))</f>
        <v>JUN - NOV</v>
      </c>
      <c r="K844" s="46" t="s">
        <v>882</v>
      </c>
      <c r="L844" s="99" t="s">
        <v>3895</v>
      </c>
      <c r="M844" s="32" t="str">
        <f t="shared" si="28"/>
        <v>No</v>
      </c>
      <c r="N844" s="32">
        <f>G844 - F844</f>
        <v>153</v>
      </c>
      <c r="O844">
        <v>1</v>
      </c>
    </row>
    <row r="845" spans="1:15" x14ac:dyDescent="0.3">
      <c r="A845" s="47" t="s">
        <v>50</v>
      </c>
      <c r="B845" s="59" t="s">
        <v>66</v>
      </c>
      <c r="C845" s="59" t="s">
        <v>12</v>
      </c>
      <c r="D845" s="48" t="s">
        <v>1610</v>
      </c>
      <c r="E845" s="48" t="s">
        <v>1612</v>
      </c>
      <c r="F845" s="74">
        <v>44348</v>
      </c>
      <c r="G845" s="74">
        <v>44501</v>
      </c>
      <c r="H845" s="32" t="str">
        <f t="shared" si="27"/>
        <v>EVEN</v>
      </c>
      <c r="I845" s="104">
        <v>0</v>
      </c>
      <c r="J845" s="46" t="str">
        <f>UPPER(TEXT(F845,"mmm")) &amp; " - " &amp; UPPER(TEXT(G845,"mmm"))</f>
        <v>JUN - NOV</v>
      </c>
      <c r="K845" s="46" t="s">
        <v>882</v>
      </c>
      <c r="L845" s="99" t="s">
        <v>3895</v>
      </c>
      <c r="M845" s="32" t="str">
        <f t="shared" si="28"/>
        <v>No</v>
      </c>
      <c r="N845" s="32">
        <f>G845 - F845</f>
        <v>153</v>
      </c>
      <c r="O845">
        <v>1</v>
      </c>
    </row>
    <row r="846" spans="1:15" ht="27" x14ac:dyDescent="0.3">
      <c r="A846" s="47" t="s">
        <v>1288</v>
      </c>
      <c r="B846" s="59" t="s">
        <v>78</v>
      </c>
      <c r="C846" s="59" t="s">
        <v>12</v>
      </c>
      <c r="D846" s="48" t="s">
        <v>25</v>
      </c>
      <c r="E846" s="48" t="s">
        <v>1613</v>
      </c>
      <c r="F846" s="74">
        <v>44348</v>
      </c>
      <c r="G846" s="74">
        <v>44440</v>
      </c>
      <c r="H846" s="32" t="str">
        <f t="shared" si="27"/>
        <v>EVEN</v>
      </c>
      <c r="I846" s="104">
        <v>0</v>
      </c>
      <c r="J846" s="46" t="str">
        <f>UPPER(TEXT(F846,"mmm")) &amp; " - " &amp; UPPER(TEXT(G846,"mmm"))</f>
        <v>JUN - SEP</v>
      </c>
      <c r="K846" s="46" t="s">
        <v>882</v>
      </c>
      <c r="L846" s="59" t="s">
        <v>895</v>
      </c>
      <c r="M846" s="32" t="str">
        <f t="shared" si="28"/>
        <v>No</v>
      </c>
      <c r="N846" s="32">
        <f>G846 - F846</f>
        <v>92</v>
      </c>
      <c r="O846">
        <v>1</v>
      </c>
    </row>
    <row r="847" spans="1:15" x14ac:dyDescent="0.3">
      <c r="A847" s="47" t="s">
        <v>1614</v>
      </c>
      <c r="B847" s="59" t="s">
        <v>78</v>
      </c>
      <c r="C847" s="59" t="s">
        <v>12</v>
      </c>
      <c r="D847" s="48" t="s">
        <v>1585</v>
      </c>
      <c r="E847" s="48" t="s">
        <v>1586</v>
      </c>
      <c r="F847" s="74">
        <v>44353</v>
      </c>
      <c r="G847" s="74">
        <v>44424</v>
      </c>
      <c r="H847" s="32" t="str">
        <f t="shared" si="27"/>
        <v>EVEN</v>
      </c>
      <c r="I847" s="104">
        <v>0</v>
      </c>
      <c r="J847" s="46" t="str">
        <f>UPPER(TEXT(F847,"mmm")) &amp; " - " &amp; UPPER(TEXT(G847,"mmm"))</f>
        <v>JUN - AUG</v>
      </c>
      <c r="K847" s="46" t="s">
        <v>882</v>
      </c>
      <c r="L847" s="99" t="s">
        <v>3895</v>
      </c>
      <c r="M847" s="32" t="str">
        <f t="shared" si="28"/>
        <v>No</v>
      </c>
      <c r="N847" s="32">
        <f>G847 - F847</f>
        <v>71</v>
      </c>
      <c r="O847">
        <v>1</v>
      </c>
    </row>
    <row r="848" spans="1:15" x14ac:dyDescent="0.3">
      <c r="A848" s="47" t="s">
        <v>1174</v>
      </c>
      <c r="B848" s="59" t="s">
        <v>11</v>
      </c>
      <c r="C848" s="59" t="s">
        <v>12</v>
      </c>
      <c r="D848" s="48" t="s">
        <v>1178</v>
      </c>
      <c r="E848" s="48" t="s">
        <v>1615</v>
      </c>
      <c r="F848" s="74">
        <v>44301</v>
      </c>
      <c r="G848" s="74">
        <v>44427</v>
      </c>
      <c r="H848" s="32" t="str">
        <f t="shared" si="27"/>
        <v>EVEN</v>
      </c>
      <c r="I848" s="104">
        <v>0</v>
      </c>
      <c r="J848" s="46" t="str">
        <f>UPPER(TEXT(F848,"mmm")) &amp; " - " &amp; UPPER(TEXT(G848,"mmm"))</f>
        <v>APR - AUG</v>
      </c>
      <c r="K848" s="46" t="s">
        <v>882</v>
      </c>
      <c r="L848" s="59" t="s">
        <v>895</v>
      </c>
      <c r="M848" s="32" t="str">
        <f t="shared" si="28"/>
        <v>No</v>
      </c>
      <c r="N848" s="32">
        <f>G848 - F848</f>
        <v>126</v>
      </c>
      <c r="O848">
        <v>1</v>
      </c>
    </row>
    <row r="849" spans="1:15" x14ac:dyDescent="0.3">
      <c r="A849" s="47" t="s">
        <v>312</v>
      </c>
      <c r="B849" s="59" t="s">
        <v>78</v>
      </c>
      <c r="C849" s="59" t="s">
        <v>12</v>
      </c>
      <c r="D849" s="48" t="s">
        <v>1616</v>
      </c>
      <c r="E849" s="48" t="s">
        <v>1617</v>
      </c>
      <c r="F849" s="74">
        <v>44348</v>
      </c>
      <c r="G849" s="74">
        <v>44440</v>
      </c>
      <c r="H849" s="32" t="str">
        <f t="shared" si="27"/>
        <v>EVEN</v>
      </c>
      <c r="I849" s="104">
        <v>0</v>
      </c>
      <c r="J849" s="46" t="str">
        <f>UPPER(TEXT(F849,"mmm")) &amp; " - " &amp; UPPER(TEXT(G849,"mmm"))</f>
        <v>JUN - SEP</v>
      </c>
      <c r="K849" s="46" t="s">
        <v>882</v>
      </c>
      <c r="L849" s="59" t="s">
        <v>895</v>
      </c>
      <c r="M849" s="32" t="str">
        <f t="shared" si="28"/>
        <v>No</v>
      </c>
      <c r="N849" s="32">
        <f>G849 - F849</f>
        <v>92</v>
      </c>
      <c r="O849">
        <v>1</v>
      </c>
    </row>
    <row r="850" spans="1:15" ht="27" x14ac:dyDescent="0.3">
      <c r="A850" s="47" t="s">
        <v>1618</v>
      </c>
      <c r="B850" s="59" t="s">
        <v>78</v>
      </c>
      <c r="C850" s="59" t="s">
        <v>12</v>
      </c>
      <c r="D850" s="48" t="s">
        <v>25</v>
      </c>
      <c r="E850" s="48" t="s">
        <v>1613</v>
      </c>
      <c r="F850" s="74">
        <v>44348</v>
      </c>
      <c r="G850" s="74">
        <v>44440</v>
      </c>
      <c r="H850" s="32" t="str">
        <f t="shared" si="27"/>
        <v>EVEN</v>
      </c>
      <c r="I850" s="104">
        <v>0</v>
      </c>
      <c r="J850" s="46" t="str">
        <f>UPPER(TEXT(F850,"mmm")) &amp; " - " &amp; UPPER(TEXT(G850,"mmm"))</f>
        <v>JUN - SEP</v>
      </c>
      <c r="K850" s="46" t="s">
        <v>882</v>
      </c>
      <c r="L850" s="59" t="s">
        <v>895</v>
      </c>
      <c r="M850" s="32" t="str">
        <f t="shared" si="28"/>
        <v>No</v>
      </c>
      <c r="N850" s="32">
        <f>G850 - F850</f>
        <v>92</v>
      </c>
      <c r="O850">
        <v>1</v>
      </c>
    </row>
    <row r="851" spans="1:15" x14ac:dyDescent="0.3">
      <c r="A851" s="47" t="s">
        <v>803</v>
      </c>
      <c r="B851" s="59" t="s">
        <v>78</v>
      </c>
      <c r="C851" s="59" t="s">
        <v>12</v>
      </c>
      <c r="D851" s="48" t="s">
        <v>1403</v>
      </c>
      <c r="E851" s="48" t="s">
        <v>393</v>
      </c>
      <c r="F851" s="74">
        <v>44358</v>
      </c>
      <c r="G851" s="74">
        <v>44480</v>
      </c>
      <c r="H851" s="32" t="str">
        <f t="shared" si="27"/>
        <v>EVEN</v>
      </c>
      <c r="I851" s="104">
        <v>1000</v>
      </c>
      <c r="J851" s="46" t="str">
        <f>UPPER(TEXT(F851,"mmm")) &amp; " - " &amp; UPPER(TEXT(G851,"mmm"))</f>
        <v>JUN - OCT</v>
      </c>
      <c r="K851" s="46" t="s">
        <v>882</v>
      </c>
      <c r="L851" s="99" t="s">
        <v>3895</v>
      </c>
      <c r="M851" s="32" t="str">
        <f t="shared" si="28"/>
        <v>Yes</v>
      </c>
      <c r="N851" s="32">
        <f>G851 - F851</f>
        <v>122</v>
      </c>
      <c r="O851">
        <v>1</v>
      </c>
    </row>
    <row r="852" spans="1:15" x14ac:dyDescent="0.3">
      <c r="A852" s="47" t="s">
        <v>732</v>
      </c>
      <c r="B852" s="59" t="s">
        <v>78</v>
      </c>
      <c r="C852" s="59" t="s">
        <v>12</v>
      </c>
      <c r="D852" s="48" t="s">
        <v>1403</v>
      </c>
      <c r="E852" s="48" t="s">
        <v>393</v>
      </c>
      <c r="F852" s="74">
        <v>44358</v>
      </c>
      <c r="G852" s="74">
        <v>44480</v>
      </c>
      <c r="H852" s="32" t="str">
        <f t="shared" si="27"/>
        <v>EVEN</v>
      </c>
      <c r="I852" s="104">
        <v>1000</v>
      </c>
      <c r="J852" s="46" t="str">
        <f>UPPER(TEXT(F852,"mmm")) &amp; " - " &amp; UPPER(TEXT(G852,"mmm"))</f>
        <v>JUN - OCT</v>
      </c>
      <c r="K852" s="46" t="s">
        <v>882</v>
      </c>
      <c r="L852" s="99" t="s">
        <v>3895</v>
      </c>
      <c r="M852" s="32" t="str">
        <f t="shared" si="28"/>
        <v>Yes</v>
      </c>
      <c r="N852" s="32">
        <f>G852 - F852</f>
        <v>122</v>
      </c>
      <c r="O852">
        <v>1</v>
      </c>
    </row>
    <row r="853" spans="1:15" ht="27" x14ac:dyDescent="0.3">
      <c r="A853" s="47" t="s">
        <v>1619</v>
      </c>
      <c r="B853" s="59" t="s">
        <v>11</v>
      </c>
      <c r="C853" s="59" t="s">
        <v>12</v>
      </c>
      <c r="D853" s="48" t="s">
        <v>1620</v>
      </c>
      <c r="E853" s="48" t="s">
        <v>1621</v>
      </c>
      <c r="F853" s="74">
        <v>44249</v>
      </c>
      <c r="G853" s="74">
        <v>44368</v>
      </c>
      <c r="H853" s="32" t="str">
        <f t="shared" si="27"/>
        <v>EVEN</v>
      </c>
      <c r="I853" s="104">
        <v>0</v>
      </c>
      <c r="J853" s="46" t="str">
        <f>UPPER(TEXT(F853,"mmm")) &amp; " - " &amp; UPPER(TEXT(G853,"mmm"))</f>
        <v>FEB - JUN</v>
      </c>
      <c r="K853" s="46" t="s">
        <v>882</v>
      </c>
      <c r="L853" s="99" t="s">
        <v>3895</v>
      </c>
      <c r="M853" s="32" t="str">
        <f t="shared" si="28"/>
        <v>No</v>
      </c>
      <c r="N853" s="32">
        <f>G853 - F853</f>
        <v>119</v>
      </c>
      <c r="O853">
        <v>1</v>
      </c>
    </row>
    <row r="854" spans="1:15" ht="27" x14ac:dyDescent="0.3">
      <c r="A854" s="47" t="s">
        <v>1622</v>
      </c>
      <c r="B854" s="59" t="s">
        <v>78</v>
      </c>
      <c r="C854" s="59" t="s">
        <v>12</v>
      </c>
      <c r="D854" s="48" t="s">
        <v>1623</v>
      </c>
      <c r="E854" s="48" t="s">
        <v>1624</v>
      </c>
      <c r="F854" s="74">
        <v>44340</v>
      </c>
      <c r="G854" s="74">
        <v>44469</v>
      </c>
      <c r="H854" s="32" t="str">
        <f t="shared" si="27"/>
        <v>EVEN</v>
      </c>
      <c r="I854" s="104">
        <v>0</v>
      </c>
      <c r="J854" s="46" t="str">
        <f>UPPER(TEXT(F854,"mmm")) &amp; " - " &amp; UPPER(TEXT(G854,"mmm"))</f>
        <v>MAY - SEP</v>
      </c>
      <c r="K854" s="46" t="s">
        <v>882</v>
      </c>
      <c r="L854" s="99" t="s">
        <v>3895</v>
      </c>
      <c r="M854" s="32" t="str">
        <f t="shared" si="28"/>
        <v>No</v>
      </c>
      <c r="N854" s="32">
        <f>G854 - F854</f>
        <v>129</v>
      </c>
      <c r="O854">
        <v>1</v>
      </c>
    </row>
    <row r="855" spans="1:15" ht="27" x14ac:dyDescent="0.3">
      <c r="A855" s="47" t="s">
        <v>217</v>
      </c>
      <c r="B855" s="59" t="s">
        <v>78</v>
      </c>
      <c r="C855" s="59" t="s">
        <v>12</v>
      </c>
      <c r="D855" s="48" t="s">
        <v>1625</v>
      </c>
      <c r="E855" s="48" t="s">
        <v>1626</v>
      </c>
      <c r="F855" s="74">
        <v>44354</v>
      </c>
      <c r="G855" s="74">
        <v>44431</v>
      </c>
      <c r="H855" s="32" t="str">
        <f t="shared" si="27"/>
        <v>EVEN</v>
      </c>
      <c r="I855" s="104">
        <v>44400</v>
      </c>
      <c r="J855" s="46" t="str">
        <f>UPPER(TEXT(F855,"mmm")) &amp; " - " &amp; UPPER(TEXT(G855,"mmm"))</f>
        <v>JUN - AUG</v>
      </c>
      <c r="K855" s="46" t="s">
        <v>882</v>
      </c>
      <c r="L855" s="99" t="s">
        <v>3895</v>
      </c>
      <c r="M855" s="32" t="str">
        <f t="shared" si="28"/>
        <v>Yes</v>
      </c>
      <c r="N855" s="32">
        <f>G855 - F855</f>
        <v>77</v>
      </c>
      <c r="O855">
        <v>1</v>
      </c>
    </row>
    <row r="856" spans="1:15" ht="27" x14ac:dyDescent="0.3">
      <c r="A856" s="47" t="s">
        <v>1627</v>
      </c>
      <c r="B856" s="59" t="s">
        <v>78</v>
      </c>
      <c r="C856" s="59" t="s">
        <v>12</v>
      </c>
      <c r="D856" s="48" t="s">
        <v>653</v>
      </c>
      <c r="E856" s="48" t="s">
        <v>1628</v>
      </c>
      <c r="F856" s="74">
        <v>44363</v>
      </c>
      <c r="G856" s="74">
        <v>44424</v>
      </c>
      <c r="H856" s="32" t="str">
        <f t="shared" si="27"/>
        <v>EVEN</v>
      </c>
      <c r="I856" s="104">
        <v>0</v>
      </c>
      <c r="J856" s="46" t="str">
        <f>UPPER(TEXT(F856,"mmm")) &amp; " - " &amp; UPPER(TEXT(G856,"mmm"))</f>
        <v>JUN - AUG</v>
      </c>
      <c r="K856" s="46" t="s">
        <v>882</v>
      </c>
      <c r="L856" s="59" t="s">
        <v>895</v>
      </c>
      <c r="M856" s="32" t="str">
        <f t="shared" si="28"/>
        <v>No</v>
      </c>
      <c r="N856" s="32">
        <f>G856 - F856</f>
        <v>61</v>
      </c>
      <c r="O856">
        <v>1</v>
      </c>
    </row>
    <row r="857" spans="1:15" ht="27" x14ac:dyDescent="0.3">
      <c r="A857" s="47" t="s">
        <v>1629</v>
      </c>
      <c r="B857" s="59" t="s">
        <v>66</v>
      </c>
      <c r="C857" s="59" t="s">
        <v>12</v>
      </c>
      <c r="D857" s="48" t="s">
        <v>1630</v>
      </c>
      <c r="E857" s="48" t="s">
        <v>1631</v>
      </c>
      <c r="F857" s="74">
        <v>44348</v>
      </c>
      <c r="G857" s="74">
        <v>44501</v>
      </c>
      <c r="H857" s="32" t="str">
        <f t="shared" si="27"/>
        <v>EVEN</v>
      </c>
      <c r="I857" s="104">
        <v>0</v>
      </c>
      <c r="J857" s="46" t="str">
        <f>UPPER(TEXT(F857,"mmm")) &amp; " - " &amp; UPPER(TEXT(G857,"mmm"))</f>
        <v>JUN - NOV</v>
      </c>
      <c r="K857" s="46" t="s">
        <v>882</v>
      </c>
      <c r="L857" s="99" t="s">
        <v>3895</v>
      </c>
      <c r="M857" s="32" t="str">
        <f t="shared" si="28"/>
        <v>No</v>
      </c>
      <c r="N857" s="32">
        <f>G857 - F857</f>
        <v>153</v>
      </c>
      <c r="O857">
        <v>1</v>
      </c>
    </row>
    <row r="858" spans="1:15" x14ac:dyDescent="0.3">
      <c r="A858" s="47" t="s">
        <v>1229</v>
      </c>
      <c r="B858" s="59" t="s">
        <v>66</v>
      </c>
      <c r="C858" s="59" t="s">
        <v>12</v>
      </c>
      <c r="D858" s="48" t="s">
        <v>1632</v>
      </c>
      <c r="E858" s="48" t="s">
        <v>1633</v>
      </c>
      <c r="F858" s="74">
        <v>44348</v>
      </c>
      <c r="G858" s="74">
        <v>44501</v>
      </c>
      <c r="H858" s="32" t="str">
        <f t="shared" si="27"/>
        <v>EVEN</v>
      </c>
      <c r="I858" s="104">
        <v>0</v>
      </c>
      <c r="J858" s="46" t="str">
        <f>UPPER(TEXT(F858,"mmm")) &amp; " - " &amp; UPPER(TEXT(G858,"mmm"))</f>
        <v>JUN - NOV</v>
      </c>
      <c r="K858" s="46" t="s">
        <v>882</v>
      </c>
      <c r="L858" s="99" t="s">
        <v>3895</v>
      </c>
      <c r="M858" s="32" t="str">
        <f t="shared" si="28"/>
        <v>No</v>
      </c>
      <c r="N858" s="32">
        <f>G858 - F858</f>
        <v>153</v>
      </c>
      <c r="O858">
        <v>1</v>
      </c>
    </row>
    <row r="859" spans="1:15" ht="27" x14ac:dyDescent="0.3">
      <c r="A859" s="47" t="s">
        <v>1634</v>
      </c>
      <c r="B859" s="59" t="s">
        <v>66</v>
      </c>
      <c r="C859" s="59" t="s">
        <v>12</v>
      </c>
      <c r="D859" s="48" t="s">
        <v>1630</v>
      </c>
      <c r="E859" s="48" t="s">
        <v>1635</v>
      </c>
      <c r="F859" s="74">
        <v>44348</v>
      </c>
      <c r="G859" s="74">
        <v>44501</v>
      </c>
      <c r="H859" s="32" t="str">
        <f t="shared" si="27"/>
        <v>EVEN</v>
      </c>
      <c r="I859" s="104">
        <v>0</v>
      </c>
      <c r="J859" s="46" t="str">
        <f>UPPER(TEXT(F859,"mmm")) &amp; " - " &amp; UPPER(TEXT(G859,"mmm"))</f>
        <v>JUN - NOV</v>
      </c>
      <c r="K859" s="46" t="s">
        <v>882</v>
      </c>
      <c r="L859" s="99" t="s">
        <v>3895</v>
      </c>
      <c r="M859" s="32" t="str">
        <f t="shared" si="28"/>
        <v>No</v>
      </c>
      <c r="N859" s="32">
        <f>G859 - F859</f>
        <v>153</v>
      </c>
      <c r="O859">
        <v>1</v>
      </c>
    </row>
    <row r="860" spans="1:15" x14ac:dyDescent="0.3">
      <c r="A860" s="47" t="s">
        <v>1636</v>
      </c>
      <c r="B860" s="59" t="s">
        <v>66</v>
      </c>
      <c r="C860" s="59" t="s">
        <v>12</v>
      </c>
      <c r="D860" s="48" t="s">
        <v>1637</v>
      </c>
      <c r="E860" s="48" t="s">
        <v>1638</v>
      </c>
      <c r="F860" s="74">
        <v>44348</v>
      </c>
      <c r="G860" s="74">
        <v>44501</v>
      </c>
      <c r="H860" s="32" t="str">
        <f t="shared" si="27"/>
        <v>EVEN</v>
      </c>
      <c r="I860" s="104">
        <v>0</v>
      </c>
      <c r="J860" s="46" t="str">
        <f>UPPER(TEXT(F860,"mmm")) &amp; " - " &amp; UPPER(TEXT(G860,"mmm"))</f>
        <v>JUN - NOV</v>
      </c>
      <c r="K860" s="46" t="s">
        <v>882</v>
      </c>
      <c r="L860" s="99" t="s">
        <v>3895</v>
      </c>
      <c r="M860" s="32" t="str">
        <f t="shared" si="28"/>
        <v>No</v>
      </c>
      <c r="N860" s="32">
        <f>G860 - F860</f>
        <v>153</v>
      </c>
      <c r="O860">
        <v>1</v>
      </c>
    </row>
    <row r="861" spans="1:15" ht="27" x14ac:dyDescent="0.3">
      <c r="A861" s="47" t="s">
        <v>1639</v>
      </c>
      <c r="B861" s="59" t="s">
        <v>66</v>
      </c>
      <c r="C861" s="59" t="s">
        <v>12</v>
      </c>
      <c r="D861" s="48" t="s">
        <v>1640</v>
      </c>
      <c r="E861" s="48" t="s">
        <v>1641</v>
      </c>
      <c r="F861" s="74">
        <v>44371</v>
      </c>
      <c r="G861" s="74">
        <v>44469</v>
      </c>
      <c r="H861" s="32" t="str">
        <f t="shared" si="27"/>
        <v>EVEN</v>
      </c>
      <c r="I861" s="104">
        <v>0</v>
      </c>
      <c r="J861" s="46" t="str">
        <f>UPPER(TEXT(F861,"mmm")) &amp; " - " &amp; UPPER(TEXT(G861,"mmm"))</f>
        <v>JUN - SEP</v>
      </c>
      <c r="K861" s="46" t="s">
        <v>882</v>
      </c>
      <c r="L861" s="99" t="s">
        <v>3895</v>
      </c>
      <c r="M861" s="32" t="str">
        <f t="shared" si="28"/>
        <v>No</v>
      </c>
      <c r="N861" s="32">
        <f>G861 - F861</f>
        <v>98</v>
      </c>
      <c r="O861">
        <v>1</v>
      </c>
    </row>
    <row r="862" spans="1:15" x14ac:dyDescent="0.3">
      <c r="A862" s="47" t="s">
        <v>1177</v>
      </c>
      <c r="B862" s="59" t="s">
        <v>11</v>
      </c>
      <c r="C862" s="59" t="s">
        <v>12</v>
      </c>
      <c r="D862" s="48" t="s">
        <v>1178</v>
      </c>
      <c r="E862" s="48" t="s">
        <v>1642</v>
      </c>
      <c r="F862" s="74">
        <v>44301</v>
      </c>
      <c r="G862" s="74">
        <v>44426</v>
      </c>
      <c r="H862" s="32" t="str">
        <f t="shared" si="27"/>
        <v>EVEN</v>
      </c>
      <c r="I862" s="104">
        <v>0</v>
      </c>
      <c r="J862" s="46" t="str">
        <f>UPPER(TEXT(F862,"mmm")) &amp; " - " &amp; UPPER(TEXT(G862,"mmm"))</f>
        <v>APR - AUG</v>
      </c>
      <c r="K862" s="46" t="s">
        <v>882</v>
      </c>
      <c r="L862" s="59" t="s">
        <v>895</v>
      </c>
      <c r="M862" s="32" t="str">
        <f t="shared" si="28"/>
        <v>No</v>
      </c>
      <c r="N862" s="32">
        <f>G862 - F862</f>
        <v>125</v>
      </c>
      <c r="O862">
        <v>1</v>
      </c>
    </row>
    <row r="863" spans="1:15" ht="27" x14ac:dyDescent="0.3">
      <c r="A863" s="47" t="s">
        <v>1643</v>
      </c>
      <c r="B863" s="59" t="s">
        <v>78</v>
      </c>
      <c r="C863" s="59" t="s">
        <v>12</v>
      </c>
      <c r="D863" s="48" t="s">
        <v>1644</v>
      </c>
      <c r="E863" s="48" t="s">
        <v>1645</v>
      </c>
      <c r="F863" s="74">
        <v>44352</v>
      </c>
      <c r="G863" s="74">
        <v>44413</v>
      </c>
      <c r="H863" s="32" t="str">
        <f t="shared" si="27"/>
        <v>EVEN</v>
      </c>
      <c r="I863" s="104">
        <v>0</v>
      </c>
      <c r="J863" s="46" t="str">
        <f>UPPER(TEXT(F863,"mmm")) &amp; " - " &amp; UPPER(TEXT(G863,"mmm"))</f>
        <v>JUN - AUG</v>
      </c>
      <c r="K863" s="46" t="s">
        <v>882</v>
      </c>
      <c r="L863" s="59" t="s">
        <v>895</v>
      </c>
      <c r="M863" s="32" t="str">
        <f t="shared" si="28"/>
        <v>No</v>
      </c>
      <c r="N863" s="32">
        <f>G863 - F863</f>
        <v>61</v>
      </c>
      <c r="O863">
        <v>1</v>
      </c>
    </row>
    <row r="864" spans="1:15" ht="27" x14ac:dyDescent="0.3">
      <c r="A864" s="47" t="s">
        <v>363</v>
      </c>
      <c r="B864" s="59" t="s">
        <v>78</v>
      </c>
      <c r="C864" s="59" t="s">
        <v>12</v>
      </c>
      <c r="D864" s="48" t="s">
        <v>1644</v>
      </c>
      <c r="E864" s="48" t="s">
        <v>1646</v>
      </c>
      <c r="F864" s="74">
        <v>44352</v>
      </c>
      <c r="G864" s="74">
        <v>44413</v>
      </c>
      <c r="H864" s="32" t="str">
        <f t="shared" si="27"/>
        <v>EVEN</v>
      </c>
      <c r="I864" s="104">
        <v>0</v>
      </c>
      <c r="J864" s="46" t="str">
        <f>UPPER(TEXT(F864,"mmm")) &amp; " - " &amp; UPPER(TEXT(G864,"mmm"))</f>
        <v>JUN - AUG</v>
      </c>
      <c r="K864" s="46" t="s">
        <v>882</v>
      </c>
      <c r="L864" s="59" t="s">
        <v>895</v>
      </c>
      <c r="M864" s="32" t="str">
        <f t="shared" si="28"/>
        <v>No</v>
      </c>
      <c r="N864" s="32">
        <f>G864 - F864</f>
        <v>61</v>
      </c>
      <c r="O864">
        <v>1</v>
      </c>
    </row>
    <row r="865" spans="1:15" ht="40.200000000000003" x14ac:dyDescent="0.3">
      <c r="A865" s="47" t="s">
        <v>1647</v>
      </c>
      <c r="B865" s="59" t="s">
        <v>78</v>
      </c>
      <c r="C865" s="59" t="s">
        <v>12</v>
      </c>
      <c r="D865" s="48" t="s">
        <v>1644</v>
      </c>
      <c r="E865" s="48" t="s">
        <v>1648</v>
      </c>
      <c r="F865" s="74">
        <v>44352</v>
      </c>
      <c r="G865" s="74">
        <v>44413</v>
      </c>
      <c r="H865" s="32" t="str">
        <f t="shared" si="27"/>
        <v>EVEN</v>
      </c>
      <c r="I865" s="104">
        <v>0</v>
      </c>
      <c r="J865" s="46" t="str">
        <f>UPPER(TEXT(F865,"mmm")) &amp; " - " &amp; UPPER(TEXT(G865,"mmm"))</f>
        <v>JUN - AUG</v>
      </c>
      <c r="K865" s="46" t="s">
        <v>882</v>
      </c>
      <c r="L865" s="59" t="s">
        <v>895</v>
      </c>
      <c r="M865" s="32" t="str">
        <f t="shared" si="28"/>
        <v>No</v>
      </c>
      <c r="N865" s="32">
        <f>G865 - F865</f>
        <v>61</v>
      </c>
      <c r="O865">
        <v>1</v>
      </c>
    </row>
    <row r="866" spans="1:15" ht="40.200000000000003" x14ac:dyDescent="0.3">
      <c r="A866" s="47" t="s">
        <v>905</v>
      </c>
      <c r="B866" s="59" t="s">
        <v>78</v>
      </c>
      <c r="C866" s="59" t="s">
        <v>12</v>
      </c>
      <c r="D866" s="48" t="s">
        <v>1644</v>
      </c>
      <c r="E866" s="48" t="s">
        <v>1649</v>
      </c>
      <c r="F866" s="74">
        <v>44322</v>
      </c>
      <c r="G866" s="74">
        <v>44324</v>
      </c>
      <c r="H866" s="32" t="str">
        <f t="shared" si="27"/>
        <v>EVEN</v>
      </c>
      <c r="I866" s="104">
        <v>0</v>
      </c>
      <c r="J866" s="46" t="str">
        <f>UPPER(TEXT(F866,"mmm")) &amp; " - " &amp; UPPER(TEXT(G866,"mmm"))</f>
        <v>MAY - MAY</v>
      </c>
      <c r="K866" s="46" t="s">
        <v>882</v>
      </c>
      <c r="L866" s="59" t="s">
        <v>895</v>
      </c>
      <c r="M866" s="32" t="str">
        <f t="shared" si="28"/>
        <v>No</v>
      </c>
      <c r="N866" s="32">
        <f>G866 - F866</f>
        <v>2</v>
      </c>
      <c r="O866">
        <v>1</v>
      </c>
    </row>
    <row r="867" spans="1:15" ht="27" x14ac:dyDescent="0.3">
      <c r="A867" s="47" t="s">
        <v>1286</v>
      </c>
      <c r="B867" s="59" t="s">
        <v>78</v>
      </c>
      <c r="C867" s="59" t="s">
        <v>12</v>
      </c>
      <c r="D867" s="48" t="s">
        <v>1644</v>
      </c>
      <c r="E867" s="48" t="s">
        <v>1646</v>
      </c>
      <c r="F867" s="74">
        <v>44352</v>
      </c>
      <c r="G867" s="74">
        <v>44413</v>
      </c>
      <c r="H867" s="32" t="str">
        <f t="shared" si="27"/>
        <v>EVEN</v>
      </c>
      <c r="I867" s="104">
        <v>0</v>
      </c>
      <c r="J867" s="46" t="str">
        <f>UPPER(TEXT(F867,"mmm")) &amp; " - " &amp; UPPER(TEXT(G867,"mmm"))</f>
        <v>JUN - AUG</v>
      </c>
      <c r="K867" s="46" t="s">
        <v>882</v>
      </c>
      <c r="L867" s="59" t="s">
        <v>895</v>
      </c>
      <c r="M867" s="32" t="str">
        <f t="shared" si="28"/>
        <v>No</v>
      </c>
      <c r="N867" s="32">
        <f>G867 - F867</f>
        <v>61</v>
      </c>
      <c r="O867">
        <v>1</v>
      </c>
    </row>
    <row r="868" spans="1:15" ht="27" x14ac:dyDescent="0.3">
      <c r="A868" s="47" t="s">
        <v>1650</v>
      </c>
      <c r="B868" s="59" t="s">
        <v>78</v>
      </c>
      <c r="C868" s="59" t="s">
        <v>12</v>
      </c>
      <c r="D868" s="48" t="s">
        <v>1644</v>
      </c>
      <c r="E868" s="48" t="s">
        <v>1651</v>
      </c>
      <c r="F868" s="74">
        <v>44352</v>
      </c>
      <c r="G868" s="74">
        <v>44413</v>
      </c>
      <c r="H868" s="32" t="str">
        <f t="shared" si="27"/>
        <v>EVEN</v>
      </c>
      <c r="I868" s="104">
        <v>0</v>
      </c>
      <c r="J868" s="46" t="str">
        <f>UPPER(TEXT(F868,"mmm")) &amp; " - " &amp; UPPER(TEXT(G868,"mmm"))</f>
        <v>JUN - AUG</v>
      </c>
      <c r="K868" s="46" t="s">
        <v>882</v>
      </c>
      <c r="L868" s="59" t="s">
        <v>895</v>
      </c>
      <c r="M868" s="32" t="str">
        <f t="shared" si="28"/>
        <v>No</v>
      </c>
      <c r="N868" s="32">
        <f>G868 - F868</f>
        <v>61</v>
      </c>
      <c r="O868">
        <v>1</v>
      </c>
    </row>
    <row r="869" spans="1:15" ht="53.4" x14ac:dyDescent="0.3">
      <c r="A869" s="47" t="s">
        <v>361</v>
      </c>
      <c r="B869" s="59" t="s">
        <v>78</v>
      </c>
      <c r="C869" s="59" t="s">
        <v>12</v>
      </c>
      <c r="D869" s="48" t="s">
        <v>1652</v>
      </c>
      <c r="E869" s="48" t="s">
        <v>1653</v>
      </c>
      <c r="F869" s="74">
        <v>44348</v>
      </c>
      <c r="G869" s="74">
        <v>44531</v>
      </c>
      <c r="H869" s="32" t="str">
        <f t="shared" si="27"/>
        <v>EVEN</v>
      </c>
      <c r="I869" s="104">
        <v>0</v>
      </c>
      <c r="J869" s="46" t="str">
        <f>UPPER(TEXT(F869,"mmm")) &amp; " - " &amp; UPPER(TEXT(G869,"mmm"))</f>
        <v>JUN - DEC</v>
      </c>
      <c r="K869" s="46" t="s">
        <v>882</v>
      </c>
      <c r="L869" s="59" t="s">
        <v>895</v>
      </c>
      <c r="M869" s="32" t="str">
        <f t="shared" si="28"/>
        <v>No</v>
      </c>
      <c r="N869" s="32">
        <f>G869 - F869</f>
        <v>183</v>
      </c>
      <c r="O869">
        <v>1</v>
      </c>
    </row>
    <row r="870" spans="1:15" ht="27" x14ac:dyDescent="0.3">
      <c r="A870" s="47" t="s">
        <v>1654</v>
      </c>
      <c r="B870" s="59" t="s">
        <v>66</v>
      </c>
      <c r="C870" s="59" t="s">
        <v>12</v>
      </c>
      <c r="D870" s="48" t="s">
        <v>1655</v>
      </c>
      <c r="E870" s="48" t="s">
        <v>1656</v>
      </c>
      <c r="F870" s="74">
        <v>44256</v>
      </c>
      <c r="G870" s="74">
        <v>44469</v>
      </c>
      <c r="H870" s="32" t="str">
        <f t="shared" si="27"/>
        <v>EVEN</v>
      </c>
      <c r="I870" s="104">
        <v>0</v>
      </c>
      <c r="J870" s="46" t="str">
        <f>UPPER(TEXT(F870,"mmm")) &amp; " - " &amp; UPPER(TEXT(G870,"mmm"))</f>
        <v>MAR - SEP</v>
      </c>
      <c r="K870" s="46" t="s">
        <v>882</v>
      </c>
      <c r="L870" s="99" t="s">
        <v>3895</v>
      </c>
      <c r="M870" s="32" t="str">
        <f t="shared" si="28"/>
        <v>No</v>
      </c>
      <c r="N870" s="32">
        <f>G870 - F870</f>
        <v>213</v>
      </c>
      <c r="O870">
        <v>1</v>
      </c>
    </row>
    <row r="871" spans="1:15" ht="27" x14ac:dyDescent="0.3">
      <c r="A871" s="47" t="s">
        <v>872</v>
      </c>
      <c r="B871" s="59" t="s">
        <v>66</v>
      </c>
      <c r="C871" s="59" t="s">
        <v>12</v>
      </c>
      <c r="D871" s="48" t="s">
        <v>1657</v>
      </c>
      <c r="E871" s="48" t="s">
        <v>1658</v>
      </c>
      <c r="F871" s="74">
        <v>44348</v>
      </c>
      <c r="G871" s="74">
        <v>44409</v>
      </c>
      <c r="H871" s="32" t="str">
        <f t="shared" si="27"/>
        <v>EVEN</v>
      </c>
      <c r="I871" s="104">
        <v>20000</v>
      </c>
      <c r="J871" s="46" t="str">
        <f>UPPER(TEXT(F871,"mmm")) &amp; " - " &amp; UPPER(TEXT(G871,"mmm"))</f>
        <v>JUN - AUG</v>
      </c>
      <c r="K871" s="46" t="s">
        <v>882</v>
      </c>
      <c r="L871" s="99" t="s">
        <v>3895</v>
      </c>
      <c r="M871" s="32" t="str">
        <f t="shared" si="28"/>
        <v>Yes</v>
      </c>
      <c r="N871" s="32">
        <f>G871 - F871</f>
        <v>61</v>
      </c>
      <c r="O871">
        <v>1</v>
      </c>
    </row>
    <row r="872" spans="1:15" ht="40.200000000000003" x14ac:dyDescent="0.3">
      <c r="A872" s="47" t="s">
        <v>1659</v>
      </c>
      <c r="B872" s="59" t="s">
        <v>66</v>
      </c>
      <c r="C872" s="59" t="s">
        <v>12</v>
      </c>
      <c r="D872" s="48" t="s">
        <v>1660</v>
      </c>
      <c r="E872" s="48" t="s">
        <v>1661</v>
      </c>
      <c r="F872" s="74">
        <v>44361</v>
      </c>
      <c r="G872" s="74">
        <v>44780</v>
      </c>
      <c r="H872" s="32" t="str">
        <f t="shared" si="27"/>
        <v>EVEN</v>
      </c>
      <c r="I872" s="104">
        <v>0</v>
      </c>
      <c r="J872" s="46" t="str">
        <f>UPPER(TEXT(F872,"mmm")) &amp; " - " &amp; UPPER(TEXT(G872,"mmm"))</f>
        <v>JUN - AUG</v>
      </c>
      <c r="K872" s="46" t="s">
        <v>882</v>
      </c>
      <c r="L872" s="99" t="s">
        <v>3895</v>
      </c>
      <c r="M872" s="32" t="str">
        <f t="shared" si="28"/>
        <v>No</v>
      </c>
      <c r="N872" s="32">
        <f>G872 - F872</f>
        <v>419</v>
      </c>
      <c r="O872">
        <v>1</v>
      </c>
    </row>
    <row r="873" spans="1:15" x14ac:dyDescent="0.3">
      <c r="A873" s="47" t="s">
        <v>1662</v>
      </c>
      <c r="B873" s="59" t="s">
        <v>78</v>
      </c>
      <c r="C873" s="59" t="s">
        <v>12</v>
      </c>
      <c r="D873" s="48" t="s">
        <v>1663</v>
      </c>
      <c r="E873" s="48" t="s">
        <v>1664</v>
      </c>
      <c r="F873" s="74">
        <v>44317</v>
      </c>
      <c r="G873" s="74">
        <v>44324</v>
      </c>
      <c r="H873" s="32" t="str">
        <f t="shared" si="27"/>
        <v>EVEN</v>
      </c>
      <c r="I873" s="104">
        <v>0</v>
      </c>
      <c r="J873" s="46" t="str">
        <f>UPPER(TEXT(F873,"mmm")) &amp; " - " &amp; UPPER(TEXT(G873,"mmm"))</f>
        <v>MAY - MAY</v>
      </c>
      <c r="K873" s="46" t="s">
        <v>882</v>
      </c>
      <c r="L873" s="99" t="s">
        <v>3895</v>
      </c>
      <c r="M873" s="32" t="str">
        <f t="shared" si="28"/>
        <v>No</v>
      </c>
      <c r="N873" s="32">
        <f>G873 - F873</f>
        <v>7</v>
      </c>
      <c r="O873">
        <v>1</v>
      </c>
    </row>
    <row r="874" spans="1:15" x14ac:dyDescent="0.3">
      <c r="A874" s="47" t="s">
        <v>1665</v>
      </c>
      <c r="B874" s="59" t="s">
        <v>11</v>
      </c>
      <c r="C874" s="59" t="s">
        <v>12</v>
      </c>
      <c r="D874" s="48" t="s">
        <v>1666</v>
      </c>
      <c r="E874" s="48" t="s">
        <v>1667</v>
      </c>
      <c r="F874" s="74">
        <v>44256</v>
      </c>
      <c r="G874" s="74">
        <v>44286</v>
      </c>
      <c r="H874" s="32" t="str">
        <f t="shared" si="27"/>
        <v>EVEN</v>
      </c>
      <c r="I874" s="104">
        <v>0</v>
      </c>
      <c r="J874" s="46" t="str">
        <f>UPPER(TEXT(F874,"mmm")) &amp; " - " &amp; UPPER(TEXT(G874,"mmm"))</f>
        <v>MAR - MAR</v>
      </c>
      <c r="K874" s="46" t="s">
        <v>882</v>
      </c>
      <c r="L874" s="99" t="s">
        <v>3895</v>
      </c>
      <c r="M874" s="32" t="str">
        <f t="shared" si="28"/>
        <v>No</v>
      </c>
      <c r="N874" s="32">
        <f>G874 - F874</f>
        <v>30</v>
      </c>
      <c r="O874">
        <v>1</v>
      </c>
    </row>
    <row r="875" spans="1:15" ht="53.4" x14ac:dyDescent="0.3">
      <c r="A875" s="47" t="s">
        <v>1668</v>
      </c>
      <c r="B875" s="59" t="s">
        <v>78</v>
      </c>
      <c r="C875" s="59" t="s">
        <v>12</v>
      </c>
      <c r="D875" s="48" t="s">
        <v>1669</v>
      </c>
      <c r="E875" s="48" t="s">
        <v>1670</v>
      </c>
      <c r="F875" s="74">
        <v>44368</v>
      </c>
      <c r="G875" s="74">
        <v>44439</v>
      </c>
      <c r="H875" s="32" t="str">
        <f t="shared" si="27"/>
        <v>EVEN</v>
      </c>
      <c r="I875" s="104">
        <v>0</v>
      </c>
      <c r="J875" s="46" t="str">
        <f>UPPER(TEXT(F875,"mmm")) &amp; " - " &amp; UPPER(TEXT(G875,"mmm"))</f>
        <v>JUN - AUG</v>
      </c>
      <c r="K875" s="46" t="s">
        <v>882</v>
      </c>
      <c r="L875" s="99" t="s">
        <v>3895</v>
      </c>
      <c r="M875" s="32" t="str">
        <f t="shared" si="28"/>
        <v>No</v>
      </c>
      <c r="N875" s="32">
        <f>G875 - F875</f>
        <v>71</v>
      </c>
      <c r="O875">
        <v>1</v>
      </c>
    </row>
    <row r="876" spans="1:15" x14ac:dyDescent="0.3">
      <c r="A876" s="47" t="s">
        <v>1558</v>
      </c>
      <c r="B876" s="59" t="s">
        <v>78</v>
      </c>
      <c r="C876" s="59" t="s">
        <v>12</v>
      </c>
      <c r="D876" s="48" t="s">
        <v>1671</v>
      </c>
      <c r="E876" s="48" t="s">
        <v>1255</v>
      </c>
      <c r="F876" s="74">
        <v>44368</v>
      </c>
      <c r="G876" s="74">
        <v>44439</v>
      </c>
      <c r="H876" s="32" t="str">
        <f t="shared" si="27"/>
        <v>EVEN</v>
      </c>
      <c r="I876" s="104">
        <v>0</v>
      </c>
      <c r="J876" s="46" t="str">
        <f>UPPER(TEXT(F876,"mmm")) &amp; " - " &amp; UPPER(TEXT(G876,"mmm"))</f>
        <v>JUN - AUG</v>
      </c>
      <c r="K876" s="46" t="s">
        <v>882</v>
      </c>
      <c r="L876" s="99" t="s">
        <v>3895</v>
      </c>
      <c r="M876" s="32" t="str">
        <f t="shared" si="28"/>
        <v>No</v>
      </c>
      <c r="N876" s="32">
        <f>G876 - F876</f>
        <v>71</v>
      </c>
      <c r="O876">
        <v>1</v>
      </c>
    </row>
    <row r="877" spans="1:15" x14ac:dyDescent="0.3">
      <c r="A877" s="47" t="s">
        <v>63</v>
      </c>
      <c r="B877" s="59" t="s">
        <v>66</v>
      </c>
      <c r="C877" s="59" t="s">
        <v>12</v>
      </c>
      <c r="D877" s="48" t="s">
        <v>1672</v>
      </c>
      <c r="E877" s="48" t="s">
        <v>1673</v>
      </c>
      <c r="F877" s="74">
        <v>44273</v>
      </c>
      <c r="G877" s="74">
        <v>44615</v>
      </c>
      <c r="H877" s="32" t="str">
        <f t="shared" si="27"/>
        <v>EVEN</v>
      </c>
      <c r="I877" s="104">
        <v>0</v>
      </c>
      <c r="J877" s="46" t="str">
        <f>UPPER(TEXT(F877,"mmm")) &amp; " - " &amp; UPPER(TEXT(G877,"mmm"))</f>
        <v>MAR - FEB</v>
      </c>
      <c r="K877" s="46" t="s">
        <v>882</v>
      </c>
      <c r="L877" s="59" t="s">
        <v>895</v>
      </c>
      <c r="M877" s="32" t="str">
        <f t="shared" si="28"/>
        <v>No</v>
      </c>
      <c r="N877" s="32">
        <f>G877 - F877</f>
        <v>342</v>
      </c>
      <c r="O877">
        <v>1</v>
      </c>
    </row>
    <row r="878" spans="1:15" x14ac:dyDescent="0.3">
      <c r="A878" s="47" t="s">
        <v>64</v>
      </c>
      <c r="B878" s="59" t="s">
        <v>66</v>
      </c>
      <c r="C878" s="59" t="s">
        <v>12</v>
      </c>
      <c r="D878" s="48" t="s">
        <v>1672</v>
      </c>
      <c r="E878" s="48" t="s">
        <v>1673</v>
      </c>
      <c r="F878" s="74">
        <v>44273</v>
      </c>
      <c r="G878" s="74">
        <v>44615</v>
      </c>
      <c r="H878" s="32" t="str">
        <f t="shared" si="27"/>
        <v>EVEN</v>
      </c>
      <c r="I878" s="104">
        <v>0</v>
      </c>
      <c r="J878" s="46" t="str">
        <f>UPPER(TEXT(F878,"mmm")) &amp; " - " &amp; UPPER(TEXT(G878,"mmm"))</f>
        <v>MAR - FEB</v>
      </c>
      <c r="K878" s="46" t="s">
        <v>882</v>
      </c>
      <c r="L878" s="59" t="s">
        <v>895</v>
      </c>
      <c r="M878" s="32" t="str">
        <f t="shared" si="28"/>
        <v>No</v>
      </c>
      <c r="N878" s="32">
        <f>G878 - F878</f>
        <v>342</v>
      </c>
      <c r="O878">
        <v>1</v>
      </c>
    </row>
    <row r="879" spans="1:15" x14ac:dyDescent="0.3">
      <c r="A879" s="47" t="s">
        <v>709</v>
      </c>
      <c r="B879" s="59" t="s">
        <v>66</v>
      </c>
      <c r="C879" s="59" t="s">
        <v>12</v>
      </c>
      <c r="D879" s="48" t="s">
        <v>1672</v>
      </c>
      <c r="E879" s="48" t="s">
        <v>1673</v>
      </c>
      <c r="F879" s="74">
        <v>44273</v>
      </c>
      <c r="G879" s="74">
        <v>44615</v>
      </c>
      <c r="H879" s="32" t="str">
        <f t="shared" si="27"/>
        <v>EVEN</v>
      </c>
      <c r="I879" s="104">
        <v>0</v>
      </c>
      <c r="J879" s="46" t="str">
        <f>UPPER(TEXT(F879,"mmm")) &amp; " - " &amp; UPPER(TEXT(G879,"mmm"))</f>
        <v>MAR - FEB</v>
      </c>
      <c r="K879" s="46" t="s">
        <v>882</v>
      </c>
      <c r="L879" s="59" t="s">
        <v>895</v>
      </c>
      <c r="M879" s="32" t="str">
        <f t="shared" si="28"/>
        <v>No</v>
      </c>
      <c r="N879" s="32">
        <f>G879 - F879</f>
        <v>342</v>
      </c>
      <c r="O879">
        <v>1</v>
      </c>
    </row>
    <row r="880" spans="1:15" x14ac:dyDescent="0.3">
      <c r="A880" s="47" t="s">
        <v>1674</v>
      </c>
      <c r="B880" s="59" t="s">
        <v>11</v>
      </c>
      <c r="C880" s="59" t="s">
        <v>12</v>
      </c>
      <c r="D880" s="48" t="s">
        <v>1519</v>
      </c>
      <c r="E880" s="48" t="s">
        <v>1675</v>
      </c>
      <c r="F880" s="74">
        <v>44075</v>
      </c>
      <c r="G880" s="74">
        <v>44227</v>
      </c>
      <c r="H880" s="32" t="str">
        <f t="shared" si="27"/>
        <v>ODD</v>
      </c>
      <c r="I880" s="104">
        <v>0</v>
      </c>
      <c r="J880" s="46" t="str">
        <f>UPPER(TEXT(F880,"mmm")) &amp; " - " &amp; UPPER(TEXT(G880,"mmm"))</f>
        <v>SEP - JAN</v>
      </c>
      <c r="K880" s="46" t="s">
        <v>882</v>
      </c>
      <c r="L880" s="99" t="s">
        <v>3895</v>
      </c>
      <c r="M880" s="32" t="str">
        <f t="shared" si="28"/>
        <v>No</v>
      </c>
      <c r="N880" s="32">
        <f>G880 - F880</f>
        <v>152</v>
      </c>
      <c r="O880">
        <v>1</v>
      </c>
    </row>
    <row r="881" spans="1:15" x14ac:dyDescent="0.3">
      <c r="A881" s="47" t="s">
        <v>1674</v>
      </c>
      <c r="B881" s="59" t="s">
        <v>11</v>
      </c>
      <c r="C881" s="59" t="s">
        <v>12</v>
      </c>
      <c r="D881" s="48" t="s">
        <v>1676</v>
      </c>
      <c r="E881" s="48" t="s">
        <v>1677</v>
      </c>
      <c r="F881" s="74">
        <v>44228</v>
      </c>
      <c r="G881" s="74">
        <v>44408</v>
      </c>
      <c r="H881" s="32" t="str">
        <f t="shared" si="27"/>
        <v>EVEN</v>
      </c>
      <c r="I881" s="104">
        <v>10000</v>
      </c>
      <c r="J881" s="46" t="str">
        <f>UPPER(TEXT(F881,"mmm")) &amp; " - " &amp; UPPER(TEXT(G881,"mmm"))</f>
        <v>FEB - JUL</v>
      </c>
      <c r="K881" s="46" t="s">
        <v>882</v>
      </c>
      <c r="L881" s="99" t="s">
        <v>3895</v>
      </c>
      <c r="M881" s="32" t="str">
        <f t="shared" si="28"/>
        <v>Yes</v>
      </c>
      <c r="N881" s="32">
        <f>G881 - F881</f>
        <v>180</v>
      </c>
      <c r="O881">
        <v>1</v>
      </c>
    </row>
    <row r="882" spans="1:15" x14ac:dyDescent="0.3">
      <c r="A882" s="47" t="s">
        <v>1674</v>
      </c>
      <c r="B882" s="59" t="s">
        <v>11</v>
      </c>
      <c r="C882" s="59" t="s">
        <v>12</v>
      </c>
      <c r="D882" s="48" t="s">
        <v>1678</v>
      </c>
      <c r="E882" s="48" t="s">
        <v>1677</v>
      </c>
      <c r="F882" s="74">
        <v>44256</v>
      </c>
      <c r="G882" s="74">
        <v>44347</v>
      </c>
      <c r="H882" s="32" t="str">
        <f t="shared" si="27"/>
        <v>EVEN</v>
      </c>
      <c r="I882" s="104">
        <v>5000</v>
      </c>
      <c r="J882" s="46" t="str">
        <f>UPPER(TEXT(F882,"mmm")) &amp; " - " &amp; UPPER(TEXT(G882,"mmm"))</f>
        <v>MAR - MAY</v>
      </c>
      <c r="K882" s="46" t="s">
        <v>882</v>
      </c>
      <c r="L882" s="99" t="s">
        <v>3895</v>
      </c>
      <c r="M882" s="32" t="str">
        <f t="shared" si="28"/>
        <v>Yes</v>
      </c>
      <c r="N882" s="32">
        <f>G882 - F882</f>
        <v>91</v>
      </c>
      <c r="O882">
        <v>1</v>
      </c>
    </row>
    <row r="883" spans="1:15" x14ac:dyDescent="0.3">
      <c r="A883" s="47" t="s">
        <v>1674</v>
      </c>
      <c r="B883" s="59" t="s">
        <v>11</v>
      </c>
      <c r="C883" s="59" t="s">
        <v>12</v>
      </c>
      <c r="D883" s="48" t="s">
        <v>1679</v>
      </c>
      <c r="E883" s="48" t="s">
        <v>1680</v>
      </c>
      <c r="F883" s="74">
        <v>44348</v>
      </c>
      <c r="G883" s="74">
        <v>44500</v>
      </c>
      <c r="H883" s="32" t="str">
        <f t="shared" si="27"/>
        <v>EVEN</v>
      </c>
      <c r="I883" s="104">
        <v>4000</v>
      </c>
      <c r="J883" s="46" t="str">
        <f>UPPER(TEXT(F883,"mmm")) &amp; " - " &amp; UPPER(TEXT(G883,"mmm"))</f>
        <v>JUN - OCT</v>
      </c>
      <c r="K883" s="46" t="s">
        <v>882</v>
      </c>
      <c r="L883" s="99" t="s">
        <v>3895</v>
      </c>
      <c r="M883" s="32" t="str">
        <f t="shared" si="28"/>
        <v>Yes</v>
      </c>
      <c r="N883" s="32">
        <f>G883 - F883</f>
        <v>152</v>
      </c>
      <c r="O883">
        <v>1</v>
      </c>
    </row>
    <row r="884" spans="1:15" x14ac:dyDescent="0.3">
      <c r="A884" s="47" t="s">
        <v>1674</v>
      </c>
      <c r="B884" s="59" t="s">
        <v>11</v>
      </c>
      <c r="C884" s="59" t="s">
        <v>12</v>
      </c>
      <c r="D884" s="48" t="s">
        <v>1519</v>
      </c>
      <c r="E884" s="48" t="s">
        <v>1681</v>
      </c>
      <c r="F884" s="74">
        <v>44348</v>
      </c>
      <c r="G884" s="74">
        <v>44651</v>
      </c>
      <c r="H884" s="32" t="str">
        <f t="shared" si="27"/>
        <v>EVEN</v>
      </c>
      <c r="I884" s="104">
        <v>0</v>
      </c>
      <c r="J884" s="46" t="str">
        <f>UPPER(TEXT(F884,"mmm")) &amp; " - " &amp; UPPER(TEXT(G884,"mmm"))</f>
        <v>JUN - MAR</v>
      </c>
      <c r="K884" s="46" t="s">
        <v>882</v>
      </c>
      <c r="L884" s="99" t="s">
        <v>3895</v>
      </c>
      <c r="M884" s="32" t="str">
        <f t="shared" si="28"/>
        <v>No</v>
      </c>
      <c r="N884" s="32">
        <f>G884 - F884</f>
        <v>303</v>
      </c>
      <c r="O884">
        <v>1</v>
      </c>
    </row>
    <row r="885" spans="1:15" x14ac:dyDescent="0.3">
      <c r="A885" s="47" t="s">
        <v>1682</v>
      </c>
      <c r="B885" s="59" t="s">
        <v>11</v>
      </c>
      <c r="C885" s="59" t="s">
        <v>12</v>
      </c>
      <c r="D885" s="48" t="s">
        <v>260</v>
      </c>
      <c r="E885" s="48" t="s">
        <v>1683</v>
      </c>
      <c r="F885" s="74">
        <v>44260</v>
      </c>
      <c r="G885" s="74">
        <v>44653</v>
      </c>
      <c r="H885" s="32" t="str">
        <f t="shared" si="27"/>
        <v>EVEN</v>
      </c>
      <c r="I885" s="104">
        <v>0</v>
      </c>
      <c r="J885" s="46" t="str">
        <f>UPPER(TEXT(F885,"mmm")) &amp; " - " &amp; UPPER(TEXT(G885,"mmm"))</f>
        <v>MAR - APR</v>
      </c>
      <c r="K885" s="46" t="s">
        <v>882</v>
      </c>
      <c r="L885" s="99" t="s">
        <v>3895</v>
      </c>
      <c r="M885" s="32" t="str">
        <f t="shared" si="28"/>
        <v>No</v>
      </c>
      <c r="N885" s="32">
        <f>G885 - F885</f>
        <v>393</v>
      </c>
      <c r="O885">
        <v>1</v>
      </c>
    </row>
    <row r="886" spans="1:15" ht="27" x14ac:dyDescent="0.3">
      <c r="A886" s="47" t="s">
        <v>1682</v>
      </c>
      <c r="B886" s="59" t="s">
        <v>11</v>
      </c>
      <c r="C886" s="59" t="s">
        <v>12</v>
      </c>
      <c r="D886" s="48" t="s">
        <v>1684</v>
      </c>
      <c r="E886" s="48" t="s">
        <v>1685</v>
      </c>
      <c r="F886" s="74">
        <v>44343</v>
      </c>
      <c r="G886" s="74">
        <v>44353</v>
      </c>
      <c r="H886" s="32" t="str">
        <f t="shared" si="27"/>
        <v>EVEN</v>
      </c>
      <c r="I886" s="104">
        <v>0</v>
      </c>
      <c r="J886" s="46" t="str">
        <f>UPPER(TEXT(F886,"mmm")) &amp; " - " &amp; UPPER(TEXT(G886,"mmm"))</f>
        <v>MAY - JUN</v>
      </c>
      <c r="K886" s="46" t="s">
        <v>882</v>
      </c>
      <c r="L886" s="99" t="s">
        <v>3895</v>
      </c>
      <c r="M886" s="32" t="str">
        <f t="shared" si="28"/>
        <v>No</v>
      </c>
      <c r="N886" s="32">
        <f>G886 - F886</f>
        <v>10</v>
      </c>
      <c r="O886">
        <v>1</v>
      </c>
    </row>
    <row r="887" spans="1:15" ht="27" x14ac:dyDescent="0.3">
      <c r="A887" s="47" t="s">
        <v>1212</v>
      </c>
      <c r="B887" s="59" t="s">
        <v>11</v>
      </c>
      <c r="C887" s="59" t="s">
        <v>12</v>
      </c>
      <c r="D887" s="48" t="s">
        <v>1213</v>
      </c>
      <c r="E887" s="48" t="s">
        <v>1171</v>
      </c>
      <c r="F887" s="74">
        <v>44301</v>
      </c>
      <c r="G887" s="74">
        <v>44427</v>
      </c>
      <c r="H887" s="32" t="str">
        <f t="shared" si="27"/>
        <v>EVEN</v>
      </c>
      <c r="I887" s="104">
        <v>0</v>
      </c>
      <c r="J887" s="46" t="str">
        <f>UPPER(TEXT(F887,"mmm")) &amp; " - " &amp; UPPER(TEXT(G887,"mmm"))</f>
        <v>APR - AUG</v>
      </c>
      <c r="K887" s="46" t="s">
        <v>882</v>
      </c>
      <c r="L887" s="59" t="s">
        <v>895</v>
      </c>
      <c r="M887" s="32" t="str">
        <f t="shared" si="28"/>
        <v>No</v>
      </c>
      <c r="N887" s="32">
        <f>G887 - F887</f>
        <v>126</v>
      </c>
      <c r="O887">
        <v>1</v>
      </c>
    </row>
    <row r="888" spans="1:15" x14ac:dyDescent="0.3">
      <c r="A888" s="47" t="s">
        <v>1686</v>
      </c>
      <c r="B888" s="59" t="s">
        <v>78</v>
      </c>
      <c r="C888" s="59" t="s">
        <v>12</v>
      </c>
      <c r="D888" s="48" t="s">
        <v>1687</v>
      </c>
      <c r="E888" s="48" t="s">
        <v>294</v>
      </c>
      <c r="F888" s="74">
        <v>44016</v>
      </c>
      <c r="G888" s="74">
        <v>44108</v>
      </c>
      <c r="H888" s="32" t="str">
        <f t="shared" si="27"/>
        <v>EVEN</v>
      </c>
      <c r="I888" s="104">
        <v>0</v>
      </c>
      <c r="J888" s="46" t="str">
        <f>UPPER(TEXT(F888,"mmm")) &amp; " - " &amp; UPPER(TEXT(G888,"mmm"))</f>
        <v>JUL - OCT</v>
      </c>
      <c r="K888" s="46" t="s">
        <v>882</v>
      </c>
      <c r="L888" s="99" t="s">
        <v>3895</v>
      </c>
      <c r="M888" s="32" t="str">
        <f t="shared" si="28"/>
        <v>No</v>
      </c>
      <c r="N888" s="32">
        <f>G888 - F888</f>
        <v>92</v>
      </c>
      <c r="O888">
        <v>1</v>
      </c>
    </row>
    <row r="889" spans="1:15" ht="27" x14ac:dyDescent="0.3">
      <c r="A889" s="47" t="s">
        <v>1688</v>
      </c>
      <c r="B889" s="59" t="s">
        <v>78</v>
      </c>
      <c r="C889" s="59" t="s">
        <v>12</v>
      </c>
      <c r="D889" s="48" t="s">
        <v>1338</v>
      </c>
      <c r="E889" s="48" t="s">
        <v>1689</v>
      </c>
      <c r="F889" s="74">
        <v>44317</v>
      </c>
      <c r="G889" s="74">
        <v>44408</v>
      </c>
      <c r="H889" s="32" t="str">
        <f t="shared" si="27"/>
        <v>EVEN</v>
      </c>
      <c r="I889" s="104">
        <v>0</v>
      </c>
      <c r="J889" s="46" t="str">
        <f>UPPER(TEXT(F889,"mmm")) &amp; " - " &amp; UPPER(TEXT(G889,"mmm"))</f>
        <v>MAY - JUL</v>
      </c>
      <c r="K889" s="46" t="s">
        <v>882</v>
      </c>
      <c r="L889" s="99" t="s">
        <v>3895</v>
      </c>
      <c r="M889" s="32" t="str">
        <f t="shared" si="28"/>
        <v>No</v>
      </c>
      <c r="N889" s="32">
        <f>G889 - F889</f>
        <v>91</v>
      </c>
      <c r="O889">
        <v>1</v>
      </c>
    </row>
    <row r="890" spans="1:15" x14ac:dyDescent="0.3">
      <c r="A890" s="47" t="s">
        <v>1690</v>
      </c>
      <c r="B890" s="59" t="s">
        <v>78</v>
      </c>
      <c r="C890" s="59" t="s">
        <v>12</v>
      </c>
      <c r="D890" s="48" t="s">
        <v>1596</v>
      </c>
      <c r="E890" s="48" t="s">
        <v>1691</v>
      </c>
      <c r="F890" s="74">
        <v>44247</v>
      </c>
      <c r="G890" s="74">
        <v>44275</v>
      </c>
      <c r="H890" s="32" t="str">
        <f t="shared" si="27"/>
        <v>EVEN</v>
      </c>
      <c r="I890" s="104">
        <v>0</v>
      </c>
      <c r="J890" s="46" t="str">
        <f>UPPER(TEXT(F890,"mmm")) &amp; " - " &amp; UPPER(TEXT(G890,"mmm"))</f>
        <v>FEB - MAR</v>
      </c>
      <c r="K890" s="46" t="s">
        <v>882</v>
      </c>
      <c r="L890" s="59" t="s">
        <v>895</v>
      </c>
      <c r="M890" s="32" t="str">
        <f t="shared" si="28"/>
        <v>No</v>
      </c>
      <c r="N890" s="32">
        <f>G890 - F890</f>
        <v>28</v>
      </c>
      <c r="O890">
        <v>1</v>
      </c>
    </row>
    <row r="891" spans="1:15" ht="40.200000000000003" x14ac:dyDescent="0.3">
      <c r="A891" s="47" t="s">
        <v>1692</v>
      </c>
      <c r="B891" s="59" t="s">
        <v>78</v>
      </c>
      <c r="C891" s="59" t="s">
        <v>12</v>
      </c>
      <c r="D891" s="48" t="s">
        <v>1596</v>
      </c>
      <c r="E891" s="48" t="s">
        <v>1693</v>
      </c>
      <c r="F891" s="74">
        <v>44249</v>
      </c>
      <c r="G891" s="74">
        <v>44277</v>
      </c>
      <c r="H891" s="32" t="str">
        <f t="shared" si="27"/>
        <v>EVEN</v>
      </c>
      <c r="I891" s="104">
        <v>0</v>
      </c>
      <c r="J891" s="46" t="str">
        <f>UPPER(TEXT(F891,"mmm")) &amp; " - " &amp; UPPER(TEXT(G891,"mmm"))</f>
        <v>FEB - MAR</v>
      </c>
      <c r="K891" s="46" t="s">
        <v>882</v>
      </c>
      <c r="L891" s="59" t="s">
        <v>895</v>
      </c>
      <c r="M891" s="32" t="str">
        <f t="shared" si="28"/>
        <v>No</v>
      </c>
      <c r="N891" s="32">
        <f>G891 - F891</f>
        <v>28</v>
      </c>
      <c r="O891">
        <v>1</v>
      </c>
    </row>
    <row r="892" spans="1:15" x14ac:dyDescent="0.3">
      <c r="A892" s="47" t="s">
        <v>1694</v>
      </c>
      <c r="B892" s="59" t="s">
        <v>78</v>
      </c>
      <c r="C892" s="59" t="s">
        <v>12</v>
      </c>
      <c r="D892" s="48" t="s">
        <v>1596</v>
      </c>
      <c r="E892" s="48" t="s">
        <v>1695</v>
      </c>
      <c r="F892" s="74">
        <v>44058</v>
      </c>
      <c r="G892" s="74">
        <v>44296</v>
      </c>
      <c r="H892" s="32" t="str">
        <f t="shared" si="27"/>
        <v>ODD</v>
      </c>
      <c r="I892" s="104">
        <v>0</v>
      </c>
      <c r="J892" s="46" t="str">
        <f>UPPER(TEXT(F892,"mmm")) &amp; " - " &amp; UPPER(TEXT(G892,"mmm"))</f>
        <v>AUG - APR</v>
      </c>
      <c r="K892" s="46" t="s">
        <v>882</v>
      </c>
      <c r="L892" s="59" t="s">
        <v>895</v>
      </c>
      <c r="M892" s="32" t="str">
        <f t="shared" si="28"/>
        <v>No</v>
      </c>
      <c r="N892" s="32">
        <f>G892 - F892</f>
        <v>238</v>
      </c>
      <c r="O892">
        <v>1</v>
      </c>
    </row>
    <row r="893" spans="1:15" ht="40.200000000000003" x14ac:dyDescent="0.3">
      <c r="A893" s="47" t="s">
        <v>1696</v>
      </c>
      <c r="B893" s="59" t="s">
        <v>66</v>
      </c>
      <c r="C893" s="59" t="s">
        <v>12</v>
      </c>
      <c r="D893" s="48" t="s">
        <v>1697</v>
      </c>
      <c r="E893" s="48" t="s">
        <v>1698</v>
      </c>
      <c r="F893" s="74">
        <v>44348</v>
      </c>
      <c r="G893" s="74">
        <v>44387</v>
      </c>
      <c r="H893" s="32" t="str">
        <f t="shared" si="27"/>
        <v>EVEN</v>
      </c>
      <c r="I893" s="104">
        <v>0</v>
      </c>
      <c r="J893" s="46" t="str">
        <f>UPPER(TEXT(F893,"mmm")) &amp; " - " &amp; UPPER(TEXT(G893,"mmm"))</f>
        <v>JUN - JUL</v>
      </c>
      <c r="K893" s="46" t="s">
        <v>882</v>
      </c>
      <c r="L893" s="99" t="s">
        <v>3895</v>
      </c>
      <c r="M893" s="32" t="str">
        <f t="shared" si="28"/>
        <v>No</v>
      </c>
      <c r="N893" s="32">
        <f>G893 - F893</f>
        <v>39</v>
      </c>
      <c r="O893">
        <v>1</v>
      </c>
    </row>
    <row r="894" spans="1:15" x14ac:dyDescent="0.3">
      <c r="A894" s="47" t="s">
        <v>1099</v>
      </c>
      <c r="B894" s="59" t="s">
        <v>66</v>
      </c>
      <c r="C894" s="59" t="s">
        <v>12</v>
      </c>
      <c r="D894" s="48" t="s">
        <v>1699</v>
      </c>
      <c r="E894" s="48" t="s">
        <v>1700</v>
      </c>
      <c r="F894" s="74">
        <v>44369</v>
      </c>
      <c r="G894" s="74">
        <v>44428</v>
      </c>
      <c r="H894" s="32" t="str">
        <f t="shared" si="27"/>
        <v>EVEN</v>
      </c>
      <c r="I894" s="104">
        <v>0</v>
      </c>
      <c r="J894" s="46" t="str">
        <f>UPPER(TEXT(F894,"mmm")) &amp; " - " &amp; UPPER(TEXT(G894,"mmm"))</f>
        <v>JUN - AUG</v>
      </c>
      <c r="K894" s="46" t="s">
        <v>882</v>
      </c>
      <c r="L894" s="99" t="s">
        <v>3895</v>
      </c>
      <c r="M894" s="32" t="str">
        <f t="shared" si="28"/>
        <v>No</v>
      </c>
      <c r="N894" s="32">
        <f>G894 - F894</f>
        <v>59</v>
      </c>
      <c r="O894">
        <v>1</v>
      </c>
    </row>
    <row r="895" spans="1:15" x14ac:dyDescent="0.3">
      <c r="A895" s="47" t="s">
        <v>1701</v>
      </c>
      <c r="B895" s="59" t="s">
        <v>66</v>
      </c>
      <c r="C895" s="59" t="s">
        <v>12</v>
      </c>
      <c r="D895" s="48" t="s">
        <v>1702</v>
      </c>
      <c r="E895" s="48" t="s">
        <v>1703</v>
      </c>
      <c r="F895" s="74">
        <v>44354</v>
      </c>
      <c r="G895" s="74">
        <v>44415</v>
      </c>
      <c r="H895" s="32" t="str">
        <f t="shared" ref="H895:H912" si="29">IF(AND(F895&gt;=DATE(2020,7,15), F895&lt;=DATE(2020,12,31)), "ODD", "EVEN")</f>
        <v>EVEN</v>
      </c>
      <c r="I895" s="104">
        <v>35000</v>
      </c>
      <c r="J895" s="46" t="str">
        <f>UPPER(TEXT(F895,"mmm")) &amp; " - " &amp; UPPER(TEXT(G895,"mmm"))</f>
        <v>JUN - AUG</v>
      </c>
      <c r="K895" s="46" t="s">
        <v>882</v>
      </c>
      <c r="L895" s="99" t="s">
        <v>3895</v>
      </c>
      <c r="M895" s="32" t="str">
        <f t="shared" si="28"/>
        <v>Yes</v>
      </c>
      <c r="N895" s="32">
        <f>G895 - F895</f>
        <v>61</v>
      </c>
      <c r="O895">
        <v>1</v>
      </c>
    </row>
    <row r="896" spans="1:15" ht="40.200000000000003" x14ac:dyDescent="0.3">
      <c r="A896" s="47" t="s">
        <v>1704</v>
      </c>
      <c r="B896" s="59" t="s">
        <v>66</v>
      </c>
      <c r="C896" s="59" t="s">
        <v>12</v>
      </c>
      <c r="D896" s="48" t="s">
        <v>1705</v>
      </c>
      <c r="E896" s="48" t="s">
        <v>1602</v>
      </c>
      <c r="F896" s="74">
        <v>44348</v>
      </c>
      <c r="G896" s="74">
        <v>44501</v>
      </c>
      <c r="H896" s="32" t="str">
        <f t="shared" si="29"/>
        <v>EVEN</v>
      </c>
      <c r="I896" s="104">
        <v>0</v>
      </c>
      <c r="J896" s="46" t="str">
        <f>UPPER(TEXT(F896,"mmm")) &amp; " - " &amp; UPPER(TEXT(G896,"mmm"))</f>
        <v>JUN - NOV</v>
      </c>
      <c r="K896" s="46" t="s">
        <v>882</v>
      </c>
      <c r="L896" s="99" t="s">
        <v>3895</v>
      </c>
      <c r="M896" s="32" t="str">
        <f t="shared" si="28"/>
        <v>No</v>
      </c>
      <c r="N896" s="32">
        <f>G896 - F896</f>
        <v>153</v>
      </c>
      <c r="O896">
        <v>1</v>
      </c>
    </row>
    <row r="897" spans="1:17" x14ac:dyDescent="0.3">
      <c r="A897" s="47" t="s">
        <v>376</v>
      </c>
      <c r="B897" s="59" t="s">
        <v>66</v>
      </c>
      <c r="C897" s="59" t="s">
        <v>12</v>
      </c>
      <c r="D897" s="48" t="s">
        <v>1702</v>
      </c>
      <c r="E897" s="48" t="s">
        <v>1703</v>
      </c>
      <c r="F897" s="74">
        <v>44354</v>
      </c>
      <c r="G897" s="74">
        <v>44415</v>
      </c>
      <c r="H897" s="32" t="str">
        <f t="shared" si="29"/>
        <v>EVEN</v>
      </c>
      <c r="I897" s="104">
        <v>35000</v>
      </c>
      <c r="J897" s="46" t="str">
        <f>UPPER(TEXT(F897,"mmm")) &amp; " - " &amp; UPPER(TEXT(G897,"mmm"))</f>
        <v>JUN - AUG</v>
      </c>
      <c r="K897" s="46" t="s">
        <v>882</v>
      </c>
      <c r="L897" s="99" t="s">
        <v>3895</v>
      </c>
      <c r="M897" s="32" t="str">
        <f t="shared" si="28"/>
        <v>Yes</v>
      </c>
      <c r="N897" s="32">
        <f>G897 - F897</f>
        <v>61</v>
      </c>
      <c r="O897">
        <v>1</v>
      </c>
    </row>
    <row r="898" spans="1:17" ht="40.200000000000003" x14ac:dyDescent="0.3">
      <c r="A898" s="47" t="s">
        <v>1099</v>
      </c>
      <c r="B898" s="59" t="s">
        <v>66</v>
      </c>
      <c r="C898" s="59" t="s">
        <v>12</v>
      </c>
      <c r="D898" s="48" t="s">
        <v>1706</v>
      </c>
      <c r="E898" s="48" t="s">
        <v>1707</v>
      </c>
      <c r="F898" s="74">
        <v>44058</v>
      </c>
      <c r="G898" s="74">
        <v>44270</v>
      </c>
      <c r="H898" s="32" t="str">
        <f t="shared" si="29"/>
        <v>ODD</v>
      </c>
      <c r="I898" s="104">
        <v>0</v>
      </c>
      <c r="J898" s="46" t="str">
        <f>UPPER(TEXT(F898,"mmm")) &amp; " - " &amp; UPPER(TEXT(G898,"mmm"))</f>
        <v>AUG - MAR</v>
      </c>
      <c r="K898" s="46" t="s">
        <v>882</v>
      </c>
      <c r="L898" s="59" t="s">
        <v>895</v>
      </c>
      <c r="M898" s="32" t="str">
        <f t="shared" ref="M898:M961" si="30">IF(I898 &gt; 0, "Yes", "No")</f>
        <v>No</v>
      </c>
      <c r="N898" s="32">
        <f>G898 - F898</f>
        <v>212</v>
      </c>
      <c r="O898">
        <v>1</v>
      </c>
    </row>
    <row r="899" spans="1:17" ht="27" x14ac:dyDescent="0.3">
      <c r="A899" s="47" t="s">
        <v>1040</v>
      </c>
      <c r="B899" s="59" t="s">
        <v>66</v>
      </c>
      <c r="C899" s="59" t="s">
        <v>12</v>
      </c>
      <c r="D899" s="48" t="s">
        <v>1708</v>
      </c>
      <c r="E899" s="48" t="s">
        <v>1709</v>
      </c>
      <c r="F899" s="74">
        <v>44356</v>
      </c>
      <c r="G899" s="74">
        <v>44469</v>
      </c>
      <c r="H899" s="32" t="str">
        <f t="shared" si="29"/>
        <v>EVEN</v>
      </c>
      <c r="I899" s="104">
        <v>0</v>
      </c>
      <c r="J899" s="46" t="str">
        <f>UPPER(TEXT(F899,"mmm")) &amp; " - " &amp; UPPER(TEXT(G899,"mmm"))</f>
        <v>JUN - SEP</v>
      </c>
      <c r="K899" s="46" t="s">
        <v>882</v>
      </c>
      <c r="L899" s="59" t="s">
        <v>895</v>
      </c>
      <c r="M899" s="32" t="str">
        <f t="shared" si="30"/>
        <v>No</v>
      </c>
      <c r="N899" s="32">
        <f>G899 - F899</f>
        <v>113</v>
      </c>
      <c r="O899">
        <v>1</v>
      </c>
    </row>
    <row r="900" spans="1:17" ht="40.200000000000003" x14ac:dyDescent="0.3">
      <c r="A900" s="47" t="s">
        <v>1082</v>
      </c>
      <c r="B900" s="59" t="s">
        <v>66</v>
      </c>
      <c r="C900" s="59" t="s">
        <v>12</v>
      </c>
      <c r="D900" s="48" t="s">
        <v>1540</v>
      </c>
      <c r="E900" s="48" t="s">
        <v>1710</v>
      </c>
      <c r="F900" s="74">
        <v>44097</v>
      </c>
      <c r="G900" s="74">
        <v>44344</v>
      </c>
      <c r="H900" s="32" t="str">
        <f t="shared" si="29"/>
        <v>ODD</v>
      </c>
      <c r="I900" s="104">
        <v>0</v>
      </c>
      <c r="J900" s="46" t="str">
        <f>UPPER(TEXT(F900,"mmm")) &amp; " - " &amp; UPPER(TEXT(G900,"mmm"))</f>
        <v>SEP - MAY</v>
      </c>
      <c r="K900" s="46" t="s">
        <v>882</v>
      </c>
      <c r="L900" s="59" t="s">
        <v>895</v>
      </c>
      <c r="M900" s="32" t="str">
        <f t="shared" si="30"/>
        <v>No</v>
      </c>
      <c r="N900" s="32">
        <f>G900 - F900</f>
        <v>247</v>
      </c>
      <c r="O900">
        <v>1</v>
      </c>
    </row>
    <row r="901" spans="1:17" ht="27" x14ac:dyDescent="0.3">
      <c r="A901" s="47" t="s">
        <v>1464</v>
      </c>
      <c r="B901" s="59" t="s">
        <v>66</v>
      </c>
      <c r="C901" s="59" t="s">
        <v>12</v>
      </c>
      <c r="D901" s="48" t="s">
        <v>1711</v>
      </c>
      <c r="E901" s="48" t="s">
        <v>1712</v>
      </c>
      <c r="F901" s="74">
        <v>44197</v>
      </c>
      <c r="G901" s="74">
        <v>44347</v>
      </c>
      <c r="H901" s="32" t="str">
        <f t="shared" si="29"/>
        <v>EVEN</v>
      </c>
      <c r="I901" s="104">
        <v>0</v>
      </c>
      <c r="J901" s="46" t="str">
        <f>UPPER(TEXT(F901,"mmm")) &amp; " - " &amp; UPPER(TEXT(G901,"mmm"))</f>
        <v>JAN - MAY</v>
      </c>
      <c r="K901" s="46" t="s">
        <v>882</v>
      </c>
      <c r="L901" s="59" t="s">
        <v>895</v>
      </c>
      <c r="M901" s="32" t="str">
        <f t="shared" si="30"/>
        <v>No</v>
      </c>
      <c r="N901" s="32">
        <f>G901 - F901</f>
        <v>150</v>
      </c>
      <c r="O901">
        <v>1</v>
      </c>
    </row>
    <row r="902" spans="1:17" x14ac:dyDescent="0.3">
      <c r="A902" s="47" t="s">
        <v>1713</v>
      </c>
      <c r="B902" s="59" t="s">
        <v>11</v>
      </c>
      <c r="C902" s="59" t="s">
        <v>12</v>
      </c>
      <c r="D902" s="48" t="s">
        <v>1714</v>
      </c>
      <c r="E902" s="48" t="s">
        <v>1715</v>
      </c>
      <c r="F902" s="74">
        <v>44314</v>
      </c>
      <c r="G902" s="74">
        <v>44740</v>
      </c>
      <c r="H902" s="32" t="str">
        <f t="shared" si="29"/>
        <v>EVEN</v>
      </c>
      <c r="I902" s="104">
        <v>0</v>
      </c>
      <c r="J902" s="46" t="str">
        <f>UPPER(TEXT(F902,"mmm")) &amp; " - " &amp; UPPER(TEXT(G902,"mmm"))</f>
        <v>APR - JUN</v>
      </c>
      <c r="K902" s="46" t="s">
        <v>882</v>
      </c>
      <c r="L902" s="99" t="s">
        <v>3895</v>
      </c>
      <c r="M902" s="32" t="str">
        <f t="shared" si="30"/>
        <v>No</v>
      </c>
      <c r="N902" s="32">
        <f>G902 - F902</f>
        <v>426</v>
      </c>
      <c r="O902">
        <v>1</v>
      </c>
    </row>
    <row r="903" spans="1:17" x14ac:dyDescent="0.3">
      <c r="A903" s="47" t="s">
        <v>1508</v>
      </c>
      <c r="B903" s="59" t="s">
        <v>78</v>
      </c>
      <c r="C903" s="59" t="s">
        <v>12</v>
      </c>
      <c r="D903" s="48" t="s">
        <v>1608</v>
      </c>
      <c r="E903" s="48" t="s">
        <v>1716</v>
      </c>
      <c r="F903" s="74">
        <v>44249</v>
      </c>
      <c r="G903" s="74">
        <v>44277</v>
      </c>
      <c r="H903" s="32" t="str">
        <f t="shared" si="29"/>
        <v>EVEN</v>
      </c>
      <c r="I903" s="104">
        <v>0</v>
      </c>
      <c r="J903" s="46" t="str">
        <f>UPPER(TEXT(F903,"mmm")) &amp; " - " &amp; UPPER(TEXT(G903,"mmm"))</f>
        <v>FEB - MAR</v>
      </c>
      <c r="K903" s="46" t="s">
        <v>882</v>
      </c>
      <c r="L903" s="59" t="s">
        <v>895</v>
      </c>
      <c r="M903" s="32" t="str">
        <f t="shared" si="30"/>
        <v>No</v>
      </c>
      <c r="N903" s="32">
        <f>G903 - F903</f>
        <v>28</v>
      </c>
      <c r="O903">
        <v>1</v>
      </c>
    </row>
    <row r="904" spans="1:17" x14ac:dyDescent="0.3">
      <c r="A904" s="47" t="s">
        <v>1717</v>
      </c>
      <c r="B904" s="59" t="s">
        <v>78</v>
      </c>
      <c r="C904" s="59" t="s">
        <v>12</v>
      </c>
      <c r="D904" s="48" t="s">
        <v>1718</v>
      </c>
      <c r="E904" s="48" t="s">
        <v>1719</v>
      </c>
      <c r="F904" s="74">
        <v>44235</v>
      </c>
      <c r="G904" s="74">
        <v>44560</v>
      </c>
      <c r="H904" s="32" t="str">
        <f t="shared" si="29"/>
        <v>EVEN</v>
      </c>
      <c r="I904" s="104">
        <v>0</v>
      </c>
      <c r="J904" s="46" t="str">
        <f>UPPER(TEXT(F904,"mmm")) &amp; " - " &amp; UPPER(TEXT(G904,"mmm"))</f>
        <v>FEB - DEC</v>
      </c>
      <c r="K904" s="46" t="s">
        <v>882</v>
      </c>
      <c r="L904" s="59" t="s">
        <v>895</v>
      </c>
      <c r="M904" s="32" t="str">
        <f t="shared" si="30"/>
        <v>No</v>
      </c>
      <c r="N904" s="32">
        <f>G904 - F904</f>
        <v>325</v>
      </c>
      <c r="O904">
        <v>1</v>
      </c>
    </row>
    <row r="905" spans="1:17" x14ac:dyDescent="0.3">
      <c r="A905" s="47" t="s">
        <v>1720</v>
      </c>
      <c r="B905" s="59" t="s">
        <v>66</v>
      </c>
      <c r="C905" s="59" t="s">
        <v>12</v>
      </c>
      <c r="D905" s="48" t="s">
        <v>479</v>
      </c>
      <c r="E905" s="48" t="s">
        <v>1721</v>
      </c>
      <c r="F905" s="74">
        <v>44013</v>
      </c>
      <c r="G905" s="74">
        <v>44377</v>
      </c>
      <c r="H905" s="32" t="str">
        <f t="shared" si="29"/>
        <v>EVEN</v>
      </c>
      <c r="I905" s="104">
        <v>0</v>
      </c>
      <c r="J905" s="46" t="str">
        <f>UPPER(TEXT(F905,"mmm")) &amp; " - " &amp; UPPER(TEXT(G905,"mmm"))</f>
        <v>JUL - JUN</v>
      </c>
      <c r="K905" s="46" t="s">
        <v>882</v>
      </c>
      <c r="L905" s="99" t="s">
        <v>3895</v>
      </c>
      <c r="M905" s="32" t="str">
        <f t="shared" si="30"/>
        <v>No</v>
      </c>
      <c r="N905" s="32">
        <f>G905 - F905</f>
        <v>364</v>
      </c>
      <c r="O905">
        <v>1</v>
      </c>
    </row>
    <row r="906" spans="1:17" ht="40.200000000000003" x14ac:dyDescent="0.3">
      <c r="A906" s="47" t="s">
        <v>1722</v>
      </c>
      <c r="B906" s="59" t="s">
        <v>66</v>
      </c>
      <c r="C906" s="59" t="s">
        <v>12</v>
      </c>
      <c r="D906" s="48" t="s">
        <v>142</v>
      </c>
      <c r="E906" s="48" t="s">
        <v>1723</v>
      </c>
      <c r="F906" s="74">
        <v>43983</v>
      </c>
      <c r="G906" s="74">
        <v>44196</v>
      </c>
      <c r="H906" s="32" t="str">
        <f t="shared" si="29"/>
        <v>EVEN</v>
      </c>
      <c r="I906" s="104">
        <v>0</v>
      </c>
      <c r="J906" s="46" t="str">
        <f>UPPER(TEXT(F906,"mmm")) &amp; " - " &amp; UPPER(TEXT(G906,"mmm"))</f>
        <v>JUN - DEC</v>
      </c>
      <c r="K906" s="46" t="s">
        <v>882</v>
      </c>
      <c r="L906" s="59" t="s">
        <v>895</v>
      </c>
      <c r="M906" s="32" t="str">
        <f t="shared" si="30"/>
        <v>No</v>
      </c>
      <c r="N906" s="32">
        <f>G906 - F906</f>
        <v>213</v>
      </c>
      <c r="O906">
        <v>1</v>
      </c>
    </row>
    <row r="907" spans="1:17" ht="40.200000000000003" x14ac:dyDescent="0.3">
      <c r="A907" s="47" t="s">
        <v>1722</v>
      </c>
      <c r="B907" s="59" t="s">
        <v>66</v>
      </c>
      <c r="C907" s="59" t="s">
        <v>12</v>
      </c>
      <c r="D907" s="48" t="s">
        <v>142</v>
      </c>
      <c r="E907" s="48" t="s">
        <v>1724</v>
      </c>
      <c r="F907" s="74">
        <v>44197</v>
      </c>
      <c r="G907" s="74">
        <v>44347</v>
      </c>
      <c r="H907" s="32" t="str">
        <f t="shared" si="29"/>
        <v>EVEN</v>
      </c>
      <c r="I907" s="104">
        <v>0</v>
      </c>
      <c r="J907" s="46" t="str">
        <f>UPPER(TEXT(F907,"mmm")) &amp; " - " &amp; UPPER(TEXT(G907,"mmm"))</f>
        <v>JAN - MAY</v>
      </c>
      <c r="K907" s="46" t="s">
        <v>882</v>
      </c>
      <c r="L907" s="59" t="s">
        <v>895</v>
      </c>
      <c r="M907" s="32" t="str">
        <f t="shared" si="30"/>
        <v>No</v>
      </c>
      <c r="N907" s="32">
        <f>G907 - F907</f>
        <v>150</v>
      </c>
      <c r="O907">
        <v>1</v>
      </c>
    </row>
    <row r="908" spans="1:17" x14ac:dyDescent="0.3">
      <c r="A908" s="47" t="s">
        <v>855</v>
      </c>
      <c r="B908" s="59" t="s">
        <v>66</v>
      </c>
      <c r="C908" s="59" t="s">
        <v>12</v>
      </c>
      <c r="D908" s="48" t="s">
        <v>1725</v>
      </c>
      <c r="E908" s="48" t="s">
        <v>1726</v>
      </c>
      <c r="F908" s="74">
        <v>44293</v>
      </c>
      <c r="G908" s="74">
        <v>44339</v>
      </c>
      <c r="H908" s="32" t="str">
        <f t="shared" ref="H908" si="31">IF((AND(F908&gt;=DATE(2019,7,15),F908&lt;=DATE(2019,12,31))),"ODD", "EVEN")</f>
        <v>EVEN</v>
      </c>
      <c r="I908" s="104">
        <v>0</v>
      </c>
      <c r="J908" s="3" t="str">
        <f>UPPER(TEXT(F908,"mmm")) &amp; " - " &amp; UPPER(TEXT(G908,"mmm"))</f>
        <v>APR - MAY</v>
      </c>
      <c r="K908" s="46" t="s">
        <v>882</v>
      </c>
      <c r="L908" s="99" t="s">
        <v>3895</v>
      </c>
      <c r="M908" s="32" t="str">
        <f t="shared" si="30"/>
        <v>No</v>
      </c>
      <c r="N908" s="32">
        <f>G908 - F908</f>
        <v>46</v>
      </c>
      <c r="O908">
        <v>1</v>
      </c>
      <c r="P908" s="74"/>
      <c r="Q908" s="74"/>
    </row>
    <row r="909" spans="1:17" x14ac:dyDescent="0.3">
      <c r="A909" s="47" t="s">
        <v>855</v>
      </c>
      <c r="B909" s="59" t="s">
        <v>66</v>
      </c>
      <c r="C909" s="59" t="s">
        <v>12</v>
      </c>
      <c r="D909" s="48" t="s">
        <v>1727</v>
      </c>
      <c r="E909" s="48" t="s">
        <v>1728</v>
      </c>
      <c r="F909" s="74">
        <v>44362</v>
      </c>
      <c r="G909" s="74">
        <v>44515</v>
      </c>
      <c r="H909" s="32" t="str">
        <f t="shared" si="29"/>
        <v>EVEN</v>
      </c>
      <c r="I909" s="104">
        <v>0</v>
      </c>
      <c r="J909" s="46" t="str">
        <f>UPPER(TEXT(F909,"mmm")) &amp; " - " &amp; UPPER(TEXT(G909,"mmm"))</f>
        <v>JUN - NOV</v>
      </c>
      <c r="K909" s="46" t="s">
        <v>882</v>
      </c>
      <c r="L909" s="99" t="s">
        <v>3895</v>
      </c>
      <c r="M909" s="32" t="str">
        <f t="shared" si="30"/>
        <v>No</v>
      </c>
      <c r="N909" s="32">
        <f>G909 - F909</f>
        <v>153</v>
      </c>
      <c r="O909">
        <v>1</v>
      </c>
    </row>
    <row r="910" spans="1:17" ht="27" x14ac:dyDescent="0.3">
      <c r="A910" s="47" t="s">
        <v>1729</v>
      </c>
      <c r="B910" s="59" t="s">
        <v>66</v>
      </c>
      <c r="C910" s="59" t="s">
        <v>12</v>
      </c>
      <c r="D910" s="48" t="s">
        <v>1730</v>
      </c>
      <c r="E910" s="48" t="s">
        <v>1731</v>
      </c>
      <c r="F910" s="74">
        <v>44348</v>
      </c>
      <c r="G910" s="74">
        <v>44469</v>
      </c>
      <c r="H910" s="32" t="str">
        <f t="shared" si="29"/>
        <v>EVEN</v>
      </c>
      <c r="I910" s="104">
        <v>0</v>
      </c>
      <c r="J910" s="46" t="str">
        <f>UPPER(TEXT(F910,"mmm")) &amp; " - " &amp; UPPER(TEXT(G910,"mmm"))</f>
        <v>JUN - SEP</v>
      </c>
      <c r="K910" s="46" t="s">
        <v>882</v>
      </c>
      <c r="L910" s="99" t="s">
        <v>3895</v>
      </c>
      <c r="M910" s="32" t="str">
        <f t="shared" si="30"/>
        <v>No</v>
      </c>
      <c r="N910" s="32">
        <f>G910 - F910</f>
        <v>121</v>
      </c>
      <c r="O910">
        <v>1</v>
      </c>
    </row>
    <row r="911" spans="1:17" x14ac:dyDescent="0.3">
      <c r="A911" s="47" t="s">
        <v>1732</v>
      </c>
      <c r="B911" s="59" t="s">
        <v>78</v>
      </c>
      <c r="C911" s="59" t="s">
        <v>12</v>
      </c>
      <c r="D911" s="48" t="s">
        <v>1687</v>
      </c>
      <c r="E911" s="48" t="s">
        <v>1733</v>
      </c>
      <c r="F911" s="74">
        <v>44018</v>
      </c>
      <c r="G911" s="74">
        <v>44105</v>
      </c>
      <c r="H911" s="32" t="str">
        <f t="shared" si="29"/>
        <v>EVEN</v>
      </c>
      <c r="I911" s="104">
        <v>0</v>
      </c>
      <c r="J911" s="46" t="str">
        <f>UPPER(TEXT(F911,"mmm")) &amp; " - " &amp; UPPER(TEXT(G911,"mmm"))</f>
        <v>JUL - OCT</v>
      </c>
      <c r="K911" s="46" t="s">
        <v>882</v>
      </c>
      <c r="L911" s="99" t="s">
        <v>3895</v>
      </c>
      <c r="M911" s="32" t="str">
        <f t="shared" si="30"/>
        <v>No</v>
      </c>
      <c r="N911" s="32">
        <f>G911 - F911</f>
        <v>87</v>
      </c>
      <c r="O911">
        <v>1</v>
      </c>
    </row>
    <row r="912" spans="1:17" x14ac:dyDescent="0.3">
      <c r="A912" s="51" t="s">
        <v>1734</v>
      </c>
      <c r="B912" s="60" t="s">
        <v>78</v>
      </c>
      <c r="C912" s="60" t="s">
        <v>12</v>
      </c>
      <c r="D912" s="51" t="s">
        <v>903</v>
      </c>
      <c r="E912" s="51" t="s">
        <v>904</v>
      </c>
      <c r="F912" s="75">
        <v>44017</v>
      </c>
      <c r="G912" s="75">
        <v>44059</v>
      </c>
      <c r="H912" s="32" t="str">
        <f t="shared" si="29"/>
        <v>EVEN</v>
      </c>
      <c r="I912" s="105">
        <v>5</v>
      </c>
      <c r="J912" s="46" t="str">
        <f>UPPER(TEXT(F912,"mmm")) &amp; " - " &amp; UPPER(TEXT(G912,"mmm"))</f>
        <v>JUL - AUG</v>
      </c>
      <c r="K912" s="46" t="s">
        <v>882</v>
      </c>
      <c r="L912" s="99" t="s">
        <v>3895</v>
      </c>
      <c r="M912" s="32" t="str">
        <f t="shared" si="30"/>
        <v>Yes</v>
      </c>
      <c r="N912" s="32">
        <f>G912 - F912</f>
        <v>42</v>
      </c>
      <c r="O912">
        <v>1</v>
      </c>
    </row>
    <row r="913" spans="1:15" x14ac:dyDescent="0.3">
      <c r="A913" s="53" t="s">
        <v>1218</v>
      </c>
      <c r="B913" s="61" t="s">
        <v>70</v>
      </c>
      <c r="C913" s="61" t="s">
        <v>12</v>
      </c>
      <c r="D913" s="53" t="s">
        <v>1007</v>
      </c>
      <c r="E913" s="53" t="s">
        <v>1183</v>
      </c>
      <c r="F913" s="96">
        <v>44378</v>
      </c>
      <c r="G913" s="96">
        <v>44408</v>
      </c>
      <c r="H913" s="58" t="str">
        <f t="shared" ref="H913:H918" si="32">IF(AND(F913&gt;=DATE(2021,7,15), F913&lt;=DATE(2021,12,31)), "ODD", "EVEN")</f>
        <v>EVEN</v>
      </c>
      <c r="I913" s="106">
        <v>0</v>
      </c>
      <c r="J913" s="32" t="str">
        <f>UPPER(TEXT(F913,"mmm")) &amp; " - " &amp; UPPER(TEXT(G913,"mmm"))</f>
        <v>JUL - JUL</v>
      </c>
      <c r="K913" s="32" t="s">
        <v>1736</v>
      </c>
      <c r="L913" s="99" t="s">
        <v>3895</v>
      </c>
      <c r="M913" s="32" t="str">
        <f t="shared" si="30"/>
        <v>No</v>
      </c>
      <c r="N913" s="32">
        <f>G913 - F913</f>
        <v>30</v>
      </c>
      <c r="O913">
        <v>1</v>
      </c>
    </row>
    <row r="914" spans="1:15" x14ac:dyDescent="0.3">
      <c r="A914" s="53" t="s">
        <v>39</v>
      </c>
      <c r="B914" s="61" t="s">
        <v>70</v>
      </c>
      <c r="C914" s="61" t="s">
        <v>12</v>
      </c>
      <c r="D914" s="53" t="s">
        <v>1737</v>
      </c>
      <c r="E914" s="53" t="s">
        <v>393</v>
      </c>
      <c r="F914" s="96">
        <v>44378</v>
      </c>
      <c r="G914" s="96">
        <v>44439</v>
      </c>
      <c r="H914" s="58" t="str">
        <f t="shared" si="32"/>
        <v>EVEN</v>
      </c>
      <c r="I914" s="106">
        <v>0</v>
      </c>
      <c r="J914" s="32" t="str">
        <f>UPPER(TEXT(F914,"mmm")) &amp; " - " &amp; UPPER(TEXT(G914,"mmm"))</f>
        <v>JUL - AUG</v>
      </c>
      <c r="K914" s="32" t="s">
        <v>1736</v>
      </c>
      <c r="L914" s="99" t="s">
        <v>3895</v>
      </c>
      <c r="M914" s="32" t="str">
        <f t="shared" si="30"/>
        <v>No</v>
      </c>
      <c r="N914" s="32">
        <f>G914 - F914</f>
        <v>61</v>
      </c>
      <c r="O914">
        <v>1</v>
      </c>
    </row>
    <row r="915" spans="1:15" x14ac:dyDescent="0.3">
      <c r="A915" s="53" t="s">
        <v>1497</v>
      </c>
      <c r="B915" s="61" t="s">
        <v>70</v>
      </c>
      <c r="C915" s="61" t="s">
        <v>12</v>
      </c>
      <c r="D915" s="53" t="s">
        <v>1738</v>
      </c>
      <c r="E915" s="53" t="s">
        <v>1739</v>
      </c>
      <c r="F915" s="96">
        <v>44409</v>
      </c>
      <c r="G915" s="96">
        <v>44439</v>
      </c>
      <c r="H915" s="58" t="str">
        <f t="shared" si="32"/>
        <v>ODD</v>
      </c>
      <c r="I915" s="106">
        <v>0</v>
      </c>
      <c r="J915" s="32" t="str">
        <f>UPPER(TEXT(F915,"mmm")) &amp; " - " &amp; UPPER(TEXT(G915,"mmm"))</f>
        <v>AUG - AUG</v>
      </c>
      <c r="K915" s="32" t="s">
        <v>1736</v>
      </c>
      <c r="L915" s="99" t="s">
        <v>3895</v>
      </c>
      <c r="M915" s="32" t="str">
        <f t="shared" si="30"/>
        <v>No</v>
      </c>
      <c r="N915" s="32">
        <f>G915 - F915</f>
        <v>30</v>
      </c>
      <c r="O915">
        <v>1</v>
      </c>
    </row>
    <row r="916" spans="1:15" x14ac:dyDescent="0.3">
      <c r="A916" s="53" t="s">
        <v>1529</v>
      </c>
      <c r="B916" s="61" t="s">
        <v>70</v>
      </c>
      <c r="C916" s="61" t="s">
        <v>12</v>
      </c>
      <c r="D916" s="53" t="s">
        <v>1740</v>
      </c>
      <c r="E916" s="53" t="s">
        <v>1187</v>
      </c>
      <c r="F916" s="96">
        <v>44391</v>
      </c>
      <c r="G916" s="96">
        <v>44422</v>
      </c>
      <c r="H916" s="58" t="str">
        <f t="shared" si="32"/>
        <v>EVEN</v>
      </c>
      <c r="I916" s="106">
        <v>7742</v>
      </c>
      <c r="J916" s="32" t="str">
        <f>UPPER(TEXT(F916,"mmm")) &amp; " - " &amp; UPPER(TEXT(G916,"mmm"))</f>
        <v>JUL - AUG</v>
      </c>
      <c r="K916" s="32" t="s">
        <v>1736</v>
      </c>
      <c r="L916" s="99" t="s">
        <v>3895</v>
      </c>
      <c r="M916" s="32" t="str">
        <f t="shared" si="30"/>
        <v>Yes</v>
      </c>
      <c r="N916" s="32">
        <f>G916 - F916</f>
        <v>31</v>
      </c>
      <c r="O916">
        <v>1</v>
      </c>
    </row>
    <row r="917" spans="1:15" x14ac:dyDescent="0.3">
      <c r="A917" s="53" t="s">
        <v>1741</v>
      </c>
      <c r="B917" s="61" t="s">
        <v>70</v>
      </c>
      <c r="C917" s="61" t="s">
        <v>12</v>
      </c>
      <c r="D917" s="53" t="s">
        <v>1007</v>
      </c>
      <c r="E917" s="53" t="s">
        <v>1742</v>
      </c>
      <c r="F917" s="96">
        <v>44378</v>
      </c>
      <c r="G917" s="96">
        <v>44409</v>
      </c>
      <c r="H917" s="58" t="str">
        <f t="shared" si="32"/>
        <v>EVEN</v>
      </c>
      <c r="I917" s="106">
        <v>0</v>
      </c>
      <c r="J917" s="32" t="str">
        <f>UPPER(TEXT(F917,"mmm")) &amp; " - " &amp; UPPER(TEXT(G917,"mmm"))</f>
        <v>JUL - AUG</v>
      </c>
      <c r="K917" s="32" t="s">
        <v>1736</v>
      </c>
      <c r="L917" s="99" t="s">
        <v>3895</v>
      </c>
      <c r="M917" s="32" t="str">
        <f t="shared" si="30"/>
        <v>No</v>
      </c>
      <c r="N917" s="32">
        <f>G917 - F917</f>
        <v>31</v>
      </c>
      <c r="O917">
        <v>1</v>
      </c>
    </row>
    <row r="918" spans="1:15" x14ac:dyDescent="0.3">
      <c r="A918" s="53" t="s">
        <v>879</v>
      </c>
      <c r="B918" s="61" t="s">
        <v>70</v>
      </c>
      <c r="C918" s="61" t="s">
        <v>12</v>
      </c>
      <c r="D918" s="53" t="s">
        <v>1007</v>
      </c>
      <c r="E918" s="53" t="s">
        <v>1016</v>
      </c>
      <c r="F918" s="96">
        <v>44440</v>
      </c>
      <c r="G918" s="96">
        <v>44469</v>
      </c>
      <c r="H918" s="58" t="str">
        <f t="shared" si="32"/>
        <v>ODD</v>
      </c>
      <c r="I918" s="106">
        <v>0</v>
      </c>
      <c r="J918" s="32" t="str">
        <f>UPPER(TEXT(F918,"mmm")) &amp; " - " &amp; UPPER(TEXT(G918,"mmm"))</f>
        <v>SEP - SEP</v>
      </c>
      <c r="K918" s="32" t="s">
        <v>1736</v>
      </c>
      <c r="L918" s="99" t="s">
        <v>3895</v>
      </c>
      <c r="M918" s="32" t="str">
        <f t="shared" si="30"/>
        <v>No</v>
      </c>
      <c r="N918" s="32">
        <f>G918 - F918</f>
        <v>29</v>
      </c>
      <c r="O918">
        <v>1</v>
      </c>
    </row>
    <row r="919" spans="1:15" x14ac:dyDescent="0.3">
      <c r="A919" s="53" t="s">
        <v>1365</v>
      </c>
      <c r="B919" s="61" t="s">
        <v>70</v>
      </c>
      <c r="C919" s="61" t="s">
        <v>12</v>
      </c>
      <c r="D919" s="53" t="s">
        <v>1737</v>
      </c>
      <c r="E919" s="53" t="s">
        <v>393</v>
      </c>
      <c r="F919" s="96">
        <v>44378</v>
      </c>
      <c r="G919" s="96">
        <v>44439</v>
      </c>
      <c r="H919" s="58" t="str">
        <f t="shared" ref="H919:H982" si="33">IF(AND(F919&gt;=DATE(2021,7,15), F919&lt;=DATE(2021,12,31)), "ODD", "EVEN")</f>
        <v>EVEN</v>
      </c>
      <c r="I919" s="106">
        <v>0</v>
      </c>
      <c r="J919" s="32" t="str">
        <f>UPPER(TEXT(F919,"mmm")) &amp; " - " &amp; UPPER(TEXT(G919,"mmm"))</f>
        <v>JUL - AUG</v>
      </c>
      <c r="K919" s="32" t="s">
        <v>1736</v>
      </c>
      <c r="L919" s="99" t="s">
        <v>3895</v>
      </c>
      <c r="M919" s="32" t="str">
        <f t="shared" si="30"/>
        <v>No</v>
      </c>
      <c r="N919" s="32">
        <f>G919 - F919</f>
        <v>61</v>
      </c>
      <c r="O919">
        <v>1</v>
      </c>
    </row>
    <row r="920" spans="1:15" x14ac:dyDescent="0.3">
      <c r="A920" s="53" t="s">
        <v>1743</v>
      </c>
      <c r="B920" s="61" t="s">
        <v>70</v>
      </c>
      <c r="C920" s="61" t="s">
        <v>12</v>
      </c>
      <c r="D920" s="53" t="s">
        <v>1740</v>
      </c>
      <c r="E920" s="53" t="s">
        <v>1744</v>
      </c>
      <c r="F920" s="96">
        <v>44391</v>
      </c>
      <c r="G920" s="96">
        <v>44422</v>
      </c>
      <c r="H920" s="58" t="str">
        <f t="shared" si="33"/>
        <v>EVEN</v>
      </c>
      <c r="I920" s="106">
        <v>10000</v>
      </c>
      <c r="J920" s="32" t="str">
        <f>UPPER(TEXT(F920,"mmm")) &amp; " - " &amp; UPPER(TEXT(G920,"mmm"))</f>
        <v>JUL - AUG</v>
      </c>
      <c r="K920" s="32" t="s">
        <v>1736</v>
      </c>
      <c r="L920" s="99" t="s">
        <v>3895</v>
      </c>
      <c r="M920" s="32" t="str">
        <f t="shared" si="30"/>
        <v>Yes</v>
      </c>
      <c r="N920" s="32">
        <f>G920 - F920</f>
        <v>31</v>
      </c>
      <c r="O920">
        <v>1</v>
      </c>
    </row>
    <row r="921" spans="1:15" x14ac:dyDescent="0.3">
      <c r="A921" s="53" t="s">
        <v>1745</v>
      </c>
      <c r="B921" s="61" t="s">
        <v>78</v>
      </c>
      <c r="C921" s="61" t="s">
        <v>12</v>
      </c>
      <c r="D921" s="53" t="s">
        <v>1746</v>
      </c>
      <c r="E921" s="53" t="s">
        <v>1747</v>
      </c>
      <c r="F921" s="96">
        <v>44378</v>
      </c>
      <c r="G921" s="96">
        <v>44437</v>
      </c>
      <c r="H921" s="58" t="str">
        <f t="shared" si="33"/>
        <v>EVEN</v>
      </c>
      <c r="I921" s="106">
        <v>5000</v>
      </c>
      <c r="J921" s="32" t="str">
        <f>UPPER(TEXT(F921,"mmm")) &amp; " - " &amp; UPPER(TEXT(G921,"mmm"))</f>
        <v>JUL - AUG</v>
      </c>
      <c r="K921" s="32" t="s">
        <v>1736</v>
      </c>
      <c r="L921" s="99" t="s">
        <v>3895</v>
      </c>
      <c r="M921" s="32" t="str">
        <f t="shared" si="30"/>
        <v>Yes</v>
      </c>
      <c r="N921" s="32">
        <f>G921 - F921</f>
        <v>59</v>
      </c>
      <c r="O921">
        <v>1</v>
      </c>
    </row>
    <row r="922" spans="1:15" x14ac:dyDescent="0.3">
      <c r="A922" s="53" t="s">
        <v>1024</v>
      </c>
      <c r="B922" s="61" t="s">
        <v>66</v>
      </c>
      <c r="C922" s="61" t="s">
        <v>12</v>
      </c>
      <c r="D922" s="53" t="s">
        <v>1748</v>
      </c>
      <c r="E922" s="53" t="s">
        <v>1749</v>
      </c>
      <c r="F922" s="96">
        <v>44411</v>
      </c>
      <c r="G922" s="96">
        <v>44432</v>
      </c>
      <c r="H922" s="58" t="str">
        <f t="shared" si="33"/>
        <v>ODD</v>
      </c>
      <c r="I922" s="106">
        <v>0</v>
      </c>
      <c r="J922" s="32" t="str">
        <f>UPPER(TEXT(F922,"mmm")) &amp; " - " &amp; UPPER(TEXT(G922,"mmm"))</f>
        <v>AUG - AUG</v>
      </c>
      <c r="K922" s="32" t="s">
        <v>1736</v>
      </c>
      <c r="L922" s="99" t="s">
        <v>3895</v>
      </c>
      <c r="M922" s="32" t="str">
        <f t="shared" si="30"/>
        <v>No</v>
      </c>
      <c r="N922" s="32">
        <f>G922 - F922</f>
        <v>21</v>
      </c>
      <c r="O922">
        <v>1</v>
      </c>
    </row>
    <row r="923" spans="1:15" x14ac:dyDescent="0.3">
      <c r="A923" s="53" t="s">
        <v>1109</v>
      </c>
      <c r="B923" s="61" t="s">
        <v>66</v>
      </c>
      <c r="C923" s="61" t="s">
        <v>12</v>
      </c>
      <c r="D923" s="53" t="s">
        <v>1007</v>
      </c>
      <c r="E923" s="53" t="s">
        <v>408</v>
      </c>
      <c r="F923" s="96">
        <v>44378</v>
      </c>
      <c r="G923" s="96">
        <v>44409</v>
      </c>
      <c r="H923" s="58" t="str">
        <f t="shared" si="33"/>
        <v>EVEN</v>
      </c>
      <c r="I923" s="106">
        <v>0</v>
      </c>
      <c r="J923" s="32" t="str">
        <f>UPPER(TEXT(F923,"mmm")) &amp; " - " &amp; UPPER(TEXT(G923,"mmm"))</f>
        <v>JUL - AUG</v>
      </c>
      <c r="K923" s="32" t="s">
        <v>1736</v>
      </c>
      <c r="L923" s="99" t="s">
        <v>3895</v>
      </c>
      <c r="M923" s="32" t="str">
        <f t="shared" si="30"/>
        <v>No</v>
      </c>
      <c r="N923" s="32">
        <f>G923 - F923</f>
        <v>31</v>
      </c>
      <c r="O923">
        <v>1</v>
      </c>
    </row>
    <row r="924" spans="1:15" x14ac:dyDescent="0.3">
      <c r="A924" s="53" t="s">
        <v>1750</v>
      </c>
      <c r="B924" s="61" t="s">
        <v>66</v>
      </c>
      <c r="C924" s="61" t="s">
        <v>12</v>
      </c>
      <c r="D924" s="53" t="s">
        <v>1751</v>
      </c>
      <c r="E924" s="53" t="s">
        <v>1554</v>
      </c>
      <c r="F924" s="96">
        <v>44390</v>
      </c>
      <c r="G924" s="96">
        <v>44452</v>
      </c>
      <c r="H924" s="58" t="str">
        <f t="shared" si="33"/>
        <v>EVEN</v>
      </c>
      <c r="I924" s="106">
        <v>1000</v>
      </c>
      <c r="J924" s="32" t="str">
        <f>UPPER(TEXT(F924,"mmm")) &amp; " - " &amp; UPPER(TEXT(G924,"mmm"))</f>
        <v>JUL - SEP</v>
      </c>
      <c r="K924" s="32" t="s">
        <v>1736</v>
      </c>
      <c r="L924" s="99" t="s">
        <v>3895</v>
      </c>
      <c r="M924" s="32" t="str">
        <f t="shared" si="30"/>
        <v>Yes</v>
      </c>
      <c r="N924" s="32">
        <f>G924 - F924</f>
        <v>62</v>
      </c>
      <c r="O924">
        <v>1</v>
      </c>
    </row>
    <row r="925" spans="1:15" x14ac:dyDescent="0.3">
      <c r="A925" s="53" t="s">
        <v>1752</v>
      </c>
      <c r="B925" s="61" t="s">
        <v>66</v>
      </c>
      <c r="C925" s="61" t="s">
        <v>12</v>
      </c>
      <c r="D925" s="53" t="s">
        <v>1753</v>
      </c>
      <c r="E925" s="53" t="s">
        <v>1754</v>
      </c>
      <c r="F925" s="96">
        <v>44393</v>
      </c>
      <c r="G925" s="96">
        <v>44418</v>
      </c>
      <c r="H925" s="58" t="str">
        <f t="shared" si="33"/>
        <v>ODD</v>
      </c>
      <c r="I925" s="106">
        <v>4110</v>
      </c>
      <c r="J925" s="32" t="str">
        <f>UPPER(TEXT(F925,"mmm")) &amp; " - " &amp; UPPER(TEXT(G925,"mmm"))</f>
        <v>JUL - AUG</v>
      </c>
      <c r="K925" s="32" t="s">
        <v>1736</v>
      </c>
      <c r="L925" s="99" t="s">
        <v>3895</v>
      </c>
      <c r="M925" s="32" t="str">
        <f t="shared" si="30"/>
        <v>Yes</v>
      </c>
      <c r="N925" s="32">
        <f>G925 - F925</f>
        <v>25</v>
      </c>
      <c r="O925">
        <v>1</v>
      </c>
    </row>
    <row r="926" spans="1:15" x14ac:dyDescent="0.3">
      <c r="A926" s="53" t="s">
        <v>1755</v>
      </c>
      <c r="B926" s="61" t="s">
        <v>66</v>
      </c>
      <c r="C926" s="61" t="s">
        <v>12</v>
      </c>
      <c r="D926" s="53" t="s">
        <v>1753</v>
      </c>
      <c r="E926" s="53" t="s">
        <v>1756</v>
      </c>
      <c r="F926" s="96">
        <v>44424</v>
      </c>
      <c r="G926" s="96">
        <v>44454</v>
      </c>
      <c r="H926" s="58" t="str">
        <f t="shared" si="33"/>
        <v>ODD</v>
      </c>
      <c r="I926" s="106">
        <v>2750</v>
      </c>
      <c r="J926" s="32" t="str">
        <f>UPPER(TEXT(F926,"mmm")) &amp; " - " &amp; UPPER(TEXT(G926,"mmm"))</f>
        <v>AUG - SEP</v>
      </c>
      <c r="K926" s="32" t="s">
        <v>1736</v>
      </c>
      <c r="L926" s="99" t="s">
        <v>3895</v>
      </c>
      <c r="M926" s="32" t="str">
        <f t="shared" si="30"/>
        <v>Yes</v>
      </c>
      <c r="N926" s="32">
        <f>G926 - F926</f>
        <v>30</v>
      </c>
      <c r="O926">
        <v>1</v>
      </c>
    </row>
    <row r="927" spans="1:15" x14ac:dyDescent="0.3">
      <c r="A927" s="53" t="s">
        <v>1584</v>
      </c>
      <c r="B927" s="61" t="s">
        <v>66</v>
      </c>
      <c r="C927" s="61" t="s">
        <v>12</v>
      </c>
      <c r="D927" s="53" t="s">
        <v>1757</v>
      </c>
      <c r="E927" s="53" t="s">
        <v>1758</v>
      </c>
      <c r="F927" s="96">
        <v>44393</v>
      </c>
      <c r="G927" s="96">
        <v>44434</v>
      </c>
      <c r="H927" s="58" t="str">
        <f t="shared" si="33"/>
        <v>ODD</v>
      </c>
      <c r="I927" s="106">
        <v>3000</v>
      </c>
      <c r="J927" s="32" t="str">
        <f>UPPER(TEXT(F927,"mmm")) &amp; " - " &amp; UPPER(TEXT(G927,"mmm"))</f>
        <v>JUL - AUG</v>
      </c>
      <c r="K927" s="32" t="s">
        <v>1736</v>
      </c>
      <c r="L927" s="99" t="s">
        <v>3895</v>
      </c>
      <c r="M927" s="32" t="str">
        <f t="shared" si="30"/>
        <v>Yes</v>
      </c>
      <c r="N927" s="32">
        <f>G927 - F927</f>
        <v>41</v>
      </c>
      <c r="O927">
        <v>1</v>
      </c>
    </row>
    <row r="928" spans="1:15" x14ac:dyDescent="0.3">
      <c r="A928" s="53" t="s">
        <v>792</v>
      </c>
      <c r="B928" s="61" t="s">
        <v>66</v>
      </c>
      <c r="C928" s="61" t="s">
        <v>12</v>
      </c>
      <c r="D928" s="53" t="s">
        <v>1759</v>
      </c>
      <c r="E928" s="53" t="s">
        <v>1760</v>
      </c>
      <c r="F928" s="96">
        <v>44409</v>
      </c>
      <c r="G928" s="96">
        <v>44481</v>
      </c>
      <c r="H928" s="58" t="str">
        <f t="shared" si="33"/>
        <v>ODD</v>
      </c>
      <c r="I928" s="106">
        <v>0</v>
      </c>
      <c r="J928" s="32" t="str">
        <f>UPPER(TEXT(F928,"mmm")) &amp; " - " &amp; UPPER(TEXT(G928,"mmm"))</f>
        <v>AUG - OCT</v>
      </c>
      <c r="K928" s="32" t="s">
        <v>1736</v>
      </c>
      <c r="L928" s="99" t="s">
        <v>3895</v>
      </c>
      <c r="M928" s="32" t="str">
        <f t="shared" si="30"/>
        <v>No</v>
      </c>
      <c r="N928" s="32">
        <f>G928 - F928</f>
        <v>72</v>
      </c>
      <c r="O928">
        <v>1</v>
      </c>
    </row>
    <row r="929" spans="1:15" x14ac:dyDescent="0.3">
      <c r="A929" s="53" t="s">
        <v>1761</v>
      </c>
      <c r="B929" s="61" t="s">
        <v>78</v>
      </c>
      <c r="C929" s="61" t="s">
        <v>12</v>
      </c>
      <c r="D929" s="53" t="s">
        <v>1762</v>
      </c>
      <c r="E929" s="54" t="s">
        <v>889</v>
      </c>
      <c r="F929" s="96">
        <v>44423</v>
      </c>
      <c r="G929" s="96">
        <v>44484</v>
      </c>
      <c r="H929" s="58" t="str">
        <f t="shared" si="33"/>
        <v>ODD</v>
      </c>
      <c r="I929" s="106">
        <v>1100</v>
      </c>
      <c r="J929" s="32" t="str">
        <f>UPPER(TEXT(F929,"mmm")) &amp; " - " &amp; UPPER(TEXT(G929,"mmm"))</f>
        <v>AUG - OCT</v>
      </c>
      <c r="K929" s="32" t="s">
        <v>1736</v>
      </c>
      <c r="L929" s="99" t="s">
        <v>3895</v>
      </c>
      <c r="M929" s="32" t="str">
        <f t="shared" si="30"/>
        <v>Yes</v>
      </c>
      <c r="N929" s="32">
        <f>G929 - F929</f>
        <v>61</v>
      </c>
      <c r="O929">
        <v>1</v>
      </c>
    </row>
    <row r="930" spans="1:15" x14ac:dyDescent="0.3">
      <c r="A930" s="53" t="s">
        <v>1763</v>
      </c>
      <c r="B930" s="61" t="s">
        <v>66</v>
      </c>
      <c r="C930" s="61" t="s">
        <v>12</v>
      </c>
      <c r="D930" s="53" t="s">
        <v>1764</v>
      </c>
      <c r="E930" s="53" t="s">
        <v>1765</v>
      </c>
      <c r="F930" s="96">
        <v>44438</v>
      </c>
      <c r="G930" s="96">
        <v>44469</v>
      </c>
      <c r="H930" s="58" t="str">
        <f t="shared" si="33"/>
        <v>ODD</v>
      </c>
      <c r="I930" s="106">
        <v>0</v>
      </c>
      <c r="J930" s="32" t="str">
        <f>UPPER(TEXT(F930,"mmm")) &amp; " - " &amp; UPPER(TEXT(G930,"mmm"))</f>
        <v>AUG - SEP</v>
      </c>
      <c r="K930" s="32" t="s">
        <v>1736</v>
      </c>
      <c r="L930" s="99" t="s">
        <v>3895</v>
      </c>
      <c r="M930" s="32" t="str">
        <f t="shared" si="30"/>
        <v>No</v>
      </c>
      <c r="N930" s="32">
        <f>G930 - F930</f>
        <v>31</v>
      </c>
      <c r="O930">
        <v>1</v>
      </c>
    </row>
    <row r="931" spans="1:15" x14ac:dyDescent="0.3">
      <c r="A931" s="53" t="s">
        <v>1489</v>
      </c>
      <c r="B931" s="61" t="s">
        <v>70</v>
      </c>
      <c r="C931" s="61" t="s">
        <v>12</v>
      </c>
      <c r="D931" s="53" t="s">
        <v>1112</v>
      </c>
      <c r="E931" s="53" t="s">
        <v>1766</v>
      </c>
      <c r="F931" s="96">
        <v>44470</v>
      </c>
      <c r="G931" s="96">
        <v>44500</v>
      </c>
      <c r="H931" s="58" t="str">
        <f t="shared" si="33"/>
        <v>ODD</v>
      </c>
      <c r="I931" s="106">
        <v>0</v>
      </c>
      <c r="J931" s="32" t="str">
        <f>UPPER(TEXT(F931,"mmm")) &amp; " - " &amp; UPPER(TEXT(G931,"mmm"))</f>
        <v>OCT - OCT</v>
      </c>
      <c r="K931" s="32" t="s">
        <v>1736</v>
      </c>
      <c r="L931" s="99" t="s">
        <v>3895</v>
      </c>
      <c r="M931" s="32" t="str">
        <f t="shared" si="30"/>
        <v>No</v>
      </c>
      <c r="N931" s="32">
        <f>G931 - F931</f>
        <v>30</v>
      </c>
      <c r="O931">
        <v>1</v>
      </c>
    </row>
    <row r="932" spans="1:15" x14ac:dyDescent="0.3">
      <c r="A932" s="53" t="s">
        <v>346</v>
      </c>
      <c r="B932" s="61" t="s">
        <v>70</v>
      </c>
      <c r="C932" s="61" t="s">
        <v>12</v>
      </c>
      <c r="D932" s="53" t="s">
        <v>1005</v>
      </c>
      <c r="E932" s="53" t="s">
        <v>1767</v>
      </c>
      <c r="F932" s="96">
        <v>44409</v>
      </c>
      <c r="G932" s="96">
        <v>44451</v>
      </c>
      <c r="H932" s="58" t="str">
        <f t="shared" si="33"/>
        <v>ODD</v>
      </c>
      <c r="I932" s="106">
        <v>0</v>
      </c>
      <c r="J932" s="32" t="str">
        <f>UPPER(TEXT(F932,"mmm")) &amp; " - " &amp; UPPER(TEXT(G932,"mmm"))</f>
        <v>AUG - SEP</v>
      </c>
      <c r="K932" s="32" t="s">
        <v>1736</v>
      </c>
      <c r="L932" s="99" t="s">
        <v>3895</v>
      </c>
      <c r="M932" s="32" t="str">
        <f t="shared" si="30"/>
        <v>No</v>
      </c>
      <c r="N932" s="32">
        <f>G932 - F932</f>
        <v>42</v>
      </c>
      <c r="O932">
        <v>1</v>
      </c>
    </row>
    <row r="933" spans="1:15" x14ac:dyDescent="0.3">
      <c r="A933" s="53" t="s">
        <v>1768</v>
      </c>
      <c r="B933" s="61" t="s">
        <v>70</v>
      </c>
      <c r="C933" s="61" t="s">
        <v>12</v>
      </c>
      <c r="D933" s="53" t="s">
        <v>1769</v>
      </c>
      <c r="E933" s="53" t="s">
        <v>998</v>
      </c>
      <c r="F933" s="96">
        <v>44440</v>
      </c>
      <c r="G933" s="96">
        <v>44499</v>
      </c>
      <c r="H933" s="58" t="str">
        <f t="shared" si="33"/>
        <v>ODD</v>
      </c>
      <c r="I933" s="106">
        <v>18000</v>
      </c>
      <c r="J933" s="32" t="str">
        <f>UPPER(TEXT(F933,"mmm")) &amp; " - " &amp; UPPER(TEXT(G933,"mmm"))</f>
        <v>SEP - OCT</v>
      </c>
      <c r="K933" s="32" t="s">
        <v>1736</v>
      </c>
      <c r="L933" s="99" t="s">
        <v>3895</v>
      </c>
      <c r="M933" s="32" t="str">
        <f t="shared" si="30"/>
        <v>Yes</v>
      </c>
      <c r="N933" s="32">
        <f>G933 - F933</f>
        <v>59</v>
      </c>
      <c r="O933">
        <v>1</v>
      </c>
    </row>
    <row r="934" spans="1:15" x14ac:dyDescent="0.3">
      <c r="A934" s="53" t="s">
        <v>1722</v>
      </c>
      <c r="B934" s="61" t="s">
        <v>70</v>
      </c>
      <c r="C934" s="61" t="s">
        <v>12</v>
      </c>
      <c r="D934" s="53" t="s">
        <v>1007</v>
      </c>
      <c r="E934" s="53" t="s">
        <v>1311</v>
      </c>
      <c r="F934" s="96">
        <v>44440</v>
      </c>
      <c r="G934" s="96">
        <v>44470</v>
      </c>
      <c r="H934" s="58" t="str">
        <f t="shared" si="33"/>
        <v>ODD</v>
      </c>
      <c r="I934" s="106">
        <v>0</v>
      </c>
      <c r="J934" s="32" t="str">
        <f>UPPER(TEXT(F934,"mmm")) &amp; " - " &amp; UPPER(TEXT(G934,"mmm"))</f>
        <v>SEP - OCT</v>
      </c>
      <c r="K934" s="32" t="s">
        <v>1736</v>
      </c>
      <c r="L934" s="99" t="s">
        <v>3895</v>
      </c>
      <c r="M934" s="32" t="str">
        <f t="shared" si="30"/>
        <v>No</v>
      </c>
      <c r="N934" s="32">
        <f>G934 - F934</f>
        <v>30</v>
      </c>
      <c r="O934">
        <v>1</v>
      </c>
    </row>
    <row r="935" spans="1:15" x14ac:dyDescent="0.3">
      <c r="A935" s="53" t="s">
        <v>1307</v>
      </c>
      <c r="B935" s="61" t="s">
        <v>66</v>
      </c>
      <c r="C935" s="61" t="s">
        <v>12</v>
      </c>
      <c r="D935" s="53" t="s">
        <v>1770</v>
      </c>
      <c r="E935" s="53" t="s">
        <v>1771</v>
      </c>
      <c r="F935" s="96">
        <v>44378</v>
      </c>
      <c r="G935" s="96">
        <v>44470</v>
      </c>
      <c r="H935" s="58" t="str">
        <f t="shared" si="33"/>
        <v>EVEN</v>
      </c>
      <c r="I935" s="106">
        <v>0</v>
      </c>
      <c r="J935" s="32" t="str">
        <f>UPPER(TEXT(F935,"mmm")) &amp; " - " &amp; UPPER(TEXT(G935,"mmm"))</f>
        <v>JUL - OCT</v>
      </c>
      <c r="K935" s="32" t="s">
        <v>1736</v>
      </c>
      <c r="L935" s="99" t="s">
        <v>3895</v>
      </c>
      <c r="M935" s="32" t="str">
        <f t="shared" si="30"/>
        <v>No</v>
      </c>
      <c r="N935" s="32">
        <f>G935 - F935</f>
        <v>92</v>
      </c>
      <c r="O935">
        <v>1</v>
      </c>
    </row>
    <row r="936" spans="1:15" x14ac:dyDescent="0.3">
      <c r="A936" s="53" t="s">
        <v>1772</v>
      </c>
      <c r="B936" s="61" t="s">
        <v>66</v>
      </c>
      <c r="C936" s="61" t="s">
        <v>12</v>
      </c>
      <c r="D936" s="53" t="s">
        <v>1773</v>
      </c>
      <c r="E936" s="53" t="s">
        <v>1438</v>
      </c>
      <c r="F936" s="96">
        <v>44455</v>
      </c>
      <c r="G936" s="96">
        <v>44516</v>
      </c>
      <c r="H936" s="58" t="str">
        <f t="shared" si="33"/>
        <v>ODD</v>
      </c>
      <c r="I936" s="106">
        <v>2750</v>
      </c>
      <c r="J936" s="32" t="str">
        <f>UPPER(TEXT(F936,"mmm")) &amp; " - " &amp; UPPER(TEXT(G936,"mmm"))</f>
        <v>SEP - NOV</v>
      </c>
      <c r="K936" s="32" t="s">
        <v>1736</v>
      </c>
      <c r="L936" s="99" t="s">
        <v>3895</v>
      </c>
      <c r="M936" s="32" t="str">
        <f t="shared" si="30"/>
        <v>Yes</v>
      </c>
      <c r="N936" s="32">
        <f>G936 - F936</f>
        <v>61</v>
      </c>
      <c r="O936">
        <v>1</v>
      </c>
    </row>
    <row r="937" spans="1:15" x14ac:dyDescent="0.3">
      <c r="A937" s="53" t="s">
        <v>1080</v>
      </c>
      <c r="B937" s="61" t="s">
        <v>66</v>
      </c>
      <c r="C937" s="61" t="s">
        <v>12</v>
      </c>
      <c r="D937" s="53" t="s">
        <v>1774</v>
      </c>
      <c r="E937" s="53" t="s">
        <v>408</v>
      </c>
      <c r="F937" s="96">
        <v>44419</v>
      </c>
      <c r="G937" s="96">
        <v>44511</v>
      </c>
      <c r="H937" s="58" t="str">
        <f t="shared" si="33"/>
        <v>ODD</v>
      </c>
      <c r="I937" s="106">
        <v>0</v>
      </c>
      <c r="J937" s="32" t="str">
        <f>UPPER(TEXT(F937,"mmm")) &amp; " - " &amp; UPPER(TEXT(G937,"mmm"))</f>
        <v>AUG - NOV</v>
      </c>
      <c r="K937" s="32" t="s">
        <v>1736</v>
      </c>
      <c r="L937" s="99" t="s">
        <v>3895</v>
      </c>
      <c r="M937" s="32" t="str">
        <f t="shared" si="30"/>
        <v>No</v>
      </c>
      <c r="N937" s="32">
        <f>G937 - F937</f>
        <v>92</v>
      </c>
      <c r="O937">
        <v>1</v>
      </c>
    </row>
    <row r="938" spans="1:15" x14ac:dyDescent="0.3">
      <c r="A938" s="53" t="s">
        <v>1775</v>
      </c>
      <c r="B938" s="61" t="s">
        <v>66</v>
      </c>
      <c r="C938" s="61" t="s">
        <v>12</v>
      </c>
      <c r="D938" s="53" t="s">
        <v>1776</v>
      </c>
      <c r="E938" s="53" t="s">
        <v>1777</v>
      </c>
      <c r="F938" s="96">
        <v>44409</v>
      </c>
      <c r="G938" s="96">
        <v>44439</v>
      </c>
      <c r="H938" s="58" t="str">
        <f t="shared" si="33"/>
        <v>ODD</v>
      </c>
      <c r="I938" s="106">
        <v>0</v>
      </c>
      <c r="J938" s="32" t="str">
        <f>UPPER(TEXT(F938,"mmm")) &amp; " - " &amp; UPPER(TEXT(G938,"mmm"))</f>
        <v>AUG - AUG</v>
      </c>
      <c r="K938" s="32" t="s">
        <v>1736</v>
      </c>
      <c r="L938" s="99" t="s">
        <v>3895</v>
      </c>
      <c r="M938" s="32" t="str">
        <f t="shared" si="30"/>
        <v>No</v>
      </c>
      <c r="N938" s="32">
        <f>G938 - F938</f>
        <v>30</v>
      </c>
      <c r="O938">
        <v>1</v>
      </c>
    </row>
    <row r="939" spans="1:15" x14ac:dyDescent="0.3">
      <c r="A939" s="53" t="s">
        <v>1158</v>
      </c>
      <c r="B939" s="61" t="s">
        <v>70</v>
      </c>
      <c r="C939" s="61" t="s">
        <v>12</v>
      </c>
      <c r="D939" s="53" t="s">
        <v>1778</v>
      </c>
      <c r="E939" s="53" t="s">
        <v>1779</v>
      </c>
      <c r="F939" s="96">
        <v>44378</v>
      </c>
      <c r="G939" s="96">
        <v>44408</v>
      </c>
      <c r="H939" s="58" t="str">
        <f t="shared" si="33"/>
        <v>EVEN</v>
      </c>
      <c r="I939" s="106">
        <v>0</v>
      </c>
      <c r="J939" s="32" t="str">
        <f>UPPER(TEXT(F939,"mmm")) &amp; " - " &amp; UPPER(TEXT(G939,"mmm"))</f>
        <v>JUL - JUL</v>
      </c>
      <c r="K939" s="32" t="s">
        <v>1736</v>
      </c>
      <c r="L939" s="61" t="s">
        <v>895</v>
      </c>
      <c r="M939" s="32" t="str">
        <f t="shared" si="30"/>
        <v>No</v>
      </c>
      <c r="N939" s="32">
        <f>G939 - F939</f>
        <v>30</v>
      </c>
      <c r="O939">
        <v>1</v>
      </c>
    </row>
    <row r="940" spans="1:15" x14ac:dyDescent="0.3">
      <c r="A940" s="53" t="s">
        <v>725</v>
      </c>
      <c r="B940" s="61" t="s">
        <v>70</v>
      </c>
      <c r="C940" s="61" t="s">
        <v>12</v>
      </c>
      <c r="D940" s="53" t="s">
        <v>1780</v>
      </c>
      <c r="E940" s="53" t="s">
        <v>1781</v>
      </c>
      <c r="F940" s="96">
        <v>44378</v>
      </c>
      <c r="G940" s="96">
        <v>44408</v>
      </c>
      <c r="H940" s="58" t="str">
        <f t="shared" si="33"/>
        <v>EVEN</v>
      </c>
      <c r="I940" s="106">
        <v>0</v>
      </c>
      <c r="J940" s="32" t="str">
        <f>UPPER(TEXT(F940,"mmm")) &amp; " - " &amp; UPPER(TEXT(G940,"mmm"))</f>
        <v>JUL - JUL</v>
      </c>
      <c r="K940" s="32" t="s">
        <v>1736</v>
      </c>
      <c r="L940" s="61" t="s">
        <v>895</v>
      </c>
      <c r="M940" s="32" t="str">
        <f t="shared" si="30"/>
        <v>No</v>
      </c>
      <c r="N940" s="32">
        <f>G940 - F940</f>
        <v>30</v>
      </c>
      <c r="O940">
        <v>1</v>
      </c>
    </row>
    <row r="941" spans="1:15" x14ac:dyDescent="0.3">
      <c r="A941" s="53" t="s">
        <v>1782</v>
      </c>
      <c r="B941" s="61" t="s">
        <v>66</v>
      </c>
      <c r="C941" s="61" t="s">
        <v>12</v>
      </c>
      <c r="D941" s="53" t="s">
        <v>1783</v>
      </c>
      <c r="E941" s="53" t="s">
        <v>393</v>
      </c>
      <c r="F941" s="96">
        <v>44396</v>
      </c>
      <c r="G941" s="96">
        <v>44480</v>
      </c>
      <c r="H941" s="58" t="str">
        <f t="shared" si="33"/>
        <v>ODD</v>
      </c>
      <c r="I941" s="106">
        <v>1000</v>
      </c>
      <c r="J941" s="32" t="str">
        <f>UPPER(TEXT(F941,"mmm")) &amp; " - " &amp; UPPER(TEXT(G941,"mmm"))</f>
        <v>JUL - OCT</v>
      </c>
      <c r="K941" s="32" t="s">
        <v>1736</v>
      </c>
      <c r="L941" s="99" t="s">
        <v>3895</v>
      </c>
      <c r="M941" s="32" t="str">
        <f t="shared" si="30"/>
        <v>Yes</v>
      </c>
      <c r="N941" s="32">
        <f>G941 - F941</f>
        <v>84</v>
      </c>
      <c r="O941">
        <v>1</v>
      </c>
    </row>
    <row r="942" spans="1:15" x14ac:dyDescent="0.3">
      <c r="A942" s="53" t="s">
        <v>370</v>
      </c>
      <c r="B942" s="61" t="s">
        <v>70</v>
      </c>
      <c r="C942" s="61" t="s">
        <v>12</v>
      </c>
      <c r="D942" s="53" t="s">
        <v>1784</v>
      </c>
      <c r="E942" s="53" t="s">
        <v>1785</v>
      </c>
      <c r="F942" s="96">
        <v>44391</v>
      </c>
      <c r="G942" s="96">
        <v>44422</v>
      </c>
      <c r="H942" s="58" t="str">
        <f t="shared" si="33"/>
        <v>EVEN</v>
      </c>
      <c r="I942" s="106">
        <v>10000</v>
      </c>
      <c r="J942" s="32" t="str">
        <f>UPPER(TEXT(F942,"mmm")) &amp; " - " &amp; UPPER(TEXT(G942,"mmm"))</f>
        <v>JUL - AUG</v>
      </c>
      <c r="K942" s="32" t="s">
        <v>1736</v>
      </c>
      <c r="L942" s="99" t="s">
        <v>3895</v>
      </c>
      <c r="M942" s="32" t="str">
        <f t="shared" si="30"/>
        <v>Yes</v>
      </c>
      <c r="N942" s="32">
        <f>G942 - F942</f>
        <v>31</v>
      </c>
      <c r="O942">
        <v>1</v>
      </c>
    </row>
    <row r="943" spans="1:15" x14ac:dyDescent="0.3">
      <c r="A943" s="53" t="s">
        <v>883</v>
      </c>
      <c r="B943" s="61" t="s">
        <v>70</v>
      </c>
      <c r="C943" s="61" t="s">
        <v>12</v>
      </c>
      <c r="D943" s="53" t="s">
        <v>1786</v>
      </c>
      <c r="E943" s="53" t="s">
        <v>1787</v>
      </c>
      <c r="F943" s="96">
        <v>44448</v>
      </c>
      <c r="G943" s="96">
        <v>44477</v>
      </c>
      <c r="H943" s="58" t="str">
        <f t="shared" si="33"/>
        <v>ODD</v>
      </c>
      <c r="I943" s="106">
        <v>10000</v>
      </c>
      <c r="J943" s="32" t="str">
        <f>UPPER(TEXT(F943,"mmm")) &amp; " - " &amp; UPPER(TEXT(G943,"mmm"))</f>
        <v>SEP - OCT</v>
      </c>
      <c r="K943" s="32" t="s">
        <v>1736</v>
      </c>
      <c r="L943" s="99" t="s">
        <v>3895</v>
      </c>
      <c r="M943" s="32" t="str">
        <f t="shared" si="30"/>
        <v>Yes</v>
      </c>
      <c r="N943" s="32">
        <f>G943 - F943</f>
        <v>29</v>
      </c>
      <c r="O943">
        <v>1</v>
      </c>
    </row>
    <row r="944" spans="1:15" x14ac:dyDescent="0.3">
      <c r="A944" s="53" t="s">
        <v>673</v>
      </c>
      <c r="B944" s="61" t="s">
        <v>70</v>
      </c>
      <c r="C944" s="61" t="s">
        <v>12</v>
      </c>
      <c r="D944" s="53" t="s">
        <v>1788</v>
      </c>
      <c r="E944" s="53" t="s">
        <v>1789</v>
      </c>
      <c r="F944" s="96">
        <v>44436</v>
      </c>
      <c r="G944" s="96">
        <v>44467</v>
      </c>
      <c r="H944" s="58" t="str">
        <f t="shared" si="33"/>
        <v>ODD</v>
      </c>
      <c r="I944" s="106">
        <v>8000</v>
      </c>
      <c r="J944" s="32" t="str">
        <f>UPPER(TEXT(F944,"mmm")) &amp; " - " &amp; UPPER(TEXT(G944,"mmm"))</f>
        <v>AUG - SEP</v>
      </c>
      <c r="K944" s="32" t="s">
        <v>1736</v>
      </c>
      <c r="L944" s="99" t="s">
        <v>3895</v>
      </c>
      <c r="M944" s="32" t="str">
        <f t="shared" si="30"/>
        <v>Yes</v>
      </c>
      <c r="N944" s="32">
        <f>G944 - F944</f>
        <v>31</v>
      </c>
      <c r="O944">
        <v>1</v>
      </c>
    </row>
    <row r="945" spans="1:15" x14ac:dyDescent="0.3">
      <c r="A945" s="53" t="s">
        <v>61</v>
      </c>
      <c r="B945" s="61" t="s">
        <v>70</v>
      </c>
      <c r="C945" s="61" t="s">
        <v>12</v>
      </c>
      <c r="D945" s="53" t="s">
        <v>1790</v>
      </c>
      <c r="E945" s="53" t="s">
        <v>1791</v>
      </c>
      <c r="F945" s="96">
        <v>44440</v>
      </c>
      <c r="G945" s="96">
        <v>44545</v>
      </c>
      <c r="H945" s="58" t="str">
        <f t="shared" si="33"/>
        <v>ODD</v>
      </c>
      <c r="I945" s="106">
        <v>0</v>
      </c>
      <c r="J945" s="32" t="str">
        <f>UPPER(TEXT(F945,"mmm")) &amp; " - " &amp; UPPER(TEXT(G945,"mmm"))</f>
        <v>SEP - DEC</v>
      </c>
      <c r="K945" s="32" t="s">
        <v>1736</v>
      </c>
      <c r="L945" s="99" t="s">
        <v>3895</v>
      </c>
      <c r="M945" s="32" t="str">
        <f t="shared" si="30"/>
        <v>No</v>
      </c>
      <c r="N945" s="32">
        <f>G945 - F945</f>
        <v>105</v>
      </c>
      <c r="O945">
        <v>1</v>
      </c>
    </row>
    <row r="946" spans="1:15" x14ac:dyDescent="0.3">
      <c r="A946" s="53" t="s">
        <v>1792</v>
      </c>
      <c r="B946" s="61" t="s">
        <v>78</v>
      </c>
      <c r="C946" s="61" t="s">
        <v>12</v>
      </c>
      <c r="D946" s="53" t="s">
        <v>1793</v>
      </c>
      <c r="E946" s="53" t="s">
        <v>1794</v>
      </c>
      <c r="F946" s="96">
        <v>44403</v>
      </c>
      <c r="G946" s="96">
        <v>44465</v>
      </c>
      <c r="H946" s="58" t="str">
        <f t="shared" si="33"/>
        <v>ODD</v>
      </c>
      <c r="I946" s="106">
        <v>0</v>
      </c>
      <c r="J946" s="32" t="str">
        <f>UPPER(TEXT(F946,"mmm")) &amp; " - " &amp; UPPER(TEXT(G946,"mmm"))</f>
        <v>JUL - SEP</v>
      </c>
      <c r="K946" s="32" t="s">
        <v>1736</v>
      </c>
      <c r="L946" s="99" t="s">
        <v>3895</v>
      </c>
      <c r="M946" s="32" t="str">
        <f t="shared" si="30"/>
        <v>No</v>
      </c>
      <c r="N946" s="32">
        <f>G946 - F946</f>
        <v>62</v>
      </c>
      <c r="O946">
        <v>1</v>
      </c>
    </row>
    <row r="947" spans="1:15" x14ac:dyDescent="0.3">
      <c r="A947" s="53" t="s">
        <v>1288</v>
      </c>
      <c r="B947" s="61" t="s">
        <v>66</v>
      </c>
      <c r="C947" s="61" t="s">
        <v>12</v>
      </c>
      <c r="D947" s="53" t="s">
        <v>1795</v>
      </c>
      <c r="E947" s="53" t="s">
        <v>1796</v>
      </c>
      <c r="F947" s="96">
        <v>44501</v>
      </c>
      <c r="G947" s="96">
        <v>44545</v>
      </c>
      <c r="H947" s="58" t="str">
        <f t="shared" si="33"/>
        <v>ODD</v>
      </c>
      <c r="I947" s="106">
        <v>0</v>
      </c>
      <c r="J947" s="32" t="str">
        <f>UPPER(TEXT(F947,"mmm")) &amp; " - " &amp; UPPER(TEXT(G947,"mmm"))</f>
        <v>NOV - DEC</v>
      </c>
      <c r="K947" s="32" t="s">
        <v>1736</v>
      </c>
      <c r="L947" s="99" t="s">
        <v>3895</v>
      </c>
      <c r="M947" s="32" t="str">
        <f t="shared" si="30"/>
        <v>No</v>
      </c>
      <c r="N947" s="32">
        <f>G947 - F947</f>
        <v>44</v>
      </c>
      <c r="O947">
        <v>1</v>
      </c>
    </row>
    <row r="948" spans="1:15" x14ac:dyDescent="0.3">
      <c r="A948" s="53" t="s">
        <v>1797</v>
      </c>
      <c r="B948" s="61" t="s">
        <v>66</v>
      </c>
      <c r="C948" s="61" t="s">
        <v>12</v>
      </c>
      <c r="D948" s="53" t="s">
        <v>1798</v>
      </c>
      <c r="E948" s="53" t="s">
        <v>1542</v>
      </c>
      <c r="F948" s="96">
        <v>44425</v>
      </c>
      <c r="G948" s="96">
        <v>44517</v>
      </c>
      <c r="H948" s="58" t="str">
        <f t="shared" si="33"/>
        <v>ODD</v>
      </c>
      <c r="I948" s="106">
        <v>0</v>
      </c>
      <c r="J948" s="32" t="str">
        <f>UPPER(TEXT(F948,"mmm")) &amp; " - " &amp; UPPER(TEXT(G948,"mmm"))</f>
        <v>AUG - NOV</v>
      </c>
      <c r="K948" s="32" t="s">
        <v>1736</v>
      </c>
      <c r="L948" s="99" t="s">
        <v>3895</v>
      </c>
      <c r="M948" s="32" t="str">
        <f t="shared" si="30"/>
        <v>No</v>
      </c>
      <c r="N948" s="32">
        <f>G948 - F948</f>
        <v>92</v>
      </c>
      <c r="O948">
        <v>1</v>
      </c>
    </row>
    <row r="949" spans="1:15" x14ac:dyDescent="0.3">
      <c r="A949" s="53" t="s">
        <v>1799</v>
      </c>
      <c r="B949" s="61" t="s">
        <v>66</v>
      </c>
      <c r="C949" s="61" t="s">
        <v>12</v>
      </c>
      <c r="D949" s="53" t="s">
        <v>1800</v>
      </c>
      <c r="E949" s="53" t="s">
        <v>1801</v>
      </c>
      <c r="F949" s="96">
        <v>44445</v>
      </c>
      <c r="G949" s="96">
        <v>44536</v>
      </c>
      <c r="H949" s="58" t="str">
        <f t="shared" si="33"/>
        <v>ODD</v>
      </c>
      <c r="I949" s="106">
        <v>0</v>
      </c>
      <c r="J949" s="32" t="str">
        <f>UPPER(TEXT(F949,"mmm")) &amp; " - " &amp; UPPER(TEXT(G949,"mmm"))</f>
        <v>SEP - DEC</v>
      </c>
      <c r="K949" s="32" t="s">
        <v>1736</v>
      </c>
      <c r="L949" s="99" t="s">
        <v>3895</v>
      </c>
      <c r="M949" s="32" t="str">
        <f t="shared" si="30"/>
        <v>No</v>
      </c>
      <c r="N949" s="32">
        <f>G949 - F949</f>
        <v>91</v>
      </c>
      <c r="O949">
        <v>1</v>
      </c>
    </row>
    <row r="950" spans="1:15" x14ac:dyDescent="0.3">
      <c r="A950" s="53" t="s">
        <v>1552</v>
      </c>
      <c r="B950" s="61" t="s">
        <v>66</v>
      </c>
      <c r="C950" s="61" t="s">
        <v>12</v>
      </c>
      <c r="D950" s="53" t="s">
        <v>1802</v>
      </c>
      <c r="E950" s="53" t="s">
        <v>393</v>
      </c>
      <c r="F950" s="96">
        <v>44449</v>
      </c>
      <c r="G950" s="96">
        <v>44510</v>
      </c>
      <c r="H950" s="58" t="str">
        <f t="shared" si="33"/>
        <v>ODD</v>
      </c>
      <c r="I950" s="106">
        <v>1000</v>
      </c>
      <c r="J950" s="32" t="str">
        <f>UPPER(TEXT(F950,"mmm")) &amp; " - " &amp; UPPER(TEXT(G950,"mmm"))</f>
        <v>SEP - NOV</v>
      </c>
      <c r="K950" s="32" t="s">
        <v>1736</v>
      </c>
      <c r="L950" s="99" t="s">
        <v>3895</v>
      </c>
      <c r="M950" s="32" t="str">
        <f t="shared" si="30"/>
        <v>Yes</v>
      </c>
      <c r="N950" s="32">
        <f>G950 - F950</f>
        <v>61</v>
      </c>
      <c r="O950">
        <v>1</v>
      </c>
    </row>
    <row r="951" spans="1:15" x14ac:dyDescent="0.3">
      <c r="A951" s="53" t="s">
        <v>1407</v>
      </c>
      <c r="B951" s="61" t="s">
        <v>66</v>
      </c>
      <c r="C951" s="61" t="s">
        <v>12</v>
      </c>
      <c r="D951" s="53" t="s">
        <v>1803</v>
      </c>
      <c r="E951" s="53" t="s">
        <v>1804</v>
      </c>
      <c r="F951" s="96">
        <v>44426</v>
      </c>
      <c r="G951" s="96">
        <v>44454</v>
      </c>
      <c r="H951" s="58" t="str">
        <f t="shared" si="33"/>
        <v>ODD</v>
      </c>
      <c r="I951" s="106">
        <v>0</v>
      </c>
      <c r="J951" s="32" t="str">
        <f>UPPER(TEXT(F951,"mmm")) &amp; " - " &amp; UPPER(TEXT(G951,"mmm"))</f>
        <v>AUG - SEP</v>
      </c>
      <c r="K951" s="32" t="s">
        <v>1736</v>
      </c>
      <c r="L951" s="99" t="s">
        <v>3895</v>
      </c>
      <c r="M951" s="32" t="str">
        <f t="shared" si="30"/>
        <v>No</v>
      </c>
      <c r="N951" s="32">
        <f>G951 - F951</f>
        <v>28</v>
      </c>
      <c r="O951">
        <v>1</v>
      </c>
    </row>
    <row r="952" spans="1:15" x14ac:dyDescent="0.3">
      <c r="A952" s="53" t="s">
        <v>1268</v>
      </c>
      <c r="B952" s="61" t="s">
        <v>66</v>
      </c>
      <c r="C952" s="61" t="s">
        <v>12</v>
      </c>
      <c r="D952" s="53" t="s">
        <v>1805</v>
      </c>
      <c r="E952" s="53" t="s">
        <v>1806</v>
      </c>
      <c r="F952" s="96">
        <v>44419</v>
      </c>
      <c r="G952" s="96">
        <v>44486</v>
      </c>
      <c r="H952" s="58" t="str">
        <f t="shared" si="33"/>
        <v>ODD</v>
      </c>
      <c r="I952" s="106">
        <v>0</v>
      </c>
      <c r="J952" s="32" t="str">
        <f>UPPER(TEXT(F952,"mmm")) &amp; " - " &amp; UPPER(TEXT(G952,"mmm"))</f>
        <v>AUG - OCT</v>
      </c>
      <c r="K952" s="32" t="s">
        <v>1736</v>
      </c>
      <c r="L952" s="99" t="s">
        <v>3895</v>
      </c>
      <c r="M952" s="32" t="str">
        <f t="shared" si="30"/>
        <v>No</v>
      </c>
      <c r="N952" s="32">
        <f>G952 - F952</f>
        <v>67</v>
      </c>
      <c r="O952">
        <v>1</v>
      </c>
    </row>
    <row r="953" spans="1:15" x14ac:dyDescent="0.3">
      <c r="A953" s="53" t="s">
        <v>1080</v>
      </c>
      <c r="B953" s="61" t="s">
        <v>66</v>
      </c>
      <c r="C953" s="61" t="s">
        <v>12</v>
      </c>
      <c r="D953" s="53" t="s">
        <v>260</v>
      </c>
      <c r="E953" s="53" t="s">
        <v>1807</v>
      </c>
      <c r="F953" s="96">
        <v>44436</v>
      </c>
      <c r="G953" s="96">
        <v>44462</v>
      </c>
      <c r="H953" s="58" t="str">
        <f t="shared" si="33"/>
        <v>ODD</v>
      </c>
      <c r="I953" s="106">
        <v>0</v>
      </c>
      <c r="J953" s="32" t="str">
        <f>UPPER(TEXT(F953,"mmm")) &amp; " - " &amp; UPPER(TEXT(G953,"mmm"))</f>
        <v>AUG - SEP</v>
      </c>
      <c r="K953" s="32" t="s">
        <v>1736</v>
      </c>
      <c r="L953" s="99" t="s">
        <v>3895</v>
      </c>
      <c r="M953" s="32" t="str">
        <f t="shared" si="30"/>
        <v>No</v>
      </c>
      <c r="N953" s="32">
        <f>G953 - F953</f>
        <v>26</v>
      </c>
      <c r="O953">
        <v>1</v>
      </c>
    </row>
    <row r="954" spans="1:15" x14ac:dyDescent="0.3">
      <c r="A954" s="53" t="s">
        <v>960</v>
      </c>
      <c r="B954" s="61" t="s">
        <v>66</v>
      </c>
      <c r="C954" s="61" t="s">
        <v>12</v>
      </c>
      <c r="D954" s="53" t="s">
        <v>1808</v>
      </c>
      <c r="E954" s="53" t="s">
        <v>986</v>
      </c>
      <c r="F954" s="96">
        <v>44457</v>
      </c>
      <c r="G954" s="96">
        <v>44518</v>
      </c>
      <c r="H954" s="58" t="str">
        <f t="shared" si="33"/>
        <v>ODD</v>
      </c>
      <c r="I954" s="106">
        <v>10000</v>
      </c>
      <c r="J954" s="32" t="str">
        <f>UPPER(TEXT(F954,"mmm")) &amp; " - " &amp; UPPER(TEXT(G954,"mmm"))</f>
        <v>SEP - NOV</v>
      </c>
      <c r="K954" s="32" t="s">
        <v>1736</v>
      </c>
      <c r="L954" s="99" t="s">
        <v>3895</v>
      </c>
      <c r="M954" s="32" t="str">
        <f t="shared" si="30"/>
        <v>Yes</v>
      </c>
      <c r="N954" s="32">
        <f>G954 - F954</f>
        <v>61</v>
      </c>
      <c r="O954">
        <v>1</v>
      </c>
    </row>
    <row r="955" spans="1:15" x14ac:dyDescent="0.3">
      <c r="A955" s="53" t="s">
        <v>1809</v>
      </c>
      <c r="B955" s="61" t="s">
        <v>66</v>
      </c>
      <c r="C955" s="61" t="s">
        <v>12</v>
      </c>
      <c r="D955" s="53" t="s">
        <v>1257</v>
      </c>
      <c r="E955" s="53" t="s">
        <v>927</v>
      </c>
      <c r="F955" s="96">
        <v>44454</v>
      </c>
      <c r="G955" s="96">
        <v>44545</v>
      </c>
      <c r="H955" s="58" t="str">
        <f t="shared" si="33"/>
        <v>ODD</v>
      </c>
      <c r="I955" s="106">
        <v>0</v>
      </c>
      <c r="J955" s="32" t="str">
        <f>UPPER(TEXT(F955,"mmm")) &amp; " - " &amp; UPPER(TEXT(G955,"mmm"))</f>
        <v>SEP - DEC</v>
      </c>
      <c r="K955" s="32" t="s">
        <v>1736</v>
      </c>
      <c r="L955" s="99" t="s">
        <v>3895</v>
      </c>
      <c r="M955" s="32" t="str">
        <f t="shared" si="30"/>
        <v>No</v>
      </c>
      <c r="N955" s="32">
        <f>G955 - F955</f>
        <v>91</v>
      </c>
      <c r="O955">
        <v>1</v>
      </c>
    </row>
    <row r="956" spans="1:15" x14ac:dyDescent="0.3">
      <c r="A956" s="53" t="s">
        <v>1622</v>
      </c>
      <c r="B956" s="61" t="s">
        <v>66</v>
      </c>
      <c r="C956" s="61" t="s">
        <v>12</v>
      </c>
      <c r="D956" s="53" t="s">
        <v>1810</v>
      </c>
      <c r="E956" s="53" t="s">
        <v>927</v>
      </c>
      <c r="F956" s="96">
        <v>44425</v>
      </c>
      <c r="G956" s="96">
        <v>44477</v>
      </c>
      <c r="H956" s="58" t="str">
        <f t="shared" si="33"/>
        <v>ODD</v>
      </c>
      <c r="I956" s="106">
        <v>0</v>
      </c>
      <c r="J956" s="32" t="str">
        <f>UPPER(TEXT(F956,"mmm")) &amp; " - " &amp; UPPER(TEXT(G956,"mmm"))</f>
        <v>AUG - OCT</v>
      </c>
      <c r="K956" s="32" t="s">
        <v>1736</v>
      </c>
      <c r="L956" s="61" t="s">
        <v>895</v>
      </c>
      <c r="M956" s="32" t="str">
        <f t="shared" si="30"/>
        <v>No</v>
      </c>
      <c r="N956" s="32">
        <f>G956 - F956</f>
        <v>52</v>
      </c>
      <c r="O956">
        <v>1</v>
      </c>
    </row>
    <row r="957" spans="1:15" x14ac:dyDescent="0.3">
      <c r="A957" s="53" t="s">
        <v>1811</v>
      </c>
      <c r="B957" s="61" t="s">
        <v>70</v>
      </c>
      <c r="C957" s="61" t="s">
        <v>12</v>
      </c>
      <c r="D957" s="53" t="s">
        <v>1812</v>
      </c>
      <c r="E957" s="53" t="s">
        <v>420</v>
      </c>
      <c r="F957" s="96">
        <v>44470</v>
      </c>
      <c r="G957" s="96">
        <v>44530</v>
      </c>
      <c r="H957" s="58" t="str">
        <f t="shared" si="33"/>
        <v>ODD</v>
      </c>
      <c r="I957" s="106">
        <v>0</v>
      </c>
      <c r="J957" s="32" t="str">
        <f>UPPER(TEXT(F957,"mmm")) &amp; " - " &amp; UPPER(TEXT(G957,"mmm"))</f>
        <v>OCT - NOV</v>
      </c>
      <c r="K957" s="32" t="s">
        <v>1736</v>
      </c>
      <c r="L957" s="99" t="s">
        <v>3895</v>
      </c>
      <c r="M957" s="32" t="str">
        <f t="shared" si="30"/>
        <v>No</v>
      </c>
      <c r="N957" s="32">
        <f>G957 - F957</f>
        <v>60</v>
      </c>
      <c r="O957">
        <v>1</v>
      </c>
    </row>
    <row r="958" spans="1:15" x14ac:dyDescent="0.3">
      <c r="A958" s="53" t="s">
        <v>345</v>
      </c>
      <c r="B958" s="61" t="s">
        <v>70</v>
      </c>
      <c r="C958" s="61" t="s">
        <v>12</v>
      </c>
      <c r="D958" s="53" t="s">
        <v>1813</v>
      </c>
      <c r="E958" s="53" t="s">
        <v>1814</v>
      </c>
      <c r="F958" s="96">
        <v>44379</v>
      </c>
      <c r="G958" s="96">
        <v>44563</v>
      </c>
      <c r="H958" s="58" t="str">
        <f t="shared" si="33"/>
        <v>EVEN</v>
      </c>
      <c r="I958" s="106">
        <v>0</v>
      </c>
      <c r="J958" s="32" t="str">
        <f>UPPER(TEXT(F958,"mmm")) &amp; " - " &amp; UPPER(TEXT(G958,"mmm"))</f>
        <v>JUL - JAN</v>
      </c>
      <c r="K958" s="32" t="s">
        <v>1736</v>
      </c>
      <c r="L958" s="99" t="s">
        <v>3895</v>
      </c>
      <c r="M958" s="32" t="str">
        <f t="shared" si="30"/>
        <v>No</v>
      </c>
      <c r="N958" s="32">
        <f>G958 - F958</f>
        <v>184</v>
      </c>
      <c r="O958">
        <v>1</v>
      </c>
    </row>
    <row r="959" spans="1:15" x14ac:dyDescent="0.3">
      <c r="A959" s="53" t="s">
        <v>1815</v>
      </c>
      <c r="B959" s="61" t="s">
        <v>70</v>
      </c>
      <c r="C959" s="61" t="s">
        <v>12</v>
      </c>
      <c r="D959" s="53" t="s">
        <v>1816</v>
      </c>
      <c r="E959" s="53" t="s">
        <v>1817</v>
      </c>
      <c r="F959" s="96">
        <v>44517</v>
      </c>
      <c r="G959" s="96">
        <v>44548</v>
      </c>
      <c r="H959" s="58" t="str">
        <f t="shared" si="33"/>
        <v>ODD</v>
      </c>
      <c r="I959" s="106">
        <v>5000</v>
      </c>
      <c r="J959" s="32" t="str">
        <f>UPPER(TEXT(F959,"mmm")) &amp; " - " &amp; UPPER(TEXT(G959,"mmm"))</f>
        <v>NOV - DEC</v>
      </c>
      <c r="K959" s="32" t="s">
        <v>1736</v>
      </c>
      <c r="L959" s="99" t="s">
        <v>3895</v>
      </c>
      <c r="M959" s="32" t="str">
        <f t="shared" si="30"/>
        <v>Yes</v>
      </c>
      <c r="N959" s="32">
        <f>G959 - F959</f>
        <v>31</v>
      </c>
      <c r="O959">
        <v>1</v>
      </c>
    </row>
    <row r="960" spans="1:15" x14ac:dyDescent="0.3">
      <c r="A960" s="53" t="s">
        <v>378</v>
      </c>
      <c r="B960" s="61" t="s">
        <v>70</v>
      </c>
      <c r="C960" s="61" t="s">
        <v>12</v>
      </c>
      <c r="D960" s="53" t="s">
        <v>1818</v>
      </c>
      <c r="E960" s="53" t="s">
        <v>1819</v>
      </c>
      <c r="F960" s="96">
        <v>44378</v>
      </c>
      <c r="G960" s="96">
        <v>44560</v>
      </c>
      <c r="H960" s="58" t="str">
        <f t="shared" si="33"/>
        <v>EVEN</v>
      </c>
      <c r="I960" s="106">
        <v>0</v>
      </c>
      <c r="J960" s="32" t="str">
        <f>UPPER(TEXT(F960,"mmm")) &amp; " - " &amp; UPPER(TEXT(G960,"mmm"))</f>
        <v>JUL - DEC</v>
      </c>
      <c r="K960" s="32" t="s">
        <v>1736</v>
      </c>
      <c r="L960" s="61" t="s">
        <v>895</v>
      </c>
      <c r="M960" s="32" t="str">
        <f t="shared" si="30"/>
        <v>No</v>
      </c>
      <c r="N960" s="32">
        <f>G960 - F960</f>
        <v>182</v>
      </c>
      <c r="O960">
        <v>1</v>
      </c>
    </row>
    <row r="961" spans="1:15" x14ac:dyDescent="0.3">
      <c r="A961" s="53" t="s">
        <v>362</v>
      </c>
      <c r="B961" s="61" t="s">
        <v>70</v>
      </c>
      <c r="C961" s="61" t="s">
        <v>12</v>
      </c>
      <c r="D961" s="53" t="s">
        <v>1818</v>
      </c>
      <c r="E961" s="53" t="s">
        <v>1819</v>
      </c>
      <c r="F961" s="96">
        <v>44378</v>
      </c>
      <c r="G961" s="96">
        <v>44560</v>
      </c>
      <c r="H961" s="58" t="str">
        <f t="shared" si="33"/>
        <v>EVEN</v>
      </c>
      <c r="I961" s="106">
        <v>0</v>
      </c>
      <c r="J961" s="32" t="str">
        <f>UPPER(TEXT(F961,"mmm")) &amp; " - " &amp; UPPER(TEXT(G961,"mmm"))</f>
        <v>JUL - DEC</v>
      </c>
      <c r="K961" s="32" t="s">
        <v>1736</v>
      </c>
      <c r="L961" s="61" t="s">
        <v>895</v>
      </c>
      <c r="M961" s="32" t="str">
        <f t="shared" si="30"/>
        <v>No</v>
      </c>
      <c r="N961" s="32">
        <f>G961 - F961</f>
        <v>182</v>
      </c>
      <c r="O961">
        <v>1</v>
      </c>
    </row>
    <row r="962" spans="1:15" x14ac:dyDescent="0.3">
      <c r="A962" s="53" t="s">
        <v>1820</v>
      </c>
      <c r="B962" s="61" t="s">
        <v>70</v>
      </c>
      <c r="C962" s="61" t="s">
        <v>12</v>
      </c>
      <c r="D962" s="53" t="s">
        <v>1818</v>
      </c>
      <c r="E962" s="53" t="s">
        <v>1821</v>
      </c>
      <c r="F962" s="96">
        <v>44378</v>
      </c>
      <c r="G962" s="96">
        <v>44560</v>
      </c>
      <c r="H962" s="58" t="str">
        <f t="shared" si="33"/>
        <v>EVEN</v>
      </c>
      <c r="I962" s="106">
        <v>0</v>
      </c>
      <c r="J962" s="32" t="str">
        <f>UPPER(TEXT(F962,"mmm")) &amp; " - " &amp; UPPER(TEXT(G962,"mmm"))</f>
        <v>JUL - DEC</v>
      </c>
      <c r="K962" s="32" t="s">
        <v>1736</v>
      </c>
      <c r="L962" s="61" t="s">
        <v>895</v>
      </c>
      <c r="M962" s="32" t="str">
        <f t="shared" ref="M962:M1025" si="34">IF(I962 &gt; 0, "Yes", "No")</f>
        <v>No</v>
      </c>
      <c r="N962" s="32">
        <f>G962 - F962</f>
        <v>182</v>
      </c>
      <c r="O962">
        <v>1</v>
      </c>
    </row>
    <row r="963" spans="1:15" x14ac:dyDescent="0.3">
      <c r="A963" s="53" t="s">
        <v>1048</v>
      </c>
      <c r="B963" s="61" t="s">
        <v>70</v>
      </c>
      <c r="C963" s="61" t="s">
        <v>12</v>
      </c>
      <c r="D963" s="53" t="s">
        <v>1818</v>
      </c>
      <c r="E963" s="53" t="s">
        <v>1819</v>
      </c>
      <c r="F963" s="96">
        <v>44378</v>
      </c>
      <c r="G963" s="96">
        <v>44561</v>
      </c>
      <c r="H963" s="58" t="str">
        <f t="shared" si="33"/>
        <v>EVEN</v>
      </c>
      <c r="I963" s="106">
        <v>0</v>
      </c>
      <c r="J963" s="32" t="str">
        <f>UPPER(TEXT(F963,"mmm")) &amp; " - " &amp; UPPER(TEXT(G963,"mmm"))</f>
        <v>JUL - DEC</v>
      </c>
      <c r="K963" s="32" t="s">
        <v>1736</v>
      </c>
      <c r="L963" s="61" t="s">
        <v>895</v>
      </c>
      <c r="M963" s="32" t="str">
        <f t="shared" si="34"/>
        <v>No</v>
      </c>
      <c r="N963" s="32">
        <f>G963 - F963</f>
        <v>183</v>
      </c>
      <c r="O963">
        <v>1</v>
      </c>
    </row>
    <row r="964" spans="1:15" x14ac:dyDescent="0.3">
      <c r="A964" s="53" t="s">
        <v>602</v>
      </c>
      <c r="B964" s="61" t="s">
        <v>70</v>
      </c>
      <c r="C964" s="61" t="s">
        <v>12</v>
      </c>
      <c r="D964" s="53" t="s">
        <v>1818</v>
      </c>
      <c r="E964" s="53" t="s">
        <v>1819</v>
      </c>
      <c r="F964" s="96">
        <v>44378</v>
      </c>
      <c r="G964" s="96">
        <v>44560</v>
      </c>
      <c r="H964" s="58" t="str">
        <f t="shared" si="33"/>
        <v>EVEN</v>
      </c>
      <c r="I964" s="106">
        <v>0</v>
      </c>
      <c r="J964" s="32" t="str">
        <f>UPPER(TEXT(F964,"mmm")) &amp; " - " &amp; UPPER(TEXT(G964,"mmm"))</f>
        <v>JUL - DEC</v>
      </c>
      <c r="K964" s="32" t="s">
        <v>1736</v>
      </c>
      <c r="L964" s="61" t="s">
        <v>895</v>
      </c>
      <c r="M964" s="32" t="str">
        <f t="shared" si="34"/>
        <v>No</v>
      </c>
      <c r="N964" s="32">
        <f>G964 - F964</f>
        <v>182</v>
      </c>
      <c r="O964">
        <v>1</v>
      </c>
    </row>
    <row r="965" spans="1:15" x14ac:dyDescent="0.3">
      <c r="A965" s="53" t="s">
        <v>1822</v>
      </c>
      <c r="B965" s="61" t="s">
        <v>70</v>
      </c>
      <c r="C965" s="61" t="s">
        <v>12</v>
      </c>
      <c r="D965" s="53" t="s">
        <v>1823</v>
      </c>
      <c r="E965" s="53" t="s">
        <v>1779</v>
      </c>
      <c r="F965" s="96">
        <v>44378</v>
      </c>
      <c r="G965" s="96">
        <v>44408</v>
      </c>
      <c r="H965" s="58" t="str">
        <f t="shared" si="33"/>
        <v>EVEN</v>
      </c>
      <c r="I965" s="106">
        <v>0</v>
      </c>
      <c r="J965" s="32" t="str">
        <f>UPPER(TEXT(F965,"mmm")) &amp; " - " &amp; UPPER(TEXT(G965,"mmm"))</f>
        <v>JUL - JUL</v>
      </c>
      <c r="K965" s="32" t="s">
        <v>1736</v>
      </c>
      <c r="L965" s="61" t="s">
        <v>895</v>
      </c>
      <c r="M965" s="32" t="str">
        <f t="shared" si="34"/>
        <v>No</v>
      </c>
      <c r="N965" s="32">
        <f>G965 - F965</f>
        <v>30</v>
      </c>
      <c r="O965">
        <v>1</v>
      </c>
    </row>
    <row r="966" spans="1:15" x14ac:dyDescent="0.3">
      <c r="A966" s="53" t="s">
        <v>1128</v>
      </c>
      <c r="B966" s="61" t="s">
        <v>78</v>
      </c>
      <c r="C966" s="61" t="s">
        <v>12</v>
      </c>
      <c r="D966" s="53" t="s">
        <v>1824</v>
      </c>
      <c r="E966" s="53" t="s">
        <v>1825</v>
      </c>
      <c r="F966" s="96">
        <v>44487</v>
      </c>
      <c r="G966" s="96">
        <v>44579</v>
      </c>
      <c r="H966" s="58" t="str">
        <f t="shared" si="33"/>
        <v>ODD</v>
      </c>
      <c r="I966" s="106">
        <v>0</v>
      </c>
      <c r="J966" s="32" t="str">
        <f>UPPER(TEXT(F966,"mmm")) &amp; " - " &amp; UPPER(TEXT(G966,"mmm"))</f>
        <v>OCT - JAN</v>
      </c>
      <c r="K966" s="32" t="s">
        <v>1736</v>
      </c>
      <c r="L966" s="99" t="s">
        <v>3895</v>
      </c>
      <c r="M966" s="32" t="str">
        <f t="shared" si="34"/>
        <v>No</v>
      </c>
      <c r="N966" s="32">
        <f>G966 - F966</f>
        <v>92</v>
      </c>
      <c r="O966">
        <v>1</v>
      </c>
    </row>
    <row r="967" spans="1:15" x14ac:dyDescent="0.3">
      <c r="A967" s="53" t="s">
        <v>1826</v>
      </c>
      <c r="B967" s="61" t="s">
        <v>78</v>
      </c>
      <c r="C967" s="61" t="s">
        <v>12</v>
      </c>
      <c r="D967" s="53" t="s">
        <v>1827</v>
      </c>
      <c r="E967" s="53" t="s">
        <v>1828</v>
      </c>
      <c r="F967" s="96">
        <v>44400</v>
      </c>
      <c r="G967" s="96">
        <v>44476</v>
      </c>
      <c r="H967" s="58" t="str">
        <f t="shared" si="33"/>
        <v>ODD</v>
      </c>
      <c r="I967" s="106">
        <v>0</v>
      </c>
      <c r="J967" s="32" t="str">
        <f>UPPER(TEXT(F967,"mmm")) &amp; " - " &amp; UPPER(TEXT(G967,"mmm"))</f>
        <v>JUL - OCT</v>
      </c>
      <c r="K967" s="32" t="s">
        <v>1736</v>
      </c>
      <c r="L967" s="99" t="s">
        <v>3895</v>
      </c>
      <c r="M967" s="32" t="str">
        <f t="shared" si="34"/>
        <v>No</v>
      </c>
      <c r="N967" s="32">
        <f>G967 - F967</f>
        <v>76</v>
      </c>
      <c r="O967">
        <v>1</v>
      </c>
    </row>
    <row r="968" spans="1:15" x14ac:dyDescent="0.3">
      <c r="A968" s="53" t="s">
        <v>1328</v>
      </c>
      <c r="B968" s="61" t="s">
        <v>78</v>
      </c>
      <c r="C968" s="61" t="s">
        <v>12</v>
      </c>
      <c r="D968" s="53" t="s">
        <v>1829</v>
      </c>
      <c r="E968" s="53" t="s">
        <v>1107</v>
      </c>
      <c r="F968" s="96">
        <v>44461</v>
      </c>
      <c r="G968" s="96">
        <v>44552</v>
      </c>
      <c r="H968" s="58" t="str">
        <f t="shared" si="33"/>
        <v>ODD</v>
      </c>
      <c r="I968" s="106">
        <v>0</v>
      </c>
      <c r="J968" s="32" t="str">
        <f>UPPER(TEXT(F968,"mmm")) &amp; " - " &amp; UPPER(TEXT(G968,"mmm"))</f>
        <v>SEP - DEC</v>
      </c>
      <c r="K968" s="32" t="s">
        <v>1736</v>
      </c>
      <c r="L968" s="99" t="s">
        <v>3895</v>
      </c>
      <c r="M968" s="32" t="str">
        <f t="shared" si="34"/>
        <v>No</v>
      </c>
      <c r="N968" s="32">
        <f>G968 - F968</f>
        <v>91</v>
      </c>
      <c r="O968">
        <v>1</v>
      </c>
    </row>
    <row r="969" spans="1:15" x14ac:dyDescent="0.3">
      <c r="A969" s="53" t="s">
        <v>1830</v>
      </c>
      <c r="B969" s="61" t="s">
        <v>78</v>
      </c>
      <c r="C969" s="61" t="s">
        <v>12</v>
      </c>
      <c r="D969" s="53" t="s">
        <v>1831</v>
      </c>
      <c r="E969" s="53" t="s">
        <v>1832</v>
      </c>
      <c r="F969" s="96">
        <v>44530</v>
      </c>
      <c r="G969" s="96">
        <v>44560</v>
      </c>
      <c r="H969" s="58" t="str">
        <f t="shared" si="33"/>
        <v>ODD</v>
      </c>
      <c r="I969" s="106">
        <v>0</v>
      </c>
      <c r="J969" s="32" t="str">
        <f>UPPER(TEXT(F969,"mmm")) &amp; " - " &amp; UPPER(TEXT(G969,"mmm"))</f>
        <v>NOV - DEC</v>
      </c>
      <c r="K969" s="32" t="s">
        <v>1736</v>
      </c>
      <c r="L969" s="99" t="s">
        <v>3895</v>
      </c>
      <c r="M969" s="32" t="str">
        <f t="shared" si="34"/>
        <v>No</v>
      </c>
      <c r="N969" s="32">
        <f>G969 - F969</f>
        <v>30</v>
      </c>
      <c r="O969">
        <v>1</v>
      </c>
    </row>
    <row r="970" spans="1:15" x14ac:dyDescent="0.3">
      <c r="A970" s="53" t="s">
        <v>1682</v>
      </c>
      <c r="B970" s="61" t="s">
        <v>78</v>
      </c>
      <c r="C970" s="61" t="s">
        <v>12</v>
      </c>
      <c r="D970" s="53" t="s">
        <v>1833</v>
      </c>
      <c r="E970" s="53" t="s">
        <v>1834</v>
      </c>
      <c r="F970" s="96">
        <v>44402</v>
      </c>
      <c r="G970" s="96">
        <v>44496</v>
      </c>
      <c r="H970" s="58" t="str">
        <f t="shared" si="33"/>
        <v>ODD</v>
      </c>
      <c r="I970" s="106">
        <v>0</v>
      </c>
      <c r="J970" s="32" t="str">
        <f>UPPER(TEXT(F970,"mmm")) &amp; " - " &amp; UPPER(TEXT(G970,"mmm"))</f>
        <v>JUL - OCT</v>
      </c>
      <c r="K970" s="32" t="s">
        <v>1736</v>
      </c>
      <c r="L970" s="61" t="s">
        <v>895</v>
      </c>
      <c r="M970" s="32" t="str">
        <f t="shared" si="34"/>
        <v>No</v>
      </c>
      <c r="N970" s="32">
        <f>G970 - F970</f>
        <v>94</v>
      </c>
      <c r="O970">
        <v>1</v>
      </c>
    </row>
    <row r="971" spans="1:15" x14ac:dyDescent="0.3">
      <c r="A971" s="53" t="s">
        <v>1835</v>
      </c>
      <c r="B971" s="61" t="s">
        <v>66</v>
      </c>
      <c r="C971" s="61" t="s">
        <v>12</v>
      </c>
      <c r="D971" s="53" t="s">
        <v>1836</v>
      </c>
      <c r="E971" s="53" t="s">
        <v>542</v>
      </c>
      <c r="F971" s="96">
        <v>44448</v>
      </c>
      <c r="G971" s="96">
        <v>44509</v>
      </c>
      <c r="H971" s="58" t="str">
        <f t="shared" si="33"/>
        <v>ODD</v>
      </c>
      <c r="I971" s="106">
        <v>5000</v>
      </c>
      <c r="J971" s="32" t="str">
        <f>UPPER(TEXT(F971,"mmm")) &amp; " - " &amp; UPPER(TEXT(G971,"mmm"))</f>
        <v>SEP - NOV</v>
      </c>
      <c r="K971" s="32" t="s">
        <v>1736</v>
      </c>
      <c r="L971" s="99" t="s">
        <v>3895</v>
      </c>
      <c r="M971" s="32" t="str">
        <f t="shared" si="34"/>
        <v>Yes</v>
      </c>
      <c r="N971" s="32">
        <f>G971 - F971</f>
        <v>61</v>
      </c>
      <c r="O971">
        <v>1</v>
      </c>
    </row>
    <row r="972" spans="1:15" x14ac:dyDescent="0.3">
      <c r="A972" s="53" t="s">
        <v>1307</v>
      </c>
      <c r="B972" s="61" t="s">
        <v>66</v>
      </c>
      <c r="C972" s="61" t="s">
        <v>12</v>
      </c>
      <c r="D972" s="53" t="s">
        <v>1837</v>
      </c>
      <c r="E972" s="53" t="s">
        <v>1838</v>
      </c>
      <c r="F972" s="96">
        <v>44544</v>
      </c>
      <c r="G972" s="96">
        <v>44577</v>
      </c>
      <c r="H972" s="58" t="str">
        <f t="shared" si="33"/>
        <v>ODD</v>
      </c>
      <c r="I972" s="106">
        <v>1500</v>
      </c>
      <c r="J972" s="32" t="str">
        <f>UPPER(TEXT(F972,"mmm")) &amp; " - " &amp; UPPER(TEXT(G972,"mmm"))</f>
        <v>DEC - JAN</v>
      </c>
      <c r="K972" s="32" t="s">
        <v>1736</v>
      </c>
      <c r="L972" s="99" t="s">
        <v>3895</v>
      </c>
      <c r="M972" s="32" t="str">
        <f t="shared" si="34"/>
        <v>Yes</v>
      </c>
      <c r="N972" s="32">
        <f>G972 - F972</f>
        <v>33</v>
      </c>
      <c r="O972">
        <v>1</v>
      </c>
    </row>
    <row r="973" spans="1:15" x14ac:dyDescent="0.3">
      <c r="A973" s="53" t="s">
        <v>1839</v>
      </c>
      <c r="B973" s="61" t="s">
        <v>66</v>
      </c>
      <c r="C973" s="61" t="s">
        <v>12</v>
      </c>
      <c r="D973" s="53" t="s">
        <v>1840</v>
      </c>
      <c r="E973" s="53" t="s">
        <v>1841</v>
      </c>
      <c r="F973" s="96">
        <v>44516</v>
      </c>
      <c r="G973" s="96">
        <v>44577</v>
      </c>
      <c r="H973" s="58" t="str">
        <f t="shared" si="33"/>
        <v>ODD</v>
      </c>
      <c r="I973" s="106">
        <v>40000</v>
      </c>
      <c r="J973" s="32" t="str">
        <f>UPPER(TEXT(F973,"mmm")) &amp; " - " &amp; UPPER(TEXT(G973,"mmm"))</f>
        <v>NOV - JAN</v>
      </c>
      <c r="K973" s="32" t="s">
        <v>1736</v>
      </c>
      <c r="L973" s="99" t="s">
        <v>3895</v>
      </c>
      <c r="M973" s="32" t="str">
        <f t="shared" si="34"/>
        <v>Yes</v>
      </c>
      <c r="N973" s="32">
        <f>G973 - F973</f>
        <v>61</v>
      </c>
      <c r="O973">
        <v>1</v>
      </c>
    </row>
    <row r="974" spans="1:15" x14ac:dyDescent="0.3">
      <c r="A974" s="53" t="s">
        <v>1842</v>
      </c>
      <c r="B974" s="61" t="s">
        <v>66</v>
      </c>
      <c r="C974" s="61" t="s">
        <v>12</v>
      </c>
      <c r="D974" s="53" t="s">
        <v>1843</v>
      </c>
      <c r="E974" s="53" t="s">
        <v>1844</v>
      </c>
      <c r="F974" s="96">
        <v>44516</v>
      </c>
      <c r="G974" s="96">
        <v>44530</v>
      </c>
      <c r="H974" s="58" t="str">
        <f t="shared" si="33"/>
        <v>ODD</v>
      </c>
      <c r="I974" s="106">
        <v>0</v>
      </c>
      <c r="J974" s="32" t="str">
        <f>UPPER(TEXT(F974,"mmm")) &amp; " - " &amp; UPPER(TEXT(G974,"mmm"))</f>
        <v>NOV - NOV</v>
      </c>
      <c r="K974" s="32" t="s">
        <v>1736</v>
      </c>
      <c r="L974" s="99" t="s">
        <v>3895</v>
      </c>
      <c r="M974" s="32" t="str">
        <f t="shared" si="34"/>
        <v>No</v>
      </c>
      <c r="N974" s="32">
        <f>G974 - F974</f>
        <v>14</v>
      </c>
      <c r="O974">
        <v>1</v>
      </c>
    </row>
    <row r="975" spans="1:15" x14ac:dyDescent="0.3">
      <c r="A975" s="53" t="s">
        <v>1845</v>
      </c>
      <c r="B975" s="61" t="s">
        <v>66</v>
      </c>
      <c r="C975" s="61" t="s">
        <v>12</v>
      </c>
      <c r="D975" s="53" t="s">
        <v>1846</v>
      </c>
      <c r="E975" s="53" t="s">
        <v>1847</v>
      </c>
      <c r="F975" s="96">
        <v>44409</v>
      </c>
      <c r="G975" s="96">
        <v>44592</v>
      </c>
      <c r="H975" s="58" t="str">
        <f t="shared" si="33"/>
        <v>ODD</v>
      </c>
      <c r="I975" s="106">
        <v>0</v>
      </c>
      <c r="J975" s="32" t="str">
        <f>UPPER(TEXT(F975,"mmm")) &amp; " - " &amp; UPPER(TEXT(G975,"mmm"))</f>
        <v>AUG - JAN</v>
      </c>
      <c r="K975" s="32" t="s">
        <v>1736</v>
      </c>
      <c r="L975" s="99" t="s">
        <v>3895</v>
      </c>
      <c r="M975" s="32" t="str">
        <f t="shared" si="34"/>
        <v>No</v>
      </c>
      <c r="N975" s="32">
        <f>G975 - F975</f>
        <v>183</v>
      </c>
      <c r="O975">
        <v>1</v>
      </c>
    </row>
    <row r="976" spans="1:15" x14ac:dyDescent="0.3">
      <c r="A976" s="53" t="s">
        <v>1017</v>
      </c>
      <c r="B976" s="61" t="s">
        <v>70</v>
      </c>
      <c r="C976" s="61" t="s">
        <v>12</v>
      </c>
      <c r="D976" s="53" t="s">
        <v>1848</v>
      </c>
      <c r="E976" s="53" t="s">
        <v>1255</v>
      </c>
      <c r="F976" s="96">
        <v>44504</v>
      </c>
      <c r="G976" s="96">
        <v>44591</v>
      </c>
      <c r="H976" s="58" t="str">
        <f t="shared" si="33"/>
        <v>ODD</v>
      </c>
      <c r="I976" s="106">
        <v>0</v>
      </c>
      <c r="J976" s="32" t="str">
        <f>UPPER(TEXT(F976,"mmm")) &amp; " - " &amp; UPPER(TEXT(G976,"mmm"))</f>
        <v>NOV - JAN</v>
      </c>
      <c r="K976" s="32" t="s">
        <v>1736</v>
      </c>
      <c r="L976" s="99" t="s">
        <v>3895</v>
      </c>
      <c r="M976" s="32" t="str">
        <f t="shared" si="34"/>
        <v>No</v>
      </c>
      <c r="N976" s="32">
        <f>G976 - F976</f>
        <v>87</v>
      </c>
      <c r="O976">
        <v>1</v>
      </c>
    </row>
    <row r="977" spans="1:15" x14ac:dyDescent="0.3">
      <c r="A977" s="53" t="s">
        <v>1849</v>
      </c>
      <c r="B977" s="61" t="s">
        <v>78</v>
      </c>
      <c r="C977" s="61" t="s">
        <v>12</v>
      </c>
      <c r="D977" s="53" t="s">
        <v>1850</v>
      </c>
      <c r="E977" s="53" t="s">
        <v>1851</v>
      </c>
      <c r="F977" s="96">
        <v>44422</v>
      </c>
      <c r="G977" s="96">
        <v>44483</v>
      </c>
      <c r="H977" s="58" t="str">
        <f t="shared" si="33"/>
        <v>ODD</v>
      </c>
      <c r="I977" s="106">
        <v>0</v>
      </c>
      <c r="J977" s="32" t="str">
        <f>UPPER(TEXT(F977,"mmm")) &amp; " - " &amp; UPPER(TEXT(G977,"mmm"))</f>
        <v>AUG - OCT</v>
      </c>
      <c r="K977" s="32" t="s">
        <v>1736</v>
      </c>
      <c r="L977" s="99" t="s">
        <v>3895</v>
      </c>
      <c r="M977" s="32" t="str">
        <f t="shared" si="34"/>
        <v>No</v>
      </c>
      <c r="N977" s="32">
        <f>G977 - F977</f>
        <v>61</v>
      </c>
      <c r="O977">
        <v>1</v>
      </c>
    </row>
    <row r="978" spans="1:15" x14ac:dyDescent="0.3">
      <c r="A978" s="53" t="s">
        <v>1852</v>
      </c>
      <c r="B978" s="61" t="s">
        <v>78</v>
      </c>
      <c r="C978" s="61" t="s">
        <v>12</v>
      </c>
      <c r="D978" s="53" t="s">
        <v>1853</v>
      </c>
      <c r="E978" s="53" t="s">
        <v>1854</v>
      </c>
      <c r="F978" s="96">
        <v>44390</v>
      </c>
      <c r="G978" s="96">
        <v>44500</v>
      </c>
      <c r="H978" s="58" t="str">
        <f t="shared" si="33"/>
        <v>EVEN</v>
      </c>
      <c r="I978" s="106">
        <v>2500</v>
      </c>
      <c r="J978" s="32" t="str">
        <f>UPPER(TEXT(F978,"mmm")) &amp; " - " &amp; UPPER(TEXT(G978,"mmm"))</f>
        <v>JUL - OCT</v>
      </c>
      <c r="K978" s="32" t="s">
        <v>1736</v>
      </c>
      <c r="L978" s="99" t="s">
        <v>3895</v>
      </c>
      <c r="M978" s="32" t="str">
        <f t="shared" si="34"/>
        <v>Yes</v>
      </c>
      <c r="N978" s="32">
        <f>G978 - F978</f>
        <v>110</v>
      </c>
      <c r="O978">
        <v>1</v>
      </c>
    </row>
    <row r="979" spans="1:15" x14ac:dyDescent="0.3">
      <c r="A979" s="53" t="s">
        <v>1855</v>
      </c>
      <c r="B979" s="61" t="s">
        <v>66</v>
      </c>
      <c r="C979" s="61" t="s">
        <v>12</v>
      </c>
      <c r="D979" s="53" t="s">
        <v>1856</v>
      </c>
      <c r="E979" s="53" t="s">
        <v>1857</v>
      </c>
      <c r="F979" s="96">
        <v>44485</v>
      </c>
      <c r="G979" s="96">
        <v>44577</v>
      </c>
      <c r="H979" s="58" t="str">
        <f t="shared" si="33"/>
        <v>ODD</v>
      </c>
      <c r="I979" s="106">
        <v>0</v>
      </c>
      <c r="J979" s="32" t="str">
        <f>UPPER(TEXT(F979,"mmm")) &amp; " - " &amp; UPPER(TEXT(G979,"mmm"))</f>
        <v>OCT - JAN</v>
      </c>
      <c r="K979" s="32" t="s">
        <v>1736</v>
      </c>
      <c r="L979" s="99" t="s">
        <v>3895</v>
      </c>
      <c r="M979" s="32" t="str">
        <f t="shared" si="34"/>
        <v>No</v>
      </c>
      <c r="N979" s="32">
        <f>G979 - F979</f>
        <v>92</v>
      </c>
      <c r="O979">
        <v>1</v>
      </c>
    </row>
    <row r="980" spans="1:15" x14ac:dyDescent="0.3">
      <c r="A980" s="53" t="s">
        <v>1027</v>
      </c>
      <c r="B980" s="61" t="s">
        <v>66</v>
      </c>
      <c r="C980" s="61" t="s">
        <v>12</v>
      </c>
      <c r="D980" s="53" t="s">
        <v>1007</v>
      </c>
      <c r="E980" s="53" t="s">
        <v>1858</v>
      </c>
      <c r="F980" s="96">
        <v>44411</v>
      </c>
      <c r="G980" s="96">
        <v>44432</v>
      </c>
      <c r="H980" s="58" t="str">
        <f t="shared" si="33"/>
        <v>ODD</v>
      </c>
      <c r="I980" s="106">
        <v>0</v>
      </c>
      <c r="J980" s="32" t="str">
        <f>UPPER(TEXT(F980,"mmm")) &amp; " - " &amp; UPPER(TEXT(G980,"mmm"))</f>
        <v>AUG - AUG</v>
      </c>
      <c r="K980" s="32" t="s">
        <v>1736</v>
      </c>
      <c r="L980" s="99" t="s">
        <v>3895</v>
      </c>
      <c r="M980" s="32" t="str">
        <f t="shared" si="34"/>
        <v>No</v>
      </c>
      <c r="N980" s="32">
        <f>G980 - F980</f>
        <v>21</v>
      </c>
      <c r="O980">
        <v>1</v>
      </c>
    </row>
    <row r="981" spans="1:15" x14ac:dyDescent="0.3">
      <c r="A981" s="53" t="s">
        <v>1027</v>
      </c>
      <c r="B981" s="61" t="s">
        <v>66</v>
      </c>
      <c r="C981" s="61" t="s">
        <v>12</v>
      </c>
      <c r="D981" s="53" t="s">
        <v>1859</v>
      </c>
      <c r="E981" s="53" t="s">
        <v>1459</v>
      </c>
      <c r="F981" s="96">
        <v>44454</v>
      </c>
      <c r="G981" s="96">
        <v>44576</v>
      </c>
      <c r="H981" s="58" t="str">
        <f t="shared" si="33"/>
        <v>ODD</v>
      </c>
      <c r="I981" s="106">
        <v>0</v>
      </c>
      <c r="J981" s="32" t="str">
        <f>UPPER(TEXT(F981,"mmm")) &amp; " - " &amp; UPPER(TEXT(G981,"mmm"))</f>
        <v>SEP - JAN</v>
      </c>
      <c r="K981" s="32" t="s">
        <v>1736</v>
      </c>
      <c r="L981" s="99" t="s">
        <v>3895</v>
      </c>
      <c r="M981" s="32" t="str">
        <f t="shared" si="34"/>
        <v>No</v>
      </c>
      <c r="N981" s="32">
        <f>G981 - F981</f>
        <v>122</v>
      </c>
      <c r="O981">
        <v>1</v>
      </c>
    </row>
    <row r="982" spans="1:15" x14ac:dyDescent="0.3">
      <c r="A982" s="53" t="s">
        <v>1024</v>
      </c>
      <c r="B982" s="61" t="s">
        <v>66</v>
      </c>
      <c r="C982" s="61" t="s">
        <v>12</v>
      </c>
      <c r="D982" s="53" t="s">
        <v>1859</v>
      </c>
      <c r="E982" s="53" t="s">
        <v>1860</v>
      </c>
      <c r="F982" s="96">
        <v>44454</v>
      </c>
      <c r="G982" s="96">
        <v>44576</v>
      </c>
      <c r="H982" s="58" t="str">
        <f t="shared" si="33"/>
        <v>ODD</v>
      </c>
      <c r="I982" s="106">
        <v>0</v>
      </c>
      <c r="J982" s="32" t="str">
        <f>UPPER(TEXT(F982,"mmm")) &amp; " - " &amp; UPPER(TEXT(G982,"mmm"))</f>
        <v>SEP - JAN</v>
      </c>
      <c r="K982" s="32" t="s">
        <v>1736</v>
      </c>
      <c r="L982" s="99" t="s">
        <v>3895</v>
      </c>
      <c r="M982" s="32" t="str">
        <f t="shared" si="34"/>
        <v>No</v>
      </c>
      <c r="N982" s="32">
        <f>G982 - F982</f>
        <v>122</v>
      </c>
      <c r="O982">
        <v>1</v>
      </c>
    </row>
    <row r="983" spans="1:15" x14ac:dyDescent="0.3">
      <c r="A983" s="53" t="s">
        <v>1582</v>
      </c>
      <c r="B983" s="61" t="s">
        <v>66</v>
      </c>
      <c r="C983" s="61" t="s">
        <v>12</v>
      </c>
      <c r="D983" s="53" t="s">
        <v>1861</v>
      </c>
      <c r="E983" s="53" t="s">
        <v>1862</v>
      </c>
      <c r="F983" s="96">
        <v>44558</v>
      </c>
      <c r="G983" s="96">
        <v>44592</v>
      </c>
      <c r="H983" s="58" t="str">
        <f t="shared" ref="H983:H1046" si="35">IF(AND(F983&gt;=DATE(2021,7,15), F983&lt;=DATE(2021,12,31)), "ODD", "EVEN")</f>
        <v>ODD</v>
      </c>
      <c r="I983" s="106">
        <v>0</v>
      </c>
      <c r="J983" s="32" t="str">
        <f>UPPER(TEXT(F983,"mmm")) &amp; " - " &amp; UPPER(TEXT(G983,"mmm"))</f>
        <v>DEC - JAN</v>
      </c>
      <c r="K983" s="32" t="s">
        <v>1736</v>
      </c>
      <c r="L983" s="99" t="s">
        <v>3895</v>
      </c>
      <c r="M983" s="32" t="str">
        <f t="shared" si="34"/>
        <v>No</v>
      </c>
      <c r="N983" s="32">
        <f>G983 - F983</f>
        <v>34</v>
      </c>
      <c r="O983">
        <v>1</v>
      </c>
    </row>
    <row r="984" spans="1:15" x14ac:dyDescent="0.3">
      <c r="A984" s="53" t="s">
        <v>1863</v>
      </c>
      <c r="B984" s="61" t="s">
        <v>66</v>
      </c>
      <c r="C984" s="61" t="s">
        <v>12</v>
      </c>
      <c r="D984" s="53" t="s">
        <v>1864</v>
      </c>
      <c r="E984" s="53" t="s">
        <v>1865</v>
      </c>
      <c r="F984" s="96">
        <v>44397</v>
      </c>
      <c r="G984" s="96">
        <v>44550</v>
      </c>
      <c r="H984" s="58" t="str">
        <f t="shared" si="35"/>
        <v>ODD</v>
      </c>
      <c r="I984" s="106">
        <v>0</v>
      </c>
      <c r="J984" s="32" t="str">
        <f>UPPER(TEXT(F984,"mmm")) &amp; " - " &amp; UPPER(TEXT(G984,"mmm"))</f>
        <v>JUL - DEC</v>
      </c>
      <c r="K984" s="32" t="s">
        <v>1736</v>
      </c>
      <c r="L984" s="99" t="s">
        <v>3895</v>
      </c>
      <c r="M984" s="32" t="str">
        <f t="shared" si="34"/>
        <v>No</v>
      </c>
      <c r="N984" s="32">
        <f>G984 - F984</f>
        <v>153</v>
      </c>
      <c r="O984">
        <v>1</v>
      </c>
    </row>
    <row r="985" spans="1:15" x14ac:dyDescent="0.3">
      <c r="A985" s="53" t="s">
        <v>817</v>
      </c>
      <c r="B985" s="61" t="s">
        <v>66</v>
      </c>
      <c r="C985" s="61" t="s">
        <v>12</v>
      </c>
      <c r="D985" s="53" t="s">
        <v>1866</v>
      </c>
      <c r="E985" s="53" t="s">
        <v>1867</v>
      </c>
      <c r="F985" s="96">
        <v>44455</v>
      </c>
      <c r="G985" s="96">
        <v>44561</v>
      </c>
      <c r="H985" s="58" t="str">
        <f t="shared" si="35"/>
        <v>ODD</v>
      </c>
      <c r="I985" s="106">
        <v>3000</v>
      </c>
      <c r="J985" s="32" t="str">
        <f>UPPER(TEXT(F985,"mmm")) &amp; " - " &amp; UPPER(TEXT(G985,"mmm"))</f>
        <v>SEP - DEC</v>
      </c>
      <c r="K985" s="32" t="s">
        <v>1736</v>
      </c>
      <c r="L985" s="99" t="s">
        <v>3895</v>
      </c>
      <c r="M985" s="32" t="str">
        <f t="shared" si="34"/>
        <v>Yes</v>
      </c>
      <c r="N985" s="32">
        <f>G985 - F985</f>
        <v>106</v>
      </c>
      <c r="O985">
        <v>1</v>
      </c>
    </row>
    <row r="986" spans="1:15" x14ac:dyDescent="0.3">
      <c r="A986" s="53" t="s">
        <v>1868</v>
      </c>
      <c r="B986" s="61" t="s">
        <v>66</v>
      </c>
      <c r="C986" s="61" t="s">
        <v>12</v>
      </c>
      <c r="D986" s="53" t="s">
        <v>1869</v>
      </c>
      <c r="E986" s="53" t="s">
        <v>1438</v>
      </c>
      <c r="F986" s="96">
        <v>44409</v>
      </c>
      <c r="G986" s="96">
        <v>44592</v>
      </c>
      <c r="H986" s="58" t="str">
        <f t="shared" si="35"/>
        <v>ODD</v>
      </c>
      <c r="I986" s="106">
        <v>0</v>
      </c>
      <c r="J986" s="32" t="str">
        <f>UPPER(TEXT(F986,"mmm")) &amp; " - " &amp; UPPER(TEXT(G986,"mmm"))</f>
        <v>AUG - JAN</v>
      </c>
      <c r="K986" s="32" t="s">
        <v>1736</v>
      </c>
      <c r="L986" s="99" t="s">
        <v>3895</v>
      </c>
      <c r="M986" s="32" t="str">
        <f t="shared" si="34"/>
        <v>No</v>
      </c>
      <c r="N986" s="32">
        <f>G986 - F986</f>
        <v>183</v>
      </c>
      <c r="O986">
        <v>1</v>
      </c>
    </row>
    <row r="987" spans="1:15" x14ac:dyDescent="0.3">
      <c r="A987" s="53" t="s">
        <v>1870</v>
      </c>
      <c r="B987" s="61" t="s">
        <v>66</v>
      </c>
      <c r="C987" s="61" t="s">
        <v>12</v>
      </c>
      <c r="D987" s="53" t="s">
        <v>1871</v>
      </c>
      <c r="E987" s="53" t="s">
        <v>1478</v>
      </c>
      <c r="F987" s="96">
        <v>44434</v>
      </c>
      <c r="G987" s="96">
        <v>44477</v>
      </c>
      <c r="H987" s="58" t="str">
        <f t="shared" si="35"/>
        <v>ODD</v>
      </c>
      <c r="I987" s="106">
        <v>0</v>
      </c>
      <c r="J987" s="32" t="str">
        <f>UPPER(TEXT(F987,"mmm")) &amp; " - " &amp; UPPER(TEXT(G987,"mmm"))</f>
        <v>AUG - OCT</v>
      </c>
      <c r="K987" s="32" t="s">
        <v>1736</v>
      </c>
      <c r="L987" s="99" t="s">
        <v>3895</v>
      </c>
      <c r="M987" s="32" t="str">
        <f t="shared" si="34"/>
        <v>No</v>
      </c>
      <c r="N987" s="32">
        <f>G987 - F987</f>
        <v>43</v>
      </c>
      <c r="O987">
        <v>1</v>
      </c>
    </row>
    <row r="988" spans="1:15" x14ac:dyDescent="0.3">
      <c r="A988" s="53" t="s">
        <v>1872</v>
      </c>
      <c r="B988" s="61" t="s">
        <v>66</v>
      </c>
      <c r="C988" s="61" t="s">
        <v>12</v>
      </c>
      <c r="D988" s="53" t="s">
        <v>1869</v>
      </c>
      <c r="E988" s="53" t="s">
        <v>1302</v>
      </c>
      <c r="F988" s="96">
        <v>44409</v>
      </c>
      <c r="G988" s="96">
        <v>44592</v>
      </c>
      <c r="H988" s="58" t="str">
        <f t="shared" si="35"/>
        <v>ODD</v>
      </c>
      <c r="I988" s="106">
        <v>0</v>
      </c>
      <c r="J988" s="32" t="str">
        <f>UPPER(TEXT(F988,"mmm")) &amp; " - " &amp; UPPER(TEXT(G988,"mmm"))</f>
        <v>AUG - JAN</v>
      </c>
      <c r="K988" s="32" t="s">
        <v>1736</v>
      </c>
      <c r="L988" s="99" t="s">
        <v>3895</v>
      </c>
      <c r="M988" s="32" t="str">
        <f t="shared" si="34"/>
        <v>No</v>
      </c>
      <c r="N988" s="32">
        <f>G988 - F988</f>
        <v>183</v>
      </c>
      <c r="O988">
        <v>1</v>
      </c>
    </row>
    <row r="989" spans="1:15" x14ac:dyDescent="0.3">
      <c r="A989" s="53" t="s">
        <v>1873</v>
      </c>
      <c r="B989" s="61" t="s">
        <v>70</v>
      </c>
      <c r="C989" s="61" t="s">
        <v>12</v>
      </c>
      <c r="D989" s="53" t="s">
        <v>1848</v>
      </c>
      <c r="E989" s="53" t="s">
        <v>1874</v>
      </c>
      <c r="F989" s="96">
        <v>44504</v>
      </c>
      <c r="G989" s="96">
        <v>44591</v>
      </c>
      <c r="H989" s="58" t="str">
        <f t="shared" si="35"/>
        <v>ODD</v>
      </c>
      <c r="I989" s="106">
        <v>0</v>
      </c>
      <c r="J989" s="32" t="str">
        <f>UPPER(TEXT(F989,"mmm")) &amp; " - " &amp; UPPER(TEXT(G989,"mmm"))</f>
        <v>NOV - JAN</v>
      </c>
      <c r="K989" s="32" t="s">
        <v>1736</v>
      </c>
      <c r="L989" s="99" t="s">
        <v>3895</v>
      </c>
      <c r="M989" s="32" t="str">
        <f t="shared" si="34"/>
        <v>No</v>
      </c>
      <c r="N989" s="32">
        <f>G989 - F989</f>
        <v>87</v>
      </c>
      <c r="O989">
        <v>1</v>
      </c>
    </row>
    <row r="990" spans="1:15" x14ac:dyDescent="0.3">
      <c r="A990" s="53" t="s">
        <v>382</v>
      </c>
      <c r="B990" s="61" t="s">
        <v>70</v>
      </c>
      <c r="C990" s="61" t="s">
        <v>12</v>
      </c>
      <c r="D990" s="53" t="s">
        <v>1875</v>
      </c>
      <c r="E990" s="53" t="s">
        <v>492</v>
      </c>
      <c r="F990" s="96">
        <v>44562</v>
      </c>
      <c r="G990" s="96">
        <v>44620</v>
      </c>
      <c r="H990" s="58" t="str">
        <f t="shared" si="35"/>
        <v>EVEN</v>
      </c>
      <c r="I990" s="106">
        <v>0</v>
      </c>
      <c r="J990" s="32" t="str">
        <f>UPPER(TEXT(F990,"mmm")) &amp; " - " &amp; UPPER(TEXT(G990,"mmm"))</f>
        <v>JAN - FEB</v>
      </c>
      <c r="K990" s="32" t="s">
        <v>1736</v>
      </c>
      <c r="L990" s="99" t="s">
        <v>3895</v>
      </c>
      <c r="M990" s="32" t="str">
        <f t="shared" si="34"/>
        <v>No</v>
      </c>
      <c r="N990" s="32">
        <f>G990 - F990</f>
        <v>58</v>
      </c>
      <c r="O990">
        <v>1</v>
      </c>
    </row>
    <row r="991" spans="1:15" x14ac:dyDescent="0.3">
      <c r="A991" s="53" t="s">
        <v>1328</v>
      </c>
      <c r="B991" s="61" t="s">
        <v>78</v>
      </c>
      <c r="C991" s="61" t="s">
        <v>12</v>
      </c>
      <c r="D991" s="53" t="s">
        <v>1876</v>
      </c>
      <c r="E991" s="53" t="s">
        <v>1877</v>
      </c>
      <c r="F991" s="96">
        <v>44430</v>
      </c>
      <c r="G991" s="96">
        <v>44623</v>
      </c>
      <c r="H991" s="58" t="str">
        <f t="shared" si="35"/>
        <v>ODD</v>
      </c>
      <c r="I991" s="106">
        <v>0</v>
      </c>
      <c r="J991" s="32" t="str">
        <f>UPPER(TEXT(F991,"mmm")) &amp; " - " &amp; UPPER(TEXT(G991,"mmm"))</f>
        <v>AUG - MAR</v>
      </c>
      <c r="K991" s="32" t="s">
        <v>1736</v>
      </c>
      <c r="L991" s="99" t="s">
        <v>3895</v>
      </c>
      <c r="M991" s="32" t="str">
        <f t="shared" si="34"/>
        <v>No</v>
      </c>
      <c r="N991" s="32">
        <f>G991 - F991</f>
        <v>193</v>
      </c>
      <c r="O991">
        <v>1</v>
      </c>
    </row>
    <row r="992" spans="1:15" x14ac:dyDescent="0.3">
      <c r="A992" s="53" t="s">
        <v>1377</v>
      </c>
      <c r="B992" s="61" t="s">
        <v>66</v>
      </c>
      <c r="C992" s="61" t="s">
        <v>12</v>
      </c>
      <c r="D992" s="53" t="s">
        <v>1878</v>
      </c>
      <c r="E992" s="53" t="s">
        <v>1879</v>
      </c>
      <c r="F992" s="96">
        <v>44378</v>
      </c>
      <c r="G992" s="96">
        <v>44439</v>
      </c>
      <c r="H992" s="58" t="str">
        <f t="shared" si="35"/>
        <v>EVEN</v>
      </c>
      <c r="I992" s="106">
        <v>0</v>
      </c>
      <c r="J992" s="32" t="str">
        <f>UPPER(TEXT(F992,"mmm")) &amp; " - " &amp; UPPER(TEXT(G992,"mmm"))</f>
        <v>JUL - AUG</v>
      </c>
      <c r="K992" s="32" t="s">
        <v>1736</v>
      </c>
      <c r="L992" s="99" t="s">
        <v>3895</v>
      </c>
      <c r="M992" s="32" t="str">
        <f t="shared" si="34"/>
        <v>No</v>
      </c>
      <c r="N992" s="32">
        <f>G992 - F992</f>
        <v>61</v>
      </c>
      <c r="O992">
        <v>1</v>
      </c>
    </row>
    <row r="993" spans="1:17" x14ac:dyDescent="0.3">
      <c r="A993" s="53" t="s">
        <v>1380</v>
      </c>
      <c r="B993" s="61" t="s">
        <v>66</v>
      </c>
      <c r="C993" s="61" t="s">
        <v>12</v>
      </c>
      <c r="D993" s="53" t="s">
        <v>1878</v>
      </c>
      <c r="E993" s="53" t="s">
        <v>1880</v>
      </c>
      <c r="F993" s="96">
        <v>44378</v>
      </c>
      <c r="G993" s="96">
        <v>44439</v>
      </c>
      <c r="H993" s="58" t="str">
        <f t="shared" si="35"/>
        <v>EVEN</v>
      </c>
      <c r="I993" s="106">
        <v>0</v>
      </c>
      <c r="J993" s="32" t="str">
        <f>UPPER(TEXT(F993,"mmm")) &amp; " - " &amp; UPPER(TEXT(G993,"mmm"))</f>
        <v>JUL - AUG</v>
      </c>
      <c r="K993" s="32" t="s">
        <v>1736</v>
      </c>
      <c r="L993" s="99" t="s">
        <v>3895</v>
      </c>
      <c r="M993" s="32" t="str">
        <f t="shared" si="34"/>
        <v>No</v>
      </c>
      <c r="N993" s="32">
        <f>G993 - F993</f>
        <v>61</v>
      </c>
      <c r="O993">
        <v>1</v>
      </c>
    </row>
    <row r="994" spans="1:17" x14ac:dyDescent="0.3">
      <c r="A994" s="53" t="s">
        <v>1881</v>
      </c>
      <c r="B994" s="61" t="s">
        <v>66</v>
      </c>
      <c r="C994" s="61" t="s">
        <v>12</v>
      </c>
      <c r="D994" s="53" t="s">
        <v>1878</v>
      </c>
      <c r="E994" s="53" t="s">
        <v>1882</v>
      </c>
      <c r="F994" s="96">
        <v>44378</v>
      </c>
      <c r="G994" s="96">
        <v>44439</v>
      </c>
      <c r="H994" s="58" t="str">
        <f t="shared" si="35"/>
        <v>EVEN</v>
      </c>
      <c r="I994" s="106">
        <v>0</v>
      </c>
      <c r="J994" s="32" t="str">
        <f>UPPER(TEXT(F994,"mmm")) &amp; " - " &amp; UPPER(TEXT(G994,"mmm"))</f>
        <v>JUL - AUG</v>
      </c>
      <c r="K994" s="32" t="s">
        <v>1736</v>
      </c>
      <c r="L994" s="99" t="s">
        <v>3895</v>
      </c>
      <c r="M994" s="32" t="str">
        <f t="shared" si="34"/>
        <v>No</v>
      </c>
      <c r="N994" s="32">
        <f>G994 - F994</f>
        <v>61</v>
      </c>
      <c r="O994">
        <v>1</v>
      </c>
    </row>
    <row r="995" spans="1:17" x14ac:dyDescent="0.3">
      <c r="A995" s="53" t="s">
        <v>1883</v>
      </c>
      <c r="B995" s="61" t="s">
        <v>78</v>
      </c>
      <c r="C995" s="61" t="s">
        <v>12</v>
      </c>
      <c r="D995" s="53" t="s">
        <v>1884</v>
      </c>
      <c r="E995" s="53" t="s">
        <v>393</v>
      </c>
      <c r="F995" s="96">
        <v>44434</v>
      </c>
      <c r="G995" s="96">
        <v>44561</v>
      </c>
      <c r="H995" s="58" t="str">
        <f t="shared" si="35"/>
        <v>ODD</v>
      </c>
      <c r="I995" s="106">
        <v>0</v>
      </c>
      <c r="J995" s="32" t="str">
        <f>UPPER(TEXT(F995,"mmm")) &amp; " - " &amp; UPPER(TEXT(G995,"mmm"))</f>
        <v>AUG - DEC</v>
      </c>
      <c r="K995" s="32" t="s">
        <v>1736</v>
      </c>
      <c r="L995" s="99" t="s">
        <v>3895</v>
      </c>
      <c r="M995" s="32" t="str">
        <f t="shared" si="34"/>
        <v>No</v>
      </c>
      <c r="N995" s="32">
        <f>G995 - F995</f>
        <v>127</v>
      </c>
      <c r="O995">
        <v>1</v>
      </c>
    </row>
    <row r="996" spans="1:17" x14ac:dyDescent="0.3">
      <c r="A996" s="53" t="s">
        <v>1885</v>
      </c>
      <c r="B996" s="61" t="s">
        <v>66</v>
      </c>
      <c r="C996" s="61" t="s">
        <v>12</v>
      </c>
      <c r="D996" s="53" t="s">
        <v>1800</v>
      </c>
      <c r="E996" s="53" t="s">
        <v>552</v>
      </c>
      <c r="F996" s="96">
        <v>44445</v>
      </c>
      <c r="G996" s="96">
        <v>44536</v>
      </c>
      <c r="H996" s="58" t="str">
        <f t="shared" si="35"/>
        <v>ODD</v>
      </c>
      <c r="I996" s="106">
        <v>0</v>
      </c>
      <c r="J996" s="32" t="str">
        <f>UPPER(TEXT(F996,"mmm")) &amp; " - " &amp; UPPER(TEXT(G996,"mmm"))</f>
        <v>SEP - DEC</v>
      </c>
      <c r="K996" s="32" t="s">
        <v>1736</v>
      </c>
      <c r="L996" s="99" t="s">
        <v>3895</v>
      </c>
      <c r="M996" s="32" t="str">
        <f t="shared" si="34"/>
        <v>No</v>
      </c>
      <c r="N996" s="32">
        <f>G996 - F996</f>
        <v>91</v>
      </c>
      <c r="O996">
        <v>1</v>
      </c>
    </row>
    <row r="997" spans="1:17" x14ac:dyDescent="0.3">
      <c r="A997" s="53" t="s">
        <v>1886</v>
      </c>
      <c r="B997" s="61" t="s">
        <v>11</v>
      </c>
      <c r="C997" s="61" t="s">
        <v>12</v>
      </c>
      <c r="D997" s="53" t="s">
        <v>1887</v>
      </c>
      <c r="E997" s="53" t="s">
        <v>1888</v>
      </c>
      <c r="F997" s="96">
        <v>44491</v>
      </c>
      <c r="G997" s="96">
        <v>44561</v>
      </c>
      <c r="H997" s="58" t="str">
        <f t="shared" si="35"/>
        <v>ODD</v>
      </c>
      <c r="I997" s="106">
        <v>0</v>
      </c>
      <c r="J997" s="32" t="str">
        <f>UPPER(TEXT(F997,"mmm")) &amp; " - " &amp; UPPER(TEXT(G997,"mmm"))</f>
        <v>OCT - DEC</v>
      </c>
      <c r="K997" s="32" t="s">
        <v>1736</v>
      </c>
      <c r="L997" s="61" t="s">
        <v>895</v>
      </c>
      <c r="M997" s="32" t="str">
        <f t="shared" si="34"/>
        <v>No</v>
      </c>
      <c r="N997" s="32">
        <f>G997 - F997</f>
        <v>70</v>
      </c>
      <c r="O997">
        <v>1</v>
      </c>
    </row>
    <row r="998" spans="1:17" x14ac:dyDescent="0.3">
      <c r="A998" s="53" t="s">
        <v>1696</v>
      </c>
      <c r="B998" s="61" t="s">
        <v>70</v>
      </c>
      <c r="C998" s="61" t="s">
        <v>12</v>
      </c>
      <c r="D998" s="53" t="s">
        <v>1889</v>
      </c>
      <c r="E998" s="53" t="s">
        <v>1890</v>
      </c>
      <c r="F998" s="96">
        <v>44388</v>
      </c>
      <c r="G998" s="96">
        <v>44422</v>
      </c>
      <c r="H998" s="58" t="str">
        <f t="shared" si="35"/>
        <v>EVEN</v>
      </c>
      <c r="I998" s="106">
        <v>37000</v>
      </c>
      <c r="J998" s="32" t="str">
        <f>UPPER(TEXT(F998,"mmm")) &amp; " - " &amp; UPPER(TEXT(G998,"mmm"))</f>
        <v>JUL - AUG</v>
      </c>
      <c r="K998" s="32" t="s">
        <v>1736</v>
      </c>
      <c r="L998" s="99" t="s">
        <v>3895</v>
      </c>
      <c r="M998" s="32" t="str">
        <f t="shared" si="34"/>
        <v>Yes</v>
      </c>
      <c r="N998" s="32">
        <f>G998 - F998</f>
        <v>34</v>
      </c>
      <c r="O998">
        <v>1</v>
      </c>
    </row>
    <row r="999" spans="1:17" x14ac:dyDescent="0.3">
      <c r="A999" s="53" t="s">
        <v>1891</v>
      </c>
      <c r="B999" s="61" t="s">
        <v>70</v>
      </c>
      <c r="C999" s="61" t="s">
        <v>12</v>
      </c>
      <c r="D999" s="53" t="s">
        <v>1892</v>
      </c>
      <c r="E999" s="53" t="s">
        <v>1893</v>
      </c>
      <c r="F999" s="96">
        <v>44562</v>
      </c>
      <c r="G999" s="96">
        <v>44619</v>
      </c>
      <c r="H999" s="58" t="str">
        <f t="shared" si="35"/>
        <v>EVEN</v>
      </c>
      <c r="I999" s="106">
        <v>0</v>
      </c>
      <c r="J999" s="32" t="str">
        <f>UPPER(TEXT(F999,"mmm")) &amp; " - " &amp; UPPER(TEXT(G999,"mmm"))</f>
        <v>JAN - FEB</v>
      </c>
      <c r="K999" s="32" t="s">
        <v>1736</v>
      </c>
      <c r="L999" s="99" t="s">
        <v>3895</v>
      </c>
      <c r="M999" s="32" t="str">
        <f t="shared" si="34"/>
        <v>No</v>
      </c>
      <c r="N999" s="32">
        <f>G999 - F999</f>
        <v>57</v>
      </c>
      <c r="O999">
        <v>1</v>
      </c>
    </row>
    <row r="1000" spans="1:17" x14ac:dyDescent="0.3">
      <c r="A1000" s="53" t="s">
        <v>1894</v>
      </c>
      <c r="B1000" s="61" t="s">
        <v>70</v>
      </c>
      <c r="C1000" s="61" t="s">
        <v>12</v>
      </c>
      <c r="D1000" s="53" t="s">
        <v>1005</v>
      </c>
      <c r="E1000" s="53" t="s">
        <v>1895</v>
      </c>
      <c r="F1000" s="96">
        <v>44440</v>
      </c>
      <c r="G1000" s="96">
        <v>44470</v>
      </c>
      <c r="H1000" s="58" t="str">
        <f t="shared" si="35"/>
        <v>ODD</v>
      </c>
      <c r="I1000" s="106">
        <v>0</v>
      </c>
      <c r="J1000" s="32" t="str">
        <f>UPPER(TEXT(F1000,"mmm")) &amp; " - " &amp; UPPER(TEXT(G1000,"mmm"))</f>
        <v>SEP - OCT</v>
      </c>
      <c r="K1000" s="32" t="s">
        <v>1736</v>
      </c>
      <c r="L1000" s="99" t="s">
        <v>3895</v>
      </c>
      <c r="M1000" s="32" t="str">
        <f t="shared" si="34"/>
        <v>No</v>
      </c>
      <c r="N1000" s="32">
        <f>G1000 - F1000</f>
        <v>30</v>
      </c>
      <c r="O1000">
        <v>1</v>
      </c>
    </row>
    <row r="1001" spans="1:17" x14ac:dyDescent="0.3">
      <c r="A1001" s="53" t="s">
        <v>1894</v>
      </c>
      <c r="B1001" s="61" t="s">
        <v>70</v>
      </c>
      <c r="C1001" s="61" t="s">
        <v>12</v>
      </c>
      <c r="D1001" s="53" t="s">
        <v>1896</v>
      </c>
      <c r="E1001" s="53" t="s">
        <v>408</v>
      </c>
      <c r="F1001" s="96">
        <v>44484</v>
      </c>
      <c r="G1001" s="96">
        <v>44593</v>
      </c>
      <c r="H1001" s="58" t="str">
        <f t="shared" si="35"/>
        <v>ODD</v>
      </c>
      <c r="I1001" s="106">
        <v>0</v>
      </c>
      <c r="J1001" s="32" t="str">
        <f>UPPER(TEXT(F1001,"mmm")) &amp; " - " &amp; UPPER(TEXT(G1001,"mmm"))</f>
        <v>OCT - FEB</v>
      </c>
      <c r="K1001" s="32" t="s">
        <v>1736</v>
      </c>
      <c r="L1001" s="99" t="s">
        <v>3895</v>
      </c>
      <c r="M1001" s="32" t="str">
        <f t="shared" si="34"/>
        <v>No</v>
      </c>
      <c r="N1001" s="32">
        <f>G1001 - F1001</f>
        <v>109</v>
      </c>
      <c r="O1001">
        <v>1</v>
      </c>
    </row>
    <row r="1002" spans="1:17" x14ac:dyDescent="0.3">
      <c r="A1002" s="53" t="s">
        <v>1897</v>
      </c>
      <c r="B1002" s="61" t="s">
        <v>78</v>
      </c>
      <c r="C1002" s="61" t="s">
        <v>12</v>
      </c>
      <c r="D1002" s="53" t="s">
        <v>1898</v>
      </c>
      <c r="E1002" s="53" t="s">
        <v>927</v>
      </c>
      <c r="F1002" s="96">
        <v>44425</v>
      </c>
      <c r="G1002" s="96">
        <v>44477</v>
      </c>
      <c r="H1002" s="58" t="str">
        <f t="shared" si="35"/>
        <v>ODD</v>
      </c>
      <c r="I1002" s="106">
        <v>0</v>
      </c>
      <c r="J1002" s="32" t="str">
        <f>UPPER(TEXT(F1002,"mmm")) &amp; " - " &amp; UPPER(TEXT(G1002,"mmm"))</f>
        <v>AUG - OCT</v>
      </c>
      <c r="K1002" s="32" t="s">
        <v>1736</v>
      </c>
      <c r="L1002" s="61" t="s">
        <v>895</v>
      </c>
      <c r="M1002" s="32" t="str">
        <f t="shared" si="34"/>
        <v>No</v>
      </c>
      <c r="N1002" s="32">
        <f>G1002 - F1002</f>
        <v>52</v>
      </c>
      <c r="O1002">
        <v>1</v>
      </c>
    </row>
    <row r="1003" spans="1:17" x14ac:dyDescent="0.3">
      <c r="A1003" s="53" t="s">
        <v>1619</v>
      </c>
      <c r="B1003" s="61" t="s">
        <v>78</v>
      </c>
      <c r="C1003" s="61" t="s">
        <v>12</v>
      </c>
      <c r="D1003" s="53" t="s">
        <v>1899</v>
      </c>
      <c r="E1003" s="53" t="s">
        <v>1900</v>
      </c>
      <c r="F1003" s="96">
        <v>44589</v>
      </c>
      <c r="G1003" s="96">
        <v>44743</v>
      </c>
      <c r="H1003" s="32" t="str">
        <f t="shared" ref="H1003" si="36">IF((AND(F1003&gt;=DATE(2019,7,15),F1003&lt;=DATE(2019,12,31))),"ODD", "EVEN")</f>
        <v>EVEN</v>
      </c>
      <c r="I1003" s="106">
        <v>0</v>
      </c>
      <c r="J1003" s="3" t="str">
        <f>UPPER(TEXT(F1003,"mmm")) &amp; " - " &amp; UPPER(TEXT(G1003,"mmm"))</f>
        <v>JAN - JUL</v>
      </c>
      <c r="K1003" s="32" t="s">
        <v>1736</v>
      </c>
      <c r="L1003" s="99" t="s">
        <v>3895</v>
      </c>
      <c r="M1003" s="32" t="str">
        <f t="shared" si="34"/>
        <v>No</v>
      </c>
      <c r="N1003" s="32">
        <f>G1003 - F1003</f>
        <v>154</v>
      </c>
      <c r="O1003">
        <v>1</v>
      </c>
      <c r="P1003" s="96"/>
      <c r="Q1003" s="96"/>
    </row>
    <row r="1004" spans="1:17" x14ac:dyDescent="0.3">
      <c r="A1004" s="53" t="s">
        <v>1901</v>
      </c>
      <c r="B1004" s="61" t="s">
        <v>78</v>
      </c>
      <c r="C1004" s="61" t="s">
        <v>12</v>
      </c>
      <c r="D1004" s="53" t="s">
        <v>1902</v>
      </c>
      <c r="E1004" s="53" t="s">
        <v>1903</v>
      </c>
      <c r="F1004" s="96">
        <v>44581</v>
      </c>
      <c r="G1004" s="96">
        <v>44602</v>
      </c>
      <c r="H1004" s="58" t="str">
        <f t="shared" si="35"/>
        <v>EVEN</v>
      </c>
      <c r="I1004" s="106">
        <v>0</v>
      </c>
      <c r="J1004" s="32" t="str">
        <f>UPPER(TEXT(F1004,"mmm")) &amp; " - " &amp; UPPER(TEXT(G1004,"mmm"))</f>
        <v>JAN - FEB</v>
      </c>
      <c r="K1004" s="32" t="s">
        <v>1736</v>
      </c>
      <c r="L1004" s="61" t="s">
        <v>895</v>
      </c>
      <c r="M1004" s="32" t="str">
        <f t="shared" si="34"/>
        <v>No</v>
      </c>
      <c r="N1004" s="32">
        <f>G1004 - F1004</f>
        <v>21</v>
      </c>
      <c r="O1004">
        <v>1</v>
      </c>
    </row>
    <row r="1005" spans="1:17" x14ac:dyDescent="0.3">
      <c r="A1005" s="53" t="s">
        <v>1904</v>
      </c>
      <c r="B1005" s="61" t="s">
        <v>78</v>
      </c>
      <c r="C1005" s="61" t="s">
        <v>12</v>
      </c>
      <c r="D1005" s="53" t="s">
        <v>1898</v>
      </c>
      <c r="E1005" s="53" t="s">
        <v>1905</v>
      </c>
      <c r="F1005" s="96">
        <v>44425</v>
      </c>
      <c r="G1005" s="96">
        <v>44576</v>
      </c>
      <c r="H1005" s="58" t="str">
        <f t="shared" si="35"/>
        <v>ODD</v>
      </c>
      <c r="I1005" s="106">
        <v>0</v>
      </c>
      <c r="J1005" s="32" t="str">
        <f>UPPER(TEXT(F1005,"mmm")) &amp; " - " &amp; UPPER(TEXT(G1005,"mmm"))</f>
        <v>AUG - JAN</v>
      </c>
      <c r="K1005" s="32" t="s">
        <v>1736</v>
      </c>
      <c r="L1005" s="61" t="s">
        <v>895</v>
      </c>
      <c r="M1005" s="32" t="str">
        <f t="shared" si="34"/>
        <v>No</v>
      </c>
      <c r="N1005" s="32">
        <f>G1005 - F1005</f>
        <v>151</v>
      </c>
      <c r="O1005">
        <v>1</v>
      </c>
    </row>
    <row r="1006" spans="1:17" x14ac:dyDescent="0.3">
      <c r="A1006" s="53" t="s">
        <v>1566</v>
      </c>
      <c r="B1006" s="61" t="s">
        <v>78</v>
      </c>
      <c r="C1006" s="61" t="s">
        <v>12</v>
      </c>
      <c r="D1006" s="53" t="s">
        <v>1906</v>
      </c>
      <c r="E1006" s="53" t="s">
        <v>389</v>
      </c>
      <c r="F1006" s="96">
        <v>44497</v>
      </c>
      <c r="G1006" s="96">
        <v>44645</v>
      </c>
      <c r="H1006" s="58" t="str">
        <f t="shared" si="35"/>
        <v>ODD</v>
      </c>
      <c r="I1006" s="106">
        <v>0</v>
      </c>
      <c r="J1006" s="32" t="str">
        <f>UPPER(TEXT(F1006,"mmm")) &amp; " - " &amp; UPPER(TEXT(G1006,"mmm"))</f>
        <v>OCT - MAR</v>
      </c>
      <c r="K1006" s="32" t="s">
        <v>1736</v>
      </c>
      <c r="L1006" s="99" t="s">
        <v>3895</v>
      </c>
      <c r="M1006" s="32" t="str">
        <f t="shared" si="34"/>
        <v>No</v>
      </c>
      <c r="N1006" s="32">
        <f>G1006 - F1006</f>
        <v>148</v>
      </c>
      <c r="O1006">
        <v>1</v>
      </c>
    </row>
    <row r="1007" spans="1:17" x14ac:dyDescent="0.3">
      <c r="A1007" s="53" t="s">
        <v>1907</v>
      </c>
      <c r="B1007" s="61" t="s">
        <v>78</v>
      </c>
      <c r="C1007" s="61" t="s">
        <v>12</v>
      </c>
      <c r="D1007" s="53" t="s">
        <v>1674</v>
      </c>
      <c r="E1007" s="53" t="s">
        <v>1908</v>
      </c>
      <c r="F1007" s="96">
        <v>44440</v>
      </c>
      <c r="G1007" s="96">
        <v>44592</v>
      </c>
      <c r="H1007" s="58" t="str">
        <f t="shared" si="35"/>
        <v>ODD</v>
      </c>
      <c r="I1007" s="106">
        <v>0</v>
      </c>
      <c r="J1007" s="32" t="str">
        <f>UPPER(TEXT(F1007,"mmm")) &amp; " - " &amp; UPPER(TEXT(G1007,"mmm"))</f>
        <v>SEP - JAN</v>
      </c>
      <c r="K1007" s="32" t="s">
        <v>1736</v>
      </c>
      <c r="L1007" s="99" t="s">
        <v>3895</v>
      </c>
      <c r="M1007" s="32" t="str">
        <f t="shared" si="34"/>
        <v>No</v>
      </c>
      <c r="N1007" s="32">
        <f>G1007 - F1007</f>
        <v>152</v>
      </c>
      <c r="O1007">
        <v>1</v>
      </c>
    </row>
    <row r="1008" spans="1:17" x14ac:dyDescent="0.3">
      <c r="A1008" s="53" t="s">
        <v>1909</v>
      </c>
      <c r="B1008" s="61" t="s">
        <v>78</v>
      </c>
      <c r="C1008" s="61" t="s">
        <v>12</v>
      </c>
      <c r="D1008" s="53" t="s">
        <v>1674</v>
      </c>
      <c r="E1008" s="53" t="s">
        <v>1520</v>
      </c>
      <c r="F1008" s="96">
        <v>44409</v>
      </c>
      <c r="G1008" s="96">
        <v>44620</v>
      </c>
      <c r="H1008" s="58" t="str">
        <f t="shared" si="35"/>
        <v>ODD</v>
      </c>
      <c r="I1008" s="106">
        <v>0</v>
      </c>
      <c r="J1008" s="32" t="str">
        <f>UPPER(TEXT(F1008,"mmm")) &amp; " - " &amp; UPPER(TEXT(G1008,"mmm"))</f>
        <v>AUG - FEB</v>
      </c>
      <c r="K1008" s="32" t="s">
        <v>1736</v>
      </c>
      <c r="L1008" s="99" t="s">
        <v>3895</v>
      </c>
      <c r="M1008" s="32" t="str">
        <f t="shared" si="34"/>
        <v>No</v>
      </c>
      <c r="N1008" s="32">
        <f>G1008 - F1008</f>
        <v>211</v>
      </c>
      <c r="O1008">
        <v>1</v>
      </c>
    </row>
    <row r="1009" spans="1:15" x14ac:dyDescent="0.3">
      <c r="A1009" s="53" t="s">
        <v>1910</v>
      </c>
      <c r="B1009" s="61" t="s">
        <v>78</v>
      </c>
      <c r="C1009" s="61" t="s">
        <v>12</v>
      </c>
      <c r="D1009" s="53" t="s">
        <v>1911</v>
      </c>
      <c r="E1009" s="53" t="s">
        <v>1520</v>
      </c>
      <c r="F1009" s="96">
        <v>44409</v>
      </c>
      <c r="G1009" s="96">
        <v>44585</v>
      </c>
      <c r="H1009" s="58" t="str">
        <f t="shared" si="35"/>
        <v>ODD</v>
      </c>
      <c r="I1009" s="106">
        <v>0</v>
      </c>
      <c r="J1009" s="32" t="str">
        <f>UPPER(TEXT(F1009,"mmm")) &amp; " - " &amp; UPPER(TEXT(G1009,"mmm"))</f>
        <v>AUG - JAN</v>
      </c>
      <c r="K1009" s="32" t="s">
        <v>1736</v>
      </c>
      <c r="L1009" s="99" t="s">
        <v>3895</v>
      </c>
      <c r="M1009" s="32" t="str">
        <f t="shared" si="34"/>
        <v>No</v>
      </c>
      <c r="N1009" s="32">
        <f>G1009 - F1009</f>
        <v>176</v>
      </c>
      <c r="O1009">
        <v>1</v>
      </c>
    </row>
    <row r="1010" spans="1:15" x14ac:dyDescent="0.3">
      <c r="A1010" s="53" t="s">
        <v>1912</v>
      </c>
      <c r="B1010" s="61" t="s">
        <v>78</v>
      </c>
      <c r="C1010" s="61" t="s">
        <v>12</v>
      </c>
      <c r="D1010" s="53" t="s">
        <v>1913</v>
      </c>
      <c r="E1010" s="53" t="s">
        <v>1914</v>
      </c>
      <c r="F1010" s="96">
        <v>44431</v>
      </c>
      <c r="G1010" s="96">
        <v>44486</v>
      </c>
      <c r="H1010" s="58" t="str">
        <f t="shared" si="35"/>
        <v>ODD</v>
      </c>
      <c r="I1010" s="106">
        <v>0</v>
      </c>
      <c r="J1010" s="32" t="str">
        <f>UPPER(TEXT(F1010,"mmm")) &amp; " - " &amp; UPPER(TEXT(G1010,"mmm"))</f>
        <v>AUG - OCT</v>
      </c>
      <c r="K1010" s="32" t="s">
        <v>1736</v>
      </c>
      <c r="L1010" s="99" t="s">
        <v>3895</v>
      </c>
      <c r="M1010" s="32" t="str">
        <f t="shared" si="34"/>
        <v>No</v>
      </c>
      <c r="N1010" s="32">
        <f>G1010 - F1010</f>
        <v>55</v>
      </c>
      <c r="O1010">
        <v>1</v>
      </c>
    </row>
    <row r="1011" spans="1:15" x14ac:dyDescent="0.3">
      <c r="A1011" s="53" t="s">
        <v>1372</v>
      </c>
      <c r="B1011" s="61" t="s">
        <v>78</v>
      </c>
      <c r="C1011" s="61" t="s">
        <v>12</v>
      </c>
      <c r="D1011" s="53" t="s">
        <v>1915</v>
      </c>
      <c r="E1011" s="53" t="s">
        <v>1916</v>
      </c>
      <c r="F1011" s="96">
        <v>44403</v>
      </c>
      <c r="G1011" s="96">
        <v>44416</v>
      </c>
      <c r="H1011" s="58" t="str">
        <f t="shared" si="35"/>
        <v>ODD</v>
      </c>
      <c r="I1011" s="106">
        <v>0</v>
      </c>
      <c r="J1011" s="32" t="str">
        <f>UPPER(TEXT(F1011,"mmm")) &amp; " - " &amp; UPPER(TEXT(G1011,"mmm"))</f>
        <v>JUL - AUG</v>
      </c>
      <c r="K1011" s="32" t="s">
        <v>1736</v>
      </c>
      <c r="L1011" s="99" t="s">
        <v>3895</v>
      </c>
      <c r="M1011" s="32" t="str">
        <f t="shared" si="34"/>
        <v>No</v>
      </c>
      <c r="N1011" s="32">
        <f>G1011 - F1011</f>
        <v>13</v>
      </c>
      <c r="O1011">
        <v>1</v>
      </c>
    </row>
    <row r="1012" spans="1:15" x14ac:dyDescent="0.3">
      <c r="A1012" s="53" t="s">
        <v>1917</v>
      </c>
      <c r="B1012" s="61" t="s">
        <v>78</v>
      </c>
      <c r="C1012" s="61" t="s">
        <v>12</v>
      </c>
      <c r="D1012" s="53" t="s">
        <v>1918</v>
      </c>
      <c r="E1012" s="53" t="s">
        <v>1919</v>
      </c>
      <c r="F1012" s="96">
        <v>44487</v>
      </c>
      <c r="G1012" s="96">
        <v>44651</v>
      </c>
      <c r="H1012" s="58" t="str">
        <f t="shared" si="35"/>
        <v>ODD</v>
      </c>
      <c r="I1012" s="106">
        <v>20000</v>
      </c>
      <c r="J1012" s="32" t="str">
        <f>UPPER(TEXT(F1012,"mmm")) &amp; " - " &amp; UPPER(TEXT(G1012,"mmm"))</f>
        <v>OCT - MAR</v>
      </c>
      <c r="K1012" s="32" t="s">
        <v>1736</v>
      </c>
      <c r="L1012" s="99" t="s">
        <v>3895</v>
      </c>
      <c r="M1012" s="32" t="str">
        <f t="shared" si="34"/>
        <v>Yes</v>
      </c>
      <c r="N1012" s="32">
        <f>G1012 - F1012</f>
        <v>164</v>
      </c>
      <c r="O1012">
        <v>1</v>
      </c>
    </row>
    <row r="1013" spans="1:15" x14ac:dyDescent="0.3">
      <c r="A1013" s="53" t="s">
        <v>1682</v>
      </c>
      <c r="B1013" s="61" t="s">
        <v>78</v>
      </c>
      <c r="C1013" s="61" t="s">
        <v>12</v>
      </c>
      <c r="D1013" s="53" t="s">
        <v>1906</v>
      </c>
      <c r="E1013" s="53" t="s">
        <v>389</v>
      </c>
      <c r="F1013" s="96">
        <v>44497</v>
      </c>
      <c r="G1013" s="96">
        <v>44645</v>
      </c>
      <c r="H1013" s="58" t="str">
        <f t="shared" si="35"/>
        <v>ODD</v>
      </c>
      <c r="I1013" s="106">
        <v>0</v>
      </c>
      <c r="J1013" s="32" t="str">
        <f>UPPER(TEXT(F1013,"mmm")) &amp; " - " &amp; UPPER(TEXT(G1013,"mmm"))</f>
        <v>OCT - MAR</v>
      </c>
      <c r="K1013" s="32" t="s">
        <v>1736</v>
      </c>
      <c r="L1013" s="61" t="s">
        <v>895</v>
      </c>
      <c r="M1013" s="32" t="str">
        <f t="shared" si="34"/>
        <v>No</v>
      </c>
      <c r="N1013" s="32">
        <f>G1013 - F1013</f>
        <v>148</v>
      </c>
      <c r="O1013">
        <v>1</v>
      </c>
    </row>
    <row r="1014" spans="1:15" x14ac:dyDescent="0.3">
      <c r="A1014" s="53" t="s">
        <v>1545</v>
      </c>
      <c r="B1014" s="61" t="s">
        <v>66</v>
      </c>
      <c r="C1014" s="61" t="s">
        <v>12</v>
      </c>
      <c r="D1014" s="53" t="s">
        <v>1920</v>
      </c>
      <c r="E1014" s="53" t="s">
        <v>1542</v>
      </c>
      <c r="F1014" s="96">
        <v>44401</v>
      </c>
      <c r="G1014" s="96">
        <v>44464</v>
      </c>
      <c r="H1014" s="58" t="str">
        <f t="shared" si="35"/>
        <v>ODD</v>
      </c>
      <c r="I1014" s="106">
        <v>1000</v>
      </c>
      <c r="J1014" s="32" t="str">
        <f>UPPER(TEXT(F1014,"mmm")) &amp; " - " &amp; UPPER(TEXT(G1014,"mmm"))</f>
        <v>JUL - SEP</v>
      </c>
      <c r="K1014" s="32" t="s">
        <v>1736</v>
      </c>
      <c r="L1014" s="99" t="s">
        <v>3895</v>
      </c>
      <c r="M1014" s="32" t="str">
        <f t="shared" si="34"/>
        <v>Yes</v>
      </c>
      <c r="N1014" s="32">
        <f>G1014 - F1014</f>
        <v>63</v>
      </c>
      <c r="O1014">
        <v>1</v>
      </c>
    </row>
    <row r="1015" spans="1:15" x14ac:dyDescent="0.3">
      <c r="A1015" s="53" t="s">
        <v>1921</v>
      </c>
      <c r="B1015" s="61" t="s">
        <v>66</v>
      </c>
      <c r="C1015" s="61" t="s">
        <v>12</v>
      </c>
      <c r="D1015" s="53" t="s">
        <v>1922</v>
      </c>
      <c r="E1015" s="53" t="s">
        <v>1923</v>
      </c>
      <c r="F1015" s="96">
        <v>44501</v>
      </c>
      <c r="G1015" s="96">
        <v>44561</v>
      </c>
      <c r="H1015" s="58" t="str">
        <f t="shared" si="35"/>
        <v>ODD</v>
      </c>
      <c r="I1015" s="106">
        <v>0</v>
      </c>
      <c r="J1015" s="32" t="str">
        <f>UPPER(TEXT(F1015,"mmm")) &amp; " - " &amp; UPPER(TEXT(G1015,"mmm"))</f>
        <v>NOV - DEC</v>
      </c>
      <c r="K1015" s="32" t="s">
        <v>1736</v>
      </c>
      <c r="L1015" s="99" t="s">
        <v>3895</v>
      </c>
      <c r="M1015" s="32" t="str">
        <f t="shared" si="34"/>
        <v>No</v>
      </c>
      <c r="N1015" s="32">
        <f>G1015 - F1015</f>
        <v>60</v>
      </c>
      <c r="O1015">
        <v>1</v>
      </c>
    </row>
    <row r="1016" spans="1:15" x14ac:dyDescent="0.3">
      <c r="A1016" s="53" t="s">
        <v>1921</v>
      </c>
      <c r="B1016" s="61" t="s">
        <v>66</v>
      </c>
      <c r="C1016" s="61" t="s">
        <v>12</v>
      </c>
      <c r="D1016" s="53" t="s">
        <v>1924</v>
      </c>
      <c r="E1016" s="53" t="s">
        <v>927</v>
      </c>
      <c r="F1016" s="96">
        <v>44562</v>
      </c>
      <c r="G1016" s="96">
        <v>44651</v>
      </c>
      <c r="H1016" s="58" t="str">
        <f t="shared" si="35"/>
        <v>EVEN</v>
      </c>
      <c r="I1016" s="106">
        <v>0</v>
      </c>
      <c r="J1016" s="32" t="str">
        <f>UPPER(TEXT(F1016,"mmm")) &amp; " - " &amp; UPPER(TEXT(G1016,"mmm"))</f>
        <v>JAN - MAR</v>
      </c>
      <c r="K1016" s="32" t="s">
        <v>1736</v>
      </c>
      <c r="L1016" s="99" t="s">
        <v>3895</v>
      </c>
      <c r="M1016" s="32" t="str">
        <f t="shared" si="34"/>
        <v>No</v>
      </c>
      <c r="N1016" s="32">
        <f>G1016 - F1016</f>
        <v>89</v>
      </c>
      <c r="O1016">
        <v>1</v>
      </c>
    </row>
    <row r="1017" spans="1:15" x14ac:dyDescent="0.3">
      <c r="A1017" s="53" t="s">
        <v>1690</v>
      </c>
      <c r="B1017" s="61" t="s">
        <v>66</v>
      </c>
      <c r="C1017" s="61" t="s">
        <v>12</v>
      </c>
      <c r="D1017" s="53" t="s">
        <v>1925</v>
      </c>
      <c r="E1017" s="53" t="s">
        <v>1926</v>
      </c>
      <c r="F1017" s="96">
        <v>44601</v>
      </c>
      <c r="G1017" s="96">
        <v>44660</v>
      </c>
      <c r="H1017" s="58" t="str">
        <f t="shared" si="35"/>
        <v>EVEN</v>
      </c>
      <c r="I1017" s="106">
        <v>3000</v>
      </c>
      <c r="J1017" s="32" t="str">
        <f>UPPER(TEXT(F1017,"mmm")) &amp; " - " &amp; UPPER(TEXT(G1017,"mmm"))</f>
        <v>FEB - APR</v>
      </c>
      <c r="K1017" s="32" t="s">
        <v>1736</v>
      </c>
      <c r="L1017" s="99" t="s">
        <v>3895</v>
      </c>
      <c r="M1017" s="32" t="str">
        <f t="shared" si="34"/>
        <v>Yes</v>
      </c>
      <c r="N1017" s="32">
        <f>G1017 - F1017</f>
        <v>59</v>
      </c>
      <c r="O1017">
        <v>1</v>
      </c>
    </row>
    <row r="1018" spans="1:15" x14ac:dyDescent="0.3">
      <c r="A1018" s="53" t="s">
        <v>1686</v>
      </c>
      <c r="B1018" s="61" t="s">
        <v>66</v>
      </c>
      <c r="C1018" s="61" t="s">
        <v>12</v>
      </c>
      <c r="D1018" s="53" t="s">
        <v>1927</v>
      </c>
      <c r="E1018" s="53" t="s">
        <v>1044</v>
      </c>
      <c r="F1018" s="96">
        <v>44378</v>
      </c>
      <c r="G1018" s="96">
        <v>44409</v>
      </c>
      <c r="H1018" s="58" t="str">
        <f t="shared" si="35"/>
        <v>EVEN</v>
      </c>
      <c r="I1018" s="106">
        <v>0</v>
      </c>
      <c r="J1018" s="32" t="str">
        <f>UPPER(TEXT(F1018,"mmm")) &amp; " - " &amp; UPPER(TEXT(G1018,"mmm"))</f>
        <v>JUL - AUG</v>
      </c>
      <c r="K1018" s="32" t="s">
        <v>1736</v>
      </c>
      <c r="L1018" s="99" t="s">
        <v>3895</v>
      </c>
      <c r="M1018" s="32" t="str">
        <f t="shared" si="34"/>
        <v>No</v>
      </c>
      <c r="N1018" s="32">
        <f>G1018 - F1018</f>
        <v>31</v>
      </c>
      <c r="O1018">
        <v>1</v>
      </c>
    </row>
    <row r="1019" spans="1:15" x14ac:dyDescent="0.3">
      <c r="A1019" s="53" t="s">
        <v>1686</v>
      </c>
      <c r="B1019" s="61" t="s">
        <v>66</v>
      </c>
      <c r="C1019" s="61" t="s">
        <v>12</v>
      </c>
      <c r="D1019" s="53" t="s">
        <v>1928</v>
      </c>
      <c r="E1019" s="53" t="s">
        <v>434</v>
      </c>
      <c r="F1019" s="96">
        <v>44424</v>
      </c>
      <c r="G1019" s="96">
        <v>44508</v>
      </c>
      <c r="H1019" s="58" t="str">
        <f t="shared" si="35"/>
        <v>ODD</v>
      </c>
      <c r="I1019" s="106">
        <v>4000</v>
      </c>
      <c r="J1019" s="32" t="str">
        <f>UPPER(TEXT(F1019,"mmm")) &amp; " - " &amp; UPPER(TEXT(G1019,"mmm"))</f>
        <v>AUG - NOV</v>
      </c>
      <c r="K1019" s="32" t="s">
        <v>1736</v>
      </c>
      <c r="L1019" s="99" t="s">
        <v>3895</v>
      </c>
      <c r="M1019" s="32" t="str">
        <f t="shared" si="34"/>
        <v>Yes</v>
      </c>
      <c r="N1019" s="32">
        <f>G1019 - F1019</f>
        <v>84</v>
      </c>
      <c r="O1019">
        <v>1</v>
      </c>
    </row>
    <row r="1020" spans="1:15" x14ac:dyDescent="0.3">
      <c r="A1020" s="53" t="s">
        <v>1929</v>
      </c>
      <c r="B1020" s="61" t="s">
        <v>66</v>
      </c>
      <c r="C1020" s="61" t="s">
        <v>12</v>
      </c>
      <c r="D1020" s="53" t="s">
        <v>1930</v>
      </c>
      <c r="E1020" s="53" t="s">
        <v>1931</v>
      </c>
      <c r="F1020" s="96">
        <v>44392</v>
      </c>
      <c r="G1020" s="96">
        <v>44427</v>
      </c>
      <c r="H1020" s="58" t="str">
        <f t="shared" si="35"/>
        <v>ODD</v>
      </c>
      <c r="I1020" s="106">
        <v>0</v>
      </c>
      <c r="J1020" s="32" t="str">
        <f>UPPER(TEXT(F1020,"mmm")) &amp; " - " &amp; UPPER(TEXT(G1020,"mmm"))</f>
        <v>JUL - AUG</v>
      </c>
      <c r="K1020" s="32" t="s">
        <v>1736</v>
      </c>
      <c r="L1020" s="99" t="s">
        <v>3895</v>
      </c>
      <c r="M1020" s="32" t="str">
        <f t="shared" si="34"/>
        <v>No</v>
      </c>
      <c r="N1020" s="32">
        <f>G1020 - F1020</f>
        <v>35</v>
      </c>
      <c r="O1020">
        <v>1</v>
      </c>
    </row>
    <row r="1021" spans="1:15" x14ac:dyDescent="0.3">
      <c r="A1021" s="53" t="s">
        <v>1932</v>
      </c>
      <c r="B1021" s="61" t="s">
        <v>11</v>
      </c>
      <c r="C1021" s="61" t="s">
        <v>12</v>
      </c>
      <c r="D1021" s="53" t="s">
        <v>1911</v>
      </c>
      <c r="E1021" s="53" t="s">
        <v>1933</v>
      </c>
      <c r="F1021" s="96">
        <v>44440</v>
      </c>
      <c r="G1021" s="96">
        <v>44592</v>
      </c>
      <c r="H1021" s="58" t="str">
        <f t="shared" si="35"/>
        <v>ODD</v>
      </c>
      <c r="I1021" s="106">
        <v>0</v>
      </c>
      <c r="J1021" s="32" t="str">
        <f>UPPER(TEXT(F1021,"mmm")) &amp; " - " &amp; UPPER(TEXT(G1021,"mmm"))</f>
        <v>SEP - JAN</v>
      </c>
      <c r="K1021" s="32" t="s">
        <v>1736</v>
      </c>
      <c r="L1021" s="99" t="s">
        <v>3895</v>
      </c>
      <c r="M1021" s="32" t="str">
        <f t="shared" si="34"/>
        <v>No</v>
      </c>
      <c r="N1021" s="32">
        <f>G1021 - F1021</f>
        <v>152</v>
      </c>
      <c r="O1021">
        <v>1</v>
      </c>
    </row>
    <row r="1022" spans="1:15" x14ac:dyDescent="0.3">
      <c r="A1022" s="53" t="s">
        <v>1934</v>
      </c>
      <c r="B1022" s="61" t="s">
        <v>70</v>
      </c>
      <c r="C1022" s="61" t="s">
        <v>12</v>
      </c>
      <c r="D1022" s="53" t="s">
        <v>1935</v>
      </c>
      <c r="E1022" s="53" t="s">
        <v>1936</v>
      </c>
      <c r="F1022" s="96">
        <v>44550</v>
      </c>
      <c r="G1022" s="96">
        <v>44672</v>
      </c>
      <c r="H1022" s="58" t="str">
        <f t="shared" si="35"/>
        <v>ODD</v>
      </c>
      <c r="I1022" s="106">
        <v>10000</v>
      </c>
      <c r="J1022" s="32" t="str">
        <f>UPPER(TEXT(F1022,"mmm")) &amp; " - " &amp; UPPER(TEXT(G1022,"mmm"))</f>
        <v>DEC - APR</v>
      </c>
      <c r="K1022" s="32" t="s">
        <v>1736</v>
      </c>
      <c r="L1022" s="99" t="s">
        <v>3895</v>
      </c>
      <c r="M1022" s="32" t="str">
        <f t="shared" si="34"/>
        <v>Yes</v>
      </c>
      <c r="N1022" s="32">
        <f>G1022 - F1022</f>
        <v>122</v>
      </c>
      <c r="O1022">
        <v>1</v>
      </c>
    </row>
    <row r="1023" spans="1:15" x14ac:dyDescent="0.3">
      <c r="A1023" s="53" t="s">
        <v>1937</v>
      </c>
      <c r="B1023" s="61" t="s">
        <v>70</v>
      </c>
      <c r="C1023" s="61" t="s">
        <v>12</v>
      </c>
      <c r="D1023" s="53" t="s">
        <v>1938</v>
      </c>
      <c r="E1023" s="53" t="s">
        <v>408</v>
      </c>
      <c r="F1023" s="96">
        <v>44606</v>
      </c>
      <c r="G1023" s="96">
        <v>44682</v>
      </c>
      <c r="H1023" s="58" t="str">
        <f t="shared" si="35"/>
        <v>EVEN</v>
      </c>
      <c r="I1023" s="106">
        <v>0</v>
      </c>
      <c r="J1023" s="32" t="str">
        <f>UPPER(TEXT(F1023,"mmm")) &amp; " - " &amp; UPPER(TEXT(G1023,"mmm"))</f>
        <v>FEB - MAY</v>
      </c>
      <c r="K1023" s="32" t="s">
        <v>1736</v>
      </c>
      <c r="L1023" s="99" t="s">
        <v>3895</v>
      </c>
      <c r="M1023" s="32" t="str">
        <f t="shared" si="34"/>
        <v>No</v>
      </c>
      <c r="N1023" s="32">
        <f>G1023 - F1023</f>
        <v>76</v>
      </c>
      <c r="O1023">
        <v>1</v>
      </c>
    </row>
    <row r="1024" spans="1:15" x14ac:dyDescent="0.3">
      <c r="A1024" s="53" t="s">
        <v>628</v>
      </c>
      <c r="B1024" s="61" t="s">
        <v>70</v>
      </c>
      <c r="C1024" s="61" t="s">
        <v>12</v>
      </c>
      <c r="D1024" s="53" t="s">
        <v>1007</v>
      </c>
      <c r="E1024" s="53" t="s">
        <v>1939</v>
      </c>
      <c r="F1024" s="96">
        <v>44531</v>
      </c>
      <c r="G1024" s="96">
        <v>44592</v>
      </c>
      <c r="H1024" s="58" t="str">
        <f t="shared" si="35"/>
        <v>ODD</v>
      </c>
      <c r="I1024" s="106">
        <v>0</v>
      </c>
      <c r="J1024" s="32" t="str">
        <f>UPPER(TEXT(F1024,"mmm")) &amp; " - " &amp; UPPER(TEXT(G1024,"mmm"))</f>
        <v>DEC - JAN</v>
      </c>
      <c r="K1024" s="32" t="s">
        <v>1736</v>
      </c>
      <c r="L1024" s="99" t="s">
        <v>3895</v>
      </c>
      <c r="M1024" s="32" t="str">
        <f t="shared" si="34"/>
        <v>No</v>
      </c>
      <c r="N1024" s="32">
        <f>G1024 - F1024</f>
        <v>61</v>
      </c>
      <c r="O1024">
        <v>1</v>
      </c>
    </row>
    <row r="1025" spans="1:17" x14ac:dyDescent="0.3">
      <c r="A1025" s="53" t="s">
        <v>1768</v>
      </c>
      <c r="B1025" s="61" t="s">
        <v>70</v>
      </c>
      <c r="C1025" s="61" t="s">
        <v>12</v>
      </c>
      <c r="D1025" s="53" t="s">
        <v>1940</v>
      </c>
      <c r="E1025" s="53" t="s">
        <v>1789</v>
      </c>
      <c r="F1025" s="96">
        <v>44501</v>
      </c>
      <c r="G1025" s="96">
        <v>44681</v>
      </c>
      <c r="H1025" s="58" t="str">
        <f t="shared" si="35"/>
        <v>ODD</v>
      </c>
      <c r="I1025" s="106">
        <v>16000</v>
      </c>
      <c r="J1025" s="32" t="str">
        <f>UPPER(TEXT(F1025,"mmm")) &amp; " - " &amp; UPPER(TEXT(G1025,"mmm"))</f>
        <v>NOV - APR</v>
      </c>
      <c r="K1025" s="32" t="s">
        <v>1736</v>
      </c>
      <c r="L1025" s="99" t="s">
        <v>3895</v>
      </c>
      <c r="M1025" s="32" t="str">
        <f t="shared" si="34"/>
        <v>Yes</v>
      </c>
      <c r="N1025" s="32">
        <f>G1025 - F1025</f>
        <v>180</v>
      </c>
      <c r="O1025">
        <v>1</v>
      </c>
    </row>
    <row r="1026" spans="1:17" x14ac:dyDescent="0.3">
      <c r="A1026" s="53" t="s">
        <v>637</v>
      </c>
      <c r="B1026" s="61" t="s">
        <v>70</v>
      </c>
      <c r="C1026" s="61" t="s">
        <v>12</v>
      </c>
      <c r="D1026" s="53" t="s">
        <v>1941</v>
      </c>
      <c r="E1026" s="53" t="s">
        <v>1942</v>
      </c>
      <c r="F1026" s="96">
        <v>44571</v>
      </c>
      <c r="G1026" s="96">
        <v>44661</v>
      </c>
      <c r="H1026" s="58" t="str">
        <f t="shared" si="35"/>
        <v>EVEN</v>
      </c>
      <c r="I1026" s="106">
        <v>0</v>
      </c>
      <c r="J1026" s="32" t="str">
        <f>UPPER(TEXT(F1026,"mmm")) &amp; " - " &amp; UPPER(TEXT(G1026,"mmm"))</f>
        <v>JAN - APR</v>
      </c>
      <c r="K1026" s="32" t="s">
        <v>1736</v>
      </c>
      <c r="L1026" s="99" t="s">
        <v>3895</v>
      </c>
      <c r="M1026" s="32" t="str">
        <f t="shared" ref="M1026:M1089" si="37">IF(I1026 &gt; 0, "Yes", "No")</f>
        <v>No</v>
      </c>
      <c r="N1026" s="32">
        <f>G1026 - F1026</f>
        <v>90</v>
      </c>
      <c r="O1026">
        <v>1</v>
      </c>
    </row>
    <row r="1027" spans="1:17" x14ac:dyDescent="0.3">
      <c r="A1027" s="53" t="s">
        <v>1943</v>
      </c>
      <c r="B1027" s="61" t="s">
        <v>70</v>
      </c>
      <c r="C1027" s="61" t="s">
        <v>12</v>
      </c>
      <c r="D1027" s="53" t="s">
        <v>1944</v>
      </c>
      <c r="E1027" s="53" t="s">
        <v>1945</v>
      </c>
      <c r="F1027" s="96">
        <v>44651</v>
      </c>
      <c r="G1027" s="96">
        <v>44866</v>
      </c>
      <c r="H1027" s="32" t="str">
        <f t="shared" ref="H1027" si="38">IF((AND(F1027&gt;=DATE(2019,7,15),F1027&lt;=DATE(2019,12,31))),"ODD", "EVEN")</f>
        <v>EVEN</v>
      </c>
      <c r="I1027" s="106">
        <v>0</v>
      </c>
      <c r="J1027" s="3" t="str">
        <f>UPPER(TEXT(F1027,"mmm")) &amp; " - " &amp; UPPER(TEXT(G1027,"mmm"))</f>
        <v>MAR - NOV</v>
      </c>
      <c r="K1027" s="32" t="s">
        <v>1736</v>
      </c>
      <c r="L1027" s="99" t="s">
        <v>3895</v>
      </c>
      <c r="M1027" s="32" t="str">
        <f t="shared" si="37"/>
        <v>No</v>
      </c>
      <c r="N1027" s="32">
        <f>G1027 - F1027</f>
        <v>215</v>
      </c>
      <c r="O1027">
        <v>1</v>
      </c>
      <c r="P1027" s="96"/>
      <c r="Q1027" s="96"/>
    </row>
    <row r="1028" spans="1:17" x14ac:dyDescent="0.3">
      <c r="A1028" s="53" t="s">
        <v>1659</v>
      </c>
      <c r="B1028" s="61" t="s">
        <v>70</v>
      </c>
      <c r="C1028" s="61" t="s">
        <v>12</v>
      </c>
      <c r="D1028" s="53" t="s">
        <v>1946</v>
      </c>
      <c r="E1028" s="53" t="s">
        <v>1201</v>
      </c>
      <c r="F1028" s="96">
        <v>44564</v>
      </c>
      <c r="G1028" s="96">
        <v>44624</v>
      </c>
      <c r="H1028" s="58" t="str">
        <f t="shared" si="35"/>
        <v>EVEN</v>
      </c>
      <c r="I1028" s="106">
        <v>0</v>
      </c>
      <c r="J1028" s="32" t="str">
        <f>UPPER(TEXT(F1028,"mmm")) &amp; " - " &amp; UPPER(TEXT(G1028,"mmm"))</f>
        <v>JAN - MAR</v>
      </c>
      <c r="K1028" s="32" t="s">
        <v>1736</v>
      </c>
      <c r="L1028" s="99" t="s">
        <v>3895</v>
      </c>
      <c r="M1028" s="32" t="str">
        <f t="shared" si="37"/>
        <v>No</v>
      </c>
      <c r="N1028" s="32">
        <f>G1028 - F1028</f>
        <v>60</v>
      </c>
      <c r="O1028">
        <v>1</v>
      </c>
    </row>
    <row r="1029" spans="1:17" x14ac:dyDescent="0.3">
      <c r="A1029" s="53" t="s">
        <v>1947</v>
      </c>
      <c r="B1029" s="61" t="s">
        <v>78</v>
      </c>
      <c r="C1029" s="61" t="s">
        <v>12</v>
      </c>
      <c r="D1029" s="53" t="s">
        <v>1948</v>
      </c>
      <c r="E1029" s="53" t="s">
        <v>1949</v>
      </c>
      <c r="F1029" s="96">
        <v>44613</v>
      </c>
      <c r="G1029" s="96">
        <v>44669</v>
      </c>
      <c r="H1029" s="58" t="str">
        <f t="shared" si="35"/>
        <v>EVEN</v>
      </c>
      <c r="I1029" s="106">
        <v>0</v>
      </c>
      <c r="J1029" s="32" t="str">
        <f>UPPER(TEXT(F1029,"mmm")) &amp; " - " &amp; UPPER(TEXT(G1029,"mmm"))</f>
        <v>FEB - APR</v>
      </c>
      <c r="K1029" s="32" t="s">
        <v>1736</v>
      </c>
      <c r="L1029" s="99" t="s">
        <v>3895</v>
      </c>
      <c r="M1029" s="32" t="str">
        <f t="shared" si="37"/>
        <v>No</v>
      </c>
      <c r="N1029" s="32">
        <f>G1029 - F1029</f>
        <v>56</v>
      </c>
      <c r="O1029">
        <v>1</v>
      </c>
    </row>
    <row r="1030" spans="1:17" x14ac:dyDescent="0.3">
      <c r="A1030" s="53" t="s">
        <v>1830</v>
      </c>
      <c r="B1030" s="61" t="s">
        <v>78</v>
      </c>
      <c r="C1030" s="61" t="s">
        <v>12</v>
      </c>
      <c r="D1030" s="53" t="s">
        <v>1950</v>
      </c>
      <c r="E1030" s="53" t="s">
        <v>469</v>
      </c>
      <c r="F1030" s="96">
        <v>44613</v>
      </c>
      <c r="G1030" s="96">
        <v>44651</v>
      </c>
      <c r="H1030" s="58" t="str">
        <f t="shared" si="35"/>
        <v>EVEN</v>
      </c>
      <c r="I1030" s="106">
        <v>0</v>
      </c>
      <c r="J1030" s="32" t="str">
        <f>UPPER(TEXT(F1030,"mmm")) &amp; " - " &amp; UPPER(TEXT(G1030,"mmm"))</f>
        <v>FEB - MAR</v>
      </c>
      <c r="K1030" s="32" t="s">
        <v>1736</v>
      </c>
      <c r="L1030" s="99" t="s">
        <v>3895</v>
      </c>
      <c r="M1030" s="32" t="str">
        <f t="shared" si="37"/>
        <v>No</v>
      </c>
      <c r="N1030" s="32">
        <f>G1030 - F1030</f>
        <v>38</v>
      </c>
      <c r="O1030">
        <v>1</v>
      </c>
    </row>
    <row r="1031" spans="1:17" x14ac:dyDescent="0.3">
      <c r="A1031" s="53" t="s">
        <v>776</v>
      </c>
      <c r="B1031" s="61" t="s">
        <v>66</v>
      </c>
      <c r="C1031" s="61" t="s">
        <v>12</v>
      </c>
      <c r="D1031" s="53" t="s">
        <v>1951</v>
      </c>
      <c r="E1031" s="53" t="s">
        <v>1563</v>
      </c>
      <c r="F1031" s="96">
        <v>44585</v>
      </c>
      <c r="G1031" s="96">
        <v>44675</v>
      </c>
      <c r="H1031" s="58" t="str">
        <f t="shared" si="35"/>
        <v>EVEN</v>
      </c>
      <c r="I1031" s="106">
        <v>25000</v>
      </c>
      <c r="J1031" s="32" t="str">
        <f>UPPER(TEXT(F1031,"mmm")) &amp; " - " &amp; UPPER(TEXT(G1031,"mmm"))</f>
        <v>JAN - APR</v>
      </c>
      <c r="K1031" s="32" t="s">
        <v>1736</v>
      </c>
      <c r="L1031" s="99" t="s">
        <v>3895</v>
      </c>
      <c r="M1031" s="32" t="str">
        <f t="shared" si="37"/>
        <v>Yes</v>
      </c>
      <c r="N1031" s="32">
        <f>G1031 - F1031</f>
        <v>90</v>
      </c>
      <c r="O1031">
        <v>1</v>
      </c>
    </row>
    <row r="1032" spans="1:17" x14ac:dyDescent="0.3">
      <c r="A1032" s="53" t="s">
        <v>1952</v>
      </c>
      <c r="B1032" s="61" t="s">
        <v>66</v>
      </c>
      <c r="C1032" s="61" t="s">
        <v>12</v>
      </c>
      <c r="D1032" s="53" t="s">
        <v>1953</v>
      </c>
      <c r="E1032" s="53" t="s">
        <v>1503</v>
      </c>
      <c r="F1032" s="96">
        <v>44576</v>
      </c>
      <c r="G1032" s="96">
        <v>44696</v>
      </c>
      <c r="H1032" s="58" t="str">
        <f t="shared" si="35"/>
        <v>EVEN</v>
      </c>
      <c r="I1032" s="106">
        <v>0</v>
      </c>
      <c r="J1032" s="32" t="str">
        <f>UPPER(TEXT(F1032,"mmm")) &amp; " - " &amp; UPPER(TEXT(G1032,"mmm"))</f>
        <v>JAN - MAY</v>
      </c>
      <c r="K1032" s="32" t="s">
        <v>1736</v>
      </c>
      <c r="L1032" s="99" t="s">
        <v>3895</v>
      </c>
      <c r="M1032" s="32" t="str">
        <f t="shared" si="37"/>
        <v>No</v>
      </c>
      <c r="N1032" s="32">
        <f>G1032 - F1032</f>
        <v>120</v>
      </c>
      <c r="O1032">
        <v>1</v>
      </c>
    </row>
    <row r="1033" spans="1:17" x14ac:dyDescent="0.3">
      <c r="A1033" s="53" t="s">
        <v>1842</v>
      </c>
      <c r="B1033" s="61" t="s">
        <v>66</v>
      </c>
      <c r="C1033" s="61" t="s">
        <v>12</v>
      </c>
      <c r="D1033" s="53" t="s">
        <v>1954</v>
      </c>
      <c r="E1033" s="53" t="s">
        <v>1955</v>
      </c>
      <c r="F1033" s="96">
        <v>44578</v>
      </c>
      <c r="G1033" s="96">
        <v>44668</v>
      </c>
      <c r="H1033" s="58" t="str">
        <f t="shared" si="35"/>
        <v>EVEN</v>
      </c>
      <c r="I1033" s="106">
        <v>0</v>
      </c>
      <c r="J1033" s="32" t="str">
        <f>UPPER(TEXT(F1033,"mmm")) &amp; " - " &amp; UPPER(TEXT(G1033,"mmm"))</f>
        <v>JAN - APR</v>
      </c>
      <c r="K1033" s="32" t="s">
        <v>1736</v>
      </c>
      <c r="L1033" s="99" t="s">
        <v>3895</v>
      </c>
      <c r="M1033" s="32" t="str">
        <f t="shared" si="37"/>
        <v>No</v>
      </c>
      <c r="N1033" s="32">
        <f>G1033 - F1033</f>
        <v>90</v>
      </c>
      <c r="O1033">
        <v>1</v>
      </c>
    </row>
    <row r="1034" spans="1:17" x14ac:dyDescent="0.3">
      <c r="A1034" s="53" t="s">
        <v>1956</v>
      </c>
      <c r="B1034" s="61" t="s">
        <v>66</v>
      </c>
      <c r="C1034" s="61" t="s">
        <v>12</v>
      </c>
      <c r="D1034" s="53" t="s">
        <v>1957</v>
      </c>
      <c r="E1034" s="53" t="s">
        <v>469</v>
      </c>
      <c r="F1034" s="96">
        <v>44593</v>
      </c>
      <c r="G1034" s="96">
        <v>44682</v>
      </c>
      <c r="H1034" s="58" t="str">
        <f t="shared" si="35"/>
        <v>EVEN</v>
      </c>
      <c r="I1034" s="106">
        <v>2000</v>
      </c>
      <c r="J1034" s="32" t="str">
        <f>UPPER(TEXT(F1034,"mmm")) &amp; " - " &amp; UPPER(TEXT(G1034,"mmm"))</f>
        <v>FEB - MAY</v>
      </c>
      <c r="K1034" s="32" t="s">
        <v>1736</v>
      </c>
      <c r="L1034" s="99" t="s">
        <v>3895</v>
      </c>
      <c r="M1034" s="32" t="str">
        <f t="shared" si="37"/>
        <v>Yes</v>
      </c>
      <c r="N1034" s="32">
        <f>G1034 - F1034</f>
        <v>89</v>
      </c>
      <c r="O1034">
        <v>1</v>
      </c>
    </row>
    <row r="1035" spans="1:17" x14ac:dyDescent="0.3">
      <c r="A1035" s="53" t="s">
        <v>1958</v>
      </c>
      <c r="B1035" s="61" t="s">
        <v>66</v>
      </c>
      <c r="C1035" s="61" t="s">
        <v>12</v>
      </c>
      <c r="D1035" s="53" t="s">
        <v>674</v>
      </c>
      <c r="E1035" s="53" t="s">
        <v>1959</v>
      </c>
      <c r="F1035" s="96">
        <v>44607</v>
      </c>
      <c r="G1035" s="96">
        <v>44681</v>
      </c>
      <c r="H1035" s="58" t="str">
        <f t="shared" si="35"/>
        <v>EVEN</v>
      </c>
      <c r="I1035" s="106">
        <v>0</v>
      </c>
      <c r="J1035" s="32" t="str">
        <f>UPPER(TEXT(F1035,"mmm")) &amp; " - " &amp; UPPER(TEXT(G1035,"mmm"))</f>
        <v>FEB - APR</v>
      </c>
      <c r="K1035" s="32" t="s">
        <v>1736</v>
      </c>
      <c r="L1035" s="61" t="s">
        <v>895</v>
      </c>
      <c r="M1035" s="32" t="str">
        <f t="shared" si="37"/>
        <v>No</v>
      </c>
      <c r="N1035" s="32">
        <f>G1035 - F1035</f>
        <v>74</v>
      </c>
      <c r="O1035">
        <v>1</v>
      </c>
    </row>
    <row r="1036" spans="1:17" x14ac:dyDescent="0.3">
      <c r="A1036" s="53" t="s">
        <v>58</v>
      </c>
      <c r="B1036" s="61" t="s">
        <v>66</v>
      </c>
      <c r="C1036" s="61" t="s">
        <v>12</v>
      </c>
      <c r="D1036" s="53" t="s">
        <v>674</v>
      </c>
      <c r="E1036" s="53" t="s">
        <v>1960</v>
      </c>
      <c r="F1036" s="96">
        <v>44607</v>
      </c>
      <c r="G1036" s="96">
        <v>44681</v>
      </c>
      <c r="H1036" s="58" t="str">
        <f t="shared" si="35"/>
        <v>EVEN</v>
      </c>
      <c r="I1036" s="106">
        <v>0</v>
      </c>
      <c r="J1036" s="32" t="str">
        <f>UPPER(TEXT(F1036,"mmm")) &amp; " - " &amp; UPPER(TEXT(G1036,"mmm"))</f>
        <v>FEB - APR</v>
      </c>
      <c r="K1036" s="32" t="s">
        <v>1736</v>
      </c>
      <c r="L1036" s="61" t="s">
        <v>895</v>
      </c>
      <c r="M1036" s="32" t="str">
        <f t="shared" si="37"/>
        <v>No</v>
      </c>
      <c r="N1036" s="32">
        <f>G1036 - F1036</f>
        <v>74</v>
      </c>
      <c r="O1036">
        <v>1</v>
      </c>
    </row>
    <row r="1037" spans="1:17" x14ac:dyDescent="0.3">
      <c r="A1037" s="53" t="s">
        <v>1037</v>
      </c>
      <c r="B1037" s="61" t="s">
        <v>70</v>
      </c>
      <c r="C1037" s="61" t="s">
        <v>12</v>
      </c>
      <c r="D1037" s="53" t="s">
        <v>1961</v>
      </c>
      <c r="E1037" s="53" t="s">
        <v>1459</v>
      </c>
      <c r="F1037" s="96">
        <v>44606</v>
      </c>
      <c r="G1037" s="96">
        <v>44682</v>
      </c>
      <c r="H1037" s="58" t="str">
        <f t="shared" si="35"/>
        <v>EVEN</v>
      </c>
      <c r="I1037" s="106">
        <v>0</v>
      </c>
      <c r="J1037" s="32" t="str">
        <f>UPPER(TEXT(F1037,"mmm")) &amp; " - " &amp; UPPER(TEXT(G1037,"mmm"))</f>
        <v>FEB - MAY</v>
      </c>
      <c r="K1037" s="32" t="s">
        <v>1736</v>
      </c>
      <c r="L1037" s="99" t="s">
        <v>3895</v>
      </c>
      <c r="M1037" s="32" t="str">
        <f t="shared" si="37"/>
        <v>No</v>
      </c>
      <c r="N1037" s="32">
        <f>G1037 - F1037</f>
        <v>76</v>
      </c>
      <c r="O1037">
        <v>1</v>
      </c>
    </row>
    <row r="1038" spans="1:17" x14ac:dyDescent="0.3">
      <c r="A1038" s="53" t="s">
        <v>1830</v>
      </c>
      <c r="B1038" s="61" t="s">
        <v>78</v>
      </c>
      <c r="C1038" s="61" t="s">
        <v>12</v>
      </c>
      <c r="D1038" s="53" t="s">
        <v>1962</v>
      </c>
      <c r="E1038" s="53" t="s">
        <v>1963</v>
      </c>
      <c r="F1038" s="96">
        <v>44605</v>
      </c>
      <c r="G1038" s="96">
        <v>44681</v>
      </c>
      <c r="H1038" s="58" t="str">
        <f t="shared" si="35"/>
        <v>EVEN</v>
      </c>
      <c r="I1038" s="106">
        <v>0</v>
      </c>
      <c r="J1038" s="32" t="str">
        <f>UPPER(TEXT(F1038,"mmm")) &amp; " - " &amp; UPPER(TEXT(G1038,"mmm"))</f>
        <v>FEB - APR</v>
      </c>
      <c r="K1038" s="32" t="s">
        <v>1736</v>
      </c>
      <c r="L1038" s="99" t="s">
        <v>3895</v>
      </c>
      <c r="M1038" s="32" t="str">
        <f t="shared" si="37"/>
        <v>No</v>
      </c>
      <c r="N1038" s="32">
        <f>G1038 - F1038</f>
        <v>76</v>
      </c>
      <c r="O1038">
        <v>1</v>
      </c>
    </row>
    <row r="1039" spans="1:17" x14ac:dyDescent="0.3">
      <c r="A1039" s="53" t="s">
        <v>1964</v>
      </c>
      <c r="B1039" s="61" t="s">
        <v>78</v>
      </c>
      <c r="C1039" s="61" t="s">
        <v>12</v>
      </c>
      <c r="D1039" s="53" t="s">
        <v>1965</v>
      </c>
      <c r="E1039" s="53" t="s">
        <v>1966</v>
      </c>
      <c r="F1039" s="96">
        <v>44622</v>
      </c>
      <c r="G1039" s="96">
        <v>44714</v>
      </c>
      <c r="H1039" s="58" t="str">
        <f t="shared" si="35"/>
        <v>EVEN</v>
      </c>
      <c r="I1039" s="106">
        <v>0</v>
      </c>
      <c r="J1039" s="32" t="str">
        <f>UPPER(TEXT(F1039,"mmm")) &amp; " - " &amp; UPPER(TEXT(G1039,"mmm"))</f>
        <v>MAR - JUN</v>
      </c>
      <c r="K1039" s="32" t="s">
        <v>1736</v>
      </c>
      <c r="L1039" s="61" t="s">
        <v>895</v>
      </c>
      <c r="M1039" s="32" t="str">
        <f t="shared" si="37"/>
        <v>No</v>
      </c>
      <c r="N1039" s="32">
        <f>G1039 - F1039</f>
        <v>92</v>
      </c>
      <c r="O1039">
        <v>1</v>
      </c>
    </row>
    <row r="1040" spans="1:17" x14ac:dyDescent="0.3">
      <c r="A1040" s="53" t="s">
        <v>1967</v>
      </c>
      <c r="B1040" s="61" t="s">
        <v>70</v>
      </c>
      <c r="C1040" s="61" t="s">
        <v>12</v>
      </c>
      <c r="D1040" s="53" t="s">
        <v>1968</v>
      </c>
      <c r="E1040" s="53" t="s">
        <v>1969</v>
      </c>
      <c r="F1040" s="96">
        <v>44593</v>
      </c>
      <c r="G1040" s="96">
        <v>44712</v>
      </c>
      <c r="H1040" s="58" t="str">
        <f t="shared" si="35"/>
        <v>EVEN</v>
      </c>
      <c r="I1040" s="106">
        <v>0</v>
      </c>
      <c r="J1040" s="32" t="str">
        <f>UPPER(TEXT(F1040,"mmm")) &amp; " - " &amp; UPPER(TEXT(G1040,"mmm"))</f>
        <v>FEB - MAY</v>
      </c>
      <c r="K1040" s="32" t="s">
        <v>1736</v>
      </c>
      <c r="L1040" s="61" t="s">
        <v>895</v>
      </c>
      <c r="M1040" s="32" t="str">
        <f t="shared" si="37"/>
        <v>No</v>
      </c>
      <c r="N1040" s="32">
        <f>G1040 - F1040</f>
        <v>119</v>
      </c>
      <c r="O1040">
        <v>1</v>
      </c>
    </row>
    <row r="1041" spans="1:15" x14ac:dyDescent="0.3">
      <c r="A1041" s="53" t="s">
        <v>602</v>
      </c>
      <c r="B1041" s="61" t="s">
        <v>70</v>
      </c>
      <c r="C1041" s="61" t="s">
        <v>12</v>
      </c>
      <c r="D1041" s="53" t="s">
        <v>1970</v>
      </c>
      <c r="E1041" s="53" t="s">
        <v>1969</v>
      </c>
      <c r="F1041" s="96">
        <v>44593</v>
      </c>
      <c r="G1041" s="96">
        <v>44712</v>
      </c>
      <c r="H1041" s="58" t="str">
        <f t="shared" si="35"/>
        <v>EVEN</v>
      </c>
      <c r="I1041" s="106">
        <v>0</v>
      </c>
      <c r="J1041" s="32" t="str">
        <f>UPPER(TEXT(F1041,"mmm")) &amp; " - " &amp; UPPER(TEXT(G1041,"mmm"))</f>
        <v>FEB - MAY</v>
      </c>
      <c r="K1041" s="32" t="s">
        <v>1736</v>
      </c>
      <c r="L1041" s="61" t="s">
        <v>895</v>
      </c>
      <c r="M1041" s="32" t="str">
        <f t="shared" si="37"/>
        <v>No</v>
      </c>
      <c r="N1041" s="32">
        <f>G1041 - F1041</f>
        <v>119</v>
      </c>
      <c r="O1041">
        <v>1</v>
      </c>
    </row>
    <row r="1042" spans="1:15" x14ac:dyDescent="0.3">
      <c r="A1042" s="53" t="s">
        <v>1040</v>
      </c>
      <c r="B1042" s="61" t="s">
        <v>70</v>
      </c>
      <c r="C1042" s="61" t="s">
        <v>12</v>
      </c>
      <c r="D1042" s="53" t="s">
        <v>1971</v>
      </c>
      <c r="E1042" s="53" t="s">
        <v>1972</v>
      </c>
      <c r="F1042" s="96">
        <v>44577</v>
      </c>
      <c r="G1042" s="96">
        <v>44682</v>
      </c>
      <c r="H1042" s="58" t="str">
        <f t="shared" si="35"/>
        <v>EVEN</v>
      </c>
      <c r="I1042" s="106">
        <v>0</v>
      </c>
      <c r="J1042" s="32" t="str">
        <f>UPPER(TEXT(F1042,"mmm")) &amp; " - " &amp; UPPER(TEXT(G1042,"mmm"))</f>
        <v>JAN - MAY</v>
      </c>
      <c r="K1042" s="32" t="s">
        <v>1736</v>
      </c>
      <c r="L1042" s="61" t="s">
        <v>895</v>
      </c>
      <c r="M1042" s="32" t="str">
        <f t="shared" si="37"/>
        <v>No</v>
      </c>
      <c r="N1042" s="32">
        <f>G1042 - F1042</f>
        <v>105</v>
      </c>
      <c r="O1042">
        <v>1</v>
      </c>
    </row>
    <row r="1043" spans="1:15" x14ac:dyDescent="0.3">
      <c r="A1043" s="53" t="s">
        <v>1328</v>
      </c>
      <c r="B1043" s="61" t="s">
        <v>78</v>
      </c>
      <c r="C1043" s="61" t="s">
        <v>12</v>
      </c>
      <c r="D1043" s="53" t="s">
        <v>593</v>
      </c>
      <c r="E1043" s="53" t="s">
        <v>1973</v>
      </c>
      <c r="F1043" s="96">
        <v>44428</v>
      </c>
      <c r="G1043" s="96">
        <v>44732</v>
      </c>
      <c r="H1043" s="58" t="str">
        <f t="shared" si="35"/>
        <v>ODD</v>
      </c>
      <c r="I1043" s="106">
        <v>0</v>
      </c>
      <c r="J1043" s="32" t="str">
        <f>UPPER(TEXT(F1043,"mmm")) &amp; " - " &amp; UPPER(TEXT(G1043,"mmm"))</f>
        <v>AUG - JUN</v>
      </c>
      <c r="K1043" s="32" t="s">
        <v>1736</v>
      </c>
      <c r="L1043" s="61" t="s">
        <v>895</v>
      </c>
      <c r="M1043" s="32" t="str">
        <f t="shared" si="37"/>
        <v>No</v>
      </c>
      <c r="N1043" s="32">
        <f>G1043 - F1043</f>
        <v>304</v>
      </c>
      <c r="O1043">
        <v>1</v>
      </c>
    </row>
    <row r="1044" spans="1:15" x14ac:dyDescent="0.3">
      <c r="A1044" s="53" t="s">
        <v>1974</v>
      </c>
      <c r="B1044" s="61" t="s">
        <v>78</v>
      </c>
      <c r="C1044" s="61" t="s">
        <v>12</v>
      </c>
      <c r="D1044" s="53" t="s">
        <v>25</v>
      </c>
      <c r="E1044" s="53" t="s">
        <v>1975</v>
      </c>
      <c r="F1044" s="96">
        <v>44440</v>
      </c>
      <c r="G1044" s="96">
        <v>44531</v>
      </c>
      <c r="H1044" s="58" t="str">
        <f t="shared" si="35"/>
        <v>ODD</v>
      </c>
      <c r="I1044" s="106">
        <v>0</v>
      </c>
      <c r="J1044" s="32" t="str">
        <f>UPPER(TEXT(F1044,"mmm")) &amp; " - " &amp; UPPER(TEXT(G1044,"mmm"))</f>
        <v>SEP - DEC</v>
      </c>
      <c r="K1044" s="32" t="s">
        <v>1736</v>
      </c>
      <c r="L1044" s="61" t="s">
        <v>895</v>
      </c>
      <c r="M1044" s="32" t="str">
        <f t="shared" si="37"/>
        <v>No</v>
      </c>
      <c r="N1044" s="32">
        <f>G1044 - F1044</f>
        <v>91</v>
      </c>
      <c r="O1044">
        <v>1</v>
      </c>
    </row>
    <row r="1045" spans="1:15" x14ac:dyDescent="0.3">
      <c r="A1045" s="53" t="s">
        <v>1976</v>
      </c>
      <c r="B1045" s="61" t="s">
        <v>66</v>
      </c>
      <c r="C1045" s="61" t="s">
        <v>12</v>
      </c>
      <c r="D1045" s="53" t="s">
        <v>1977</v>
      </c>
      <c r="E1045" s="53" t="s">
        <v>1978</v>
      </c>
      <c r="F1045" s="96">
        <v>44593</v>
      </c>
      <c r="G1045" s="96">
        <v>44682</v>
      </c>
      <c r="H1045" s="58" t="str">
        <f t="shared" si="35"/>
        <v>EVEN</v>
      </c>
      <c r="I1045" s="106">
        <v>25000</v>
      </c>
      <c r="J1045" s="32" t="str">
        <f>UPPER(TEXT(F1045,"mmm")) &amp; " - " &amp; UPPER(TEXT(G1045,"mmm"))</f>
        <v>FEB - MAY</v>
      </c>
      <c r="K1045" s="32" t="s">
        <v>1736</v>
      </c>
      <c r="L1045" s="99" t="s">
        <v>3895</v>
      </c>
      <c r="M1045" s="32" t="str">
        <f t="shared" si="37"/>
        <v>Yes</v>
      </c>
      <c r="N1045" s="32">
        <f>G1045 - F1045</f>
        <v>89</v>
      </c>
      <c r="O1045">
        <v>1</v>
      </c>
    </row>
    <row r="1046" spans="1:15" x14ac:dyDescent="0.3">
      <c r="A1046" s="53" t="s">
        <v>1979</v>
      </c>
      <c r="B1046" s="61" t="s">
        <v>66</v>
      </c>
      <c r="C1046" s="61" t="s">
        <v>12</v>
      </c>
      <c r="D1046" s="53" t="s">
        <v>1980</v>
      </c>
      <c r="E1046" s="53" t="s">
        <v>1201</v>
      </c>
      <c r="F1046" s="96">
        <v>44409</v>
      </c>
      <c r="G1046" s="96">
        <v>44620</v>
      </c>
      <c r="H1046" s="58" t="str">
        <f t="shared" si="35"/>
        <v>ODD</v>
      </c>
      <c r="I1046" s="106">
        <v>0</v>
      </c>
      <c r="J1046" s="32" t="str">
        <f>UPPER(TEXT(F1046,"mmm")) &amp; " - " &amp; UPPER(TEXT(G1046,"mmm"))</f>
        <v>AUG - FEB</v>
      </c>
      <c r="K1046" s="32" t="s">
        <v>1736</v>
      </c>
      <c r="L1046" s="99" t="s">
        <v>3895</v>
      </c>
      <c r="M1046" s="32" t="str">
        <f t="shared" si="37"/>
        <v>No</v>
      </c>
      <c r="N1046" s="32">
        <f>G1046 - F1046</f>
        <v>211</v>
      </c>
      <c r="O1046">
        <v>1</v>
      </c>
    </row>
    <row r="1047" spans="1:15" x14ac:dyDescent="0.3">
      <c r="A1047" s="53" t="s">
        <v>1662</v>
      </c>
      <c r="B1047" s="61" t="s">
        <v>66</v>
      </c>
      <c r="C1047" s="61" t="s">
        <v>12</v>
      </c>
      <c r="D1047" s="53" t="s">
        <v>1981</v>
      </c>
      <c r="E1047" s="53" t="s">
        <v>1982</v>
      </c>
      <c r="F1047" s="96">
        <v>44634</v>
      </c>
      <c r="G1047" s="96">
        <v>44682</v>
      </c>
      <c r="H1047" s="58" t="str">
        <f t="shared" ref="H1047:H1110" si="39">IF(AND(F1047&gt;=DATE(2021,7,15), F1047&lt;=DATE(2021,12,31)), "ODD", "EVEN")</f>
        <v>EVEN</v>
      </c>
      <c r="I1047" s="106">
        <v>0</v>
      </c>
      <c r="J1047" s="32" t="str">
        <f>UPPER(TEXT(F1047,"mmm")) &amp; " - " &amp; UPPER(TEXT(G1047,"mmm"))</f>
        <v>MAR - MAY</v>
      </c>
      <c r="K1047" s="32" t="s">
        <v>1736</v>
      </c>
      <c r="L1047" s="61" t="s">
        <v>895</v>
      </c>
      <c r="M1047" s="32" t="str">
        <f t="shared" si="37"/>
        <v>No</v>
      </c>
      <c r="N1047" s="32">
        <f>G1047 - F1047</f>
        <v>48</v>
      </c>
      <c r="O1047">
        <v>1</v>
      </c>
    </row>
    <row r="1048" spans="1:15" x14ac:dyDescent="0.3">
      <c r="A1048" s="53" t="s">
        <v>1983</v>
      </c>
      <c r="B1048" s="61" t="s">
        <v>66</v>
      </c>
      <c r="C1048" s="61" t="s">
        <v>12</v>
      </c>
      <c r="D1048" s="53" t="s">
        <v>25</v>
      </c>
      <c r="E1048" s="53" t="s">
        <v>1982</v>
      </c>
      <c r="F1048" s="96">
        <v>44634</v>
      </c>
      <c r="G1048" s="96">
        <v>44682</v>
      </c>
      <c r="H1048" s="58" t="str">
        <f t="shared" si="39"/>
        <v>EVEN</v>
      </c>
      <c r="I1048" s="106">
        <v>0</v>
      </c>
      <c r="J1048" s="32" t="str">
        <f>UPPER(TEXT(F1048,"mmm")) &amp; " - " &amp; UPPER(TEXT(G1048,"mmm"))</f>
        <v>MAR - MAY</v>
      </c>
      <c r="K1048" s="32" t="s">
        <v>1736</v>
      </c>
      <c r="L1048" s="61" t="s">
        <v>895</v>
      </c>
      <c r="M1048" s="32" t="str">
        <f t="shared" si="37"/>
        <v>No</v>
      </c>
      <c r="N1048" s="32">
        <f>G1048 - F1048</f>
        <v>48</v>
      </c>
      <c r="O1048">
        <v>1</v>
      </c>
    </row>
    <row r="1049" spans="1:15" x14ac:dyDescent="0.3">
      <c r="A1049" s="53" t="s">
        <v>1430</v>
      </c>
      <c r="B1049" s="61" t="s">
        <v>66</v>
      </c>
      <c r="C1049" s="61" t="s">
        <v>12</v>
      </c>
      <c r="D1049" s="53" t="s">
        <v>25</v>
      </c>
      <c r="E1049" s="53" t="s">
        <v>1982</v>
      </c>
      <c r="F1049" s="96">
        <v>44634</v>
      </c>
      <c r="G1049" s="96">
        <v>44682</v>
      </c>
      <c r="H1049" s="58" t="str">
        <f t="shared" si="39"/>
        <v>EVEN</v>
      </c>
      <c r="I1049" s="106">
        <v>0</v>
      </c>
      <c r="J1049" s="32" t="str">
        <f>UPPER(TEXT(F1049,"mmm")) &amp; " - " &amp; UPPER(TEXT(G1049,"mmm"))</f>
        <v>MAR - MAY</v>
      </c>
      <c r="K1049" s="32" t="s">
        <v>1736</v>
      </c>
      <c r="L1049" s="61" t="s">
        <v>895</v>
      </c>
      <c r="M1049" s="32" t="str">
        <f t="shared" si="37"/>
        <v>No</v>
      </c>
      <c r="N1049" s="32">
        <f>G1049 - F1049</f>
        <v>48</v>
      </c>
      <c r="O1049">
        <v>1</v>
      </c>
    </row>
    <row r="1050" spans="1:15" x14ac:dyDescent="0.3">
      <c r="A1050" s="53" t="s">
        <v>1984</v>
      </c>
      <c r="B1050" s="61" t="s">
        <v>66</v>
      </c>
      <c r="C1050" s="61" t="s">
        <v>12</v>
      </c>
      <c r="D1050" s="53" t="s">
        <v>1985</v>
      </c>
      <c r="E1050" s="53" t="s">
        <v>277</v>
      </c>
      <c r="F1050" s="96">
        <v>44487</v>
      </c>
      <c r="G1050" s="96">
        <v>44579</v>
      </c>
      <c r="H1050" s="58" t="str">
        <f t="shared" si="39"/>
        <v>ODD</v>
      </c>
      <c r="I1050" s="106">
        <v>0</v>
      </c>
      <c r="J1050" s="32" t="str">
        <f>UPPER(TEXT(F1050,"mmm")) &amp; " - " &amp; UPPER(TEXT(G1050,"mmm"))</f>
        <v>OCT - JAN</v>
      </c>
      <c r="K1050" s="32" t="s">
        <v>1736</v>
      </c>
      <c r="L1050" s="61" t="s">
        <v>895</v>
      </c>
      <c r="M1050" s="32" t="str">
        <f t="shared" si="37"/>
        <v>No</v>
      </c>
      <c r="N1050" s="32">
        <f>G1050 - F1050</f>
        <v>92</v>
      </c>
      <c r="O1050">
        <v>1</v>
      </c>
    </row>
    <row r="1051" spans="1:15" x14ac:dyDescent="0.3">
      <c r="A1051" s="53" t="s">
        <v>883</v>
      </c>
      <c r="B1051" s="61" t="s">
        <v>70</v>
      </c>
      <c r="C1051" s="61" t="s">
        <v>12</v>
      </c>
      <c r="D1051" s="53" t="s">
        <v>1986</v>
      </c>
      <c r="E1051" s="53" t="s">
        <v>1987</v>
      </c>
      <c r="F1051" s="96">
        <v>44576</v>
      </c>
      <c r="G1051" s="96">
        <v>44635</v>
      </c>
      <c r="H1051" s="58" t="str">
        <f t="shared" si="39"/>
        <v>EVEN</v>
      </c>
      <c r="I1051" s="106">
        <v>15000</v>
      </c>
      <c r="J1051" s="32" t="str">
        <f>UPPER(TEXT(F1051,"mmm")) &amp; " - " &amp; UPPER(TEXT(G1051,"mmm"))</f>
        <v>JAN - MAR</v>
      </c>
      <c r="K1051" s="32" t="s">
        <v>1736</v>
      </c>
      <c r="L1051" s="99" t="s">
        <v>3895</v>
      </c>
      <c r="M1051" s="32" t="str">
        <f t="shared" si="37"/>
        <v>Yes</v>
      </c>
      <c r="N1051" s="32">
        <f>G1051 - F1051</f>
        <v>59</v>
      </c>
      <c r="O1051">
        <v>1</v>
      </c>
    </row>
    <row r="1052" spans="1:15" x14ac:dyDescent="0.3">
      <c r="A1052" s="53" t="s">
        <v>1732</v>
      </c>
      <c r="B1052" s="61" t="s">
        <v>66</v>
      </c>
      <c r="C1052" s="61" t="s">
        <v>12</v>
      </c>
      <c r="D1052" s="53" t="s">
        <v>1988</v>
      </c>
      <c r="E1052" s="53" t="s">
        <v>408</v>
      </c>
      <c r="F1052" s="96">
        <v>44562</v>
      </c>
      <c r="G1052" s="96">
        <v>44652</v>
      </c>
      <c r="H1052" s="58" t="str">
        <f t="shared" si="39"/>
        <v>EVEN</v>
      </c>
      <c r="I1052" s="106">
        <v>0</v>
      </c>
      <c r="J1052" s="32" t="str">
        <f>UPPER(TEXT(F1052,"mmm")) &amp; " - " &amp; UPPER(TEXT(G1052,"mmm"))</f>
        <v>JAN - APR</v>
      </c>
      <c r="K1052" s="32" t="s">
        <v>1736</v>
      </c>
      <c r="L1052" s="99" t="s">
        <v>3895</v>
      </c>
      <c r="M1052" s="32" t="str">
        <f t="shared" si="37"/>
        <v>No</v>
      </c>
      <c r="N1052" s="32">
        <f>G1052 - F1052</f>
        <v>90</v>
      </c>
      <c r="O1052">
        <v>1</v>
      </c>
    </row>
    <row r="1053" spans="1:15" x14ac:dyDescent="0.3">
      <c r="A1053" s="53" t="s">
        <v>1989</v>
      </c>
      <c r="B1053" s="61" t="s">
        <v>11</v>
      </c>
      <c r="C1053" s="61" t="s">
        <v>12</v>
      </c>
      <c r="D1053" s="53" t="s">
        <v>1990</v>
      </c>
      <c r="E1053" s="53" t="s">
        <v>1234</v>
      </c>
      <c r="F1053" s="96">
        <v>44501</v>
      </c>
      <c r="G1053" s="96">
        <v>44681</v>
      </c>
      <c r="H1053" s="58" t="str">
        <f t="shared" si="39"/>
        <v>ODD</v>
      </c>
      <c r="I1053" s="106">
        <v>0</v>
      </c>
      <c r="J1053" s="32" t="str">
        <f>UPPER(TEXT(F1053,"mmm")) &amp; " - " &amp; UPPER(TEXT(G1053,"mmm"))</f>
        <v>NOV - APR</v>
      </c>
      <c r="K1053" s="32" t="s">
        <v>1736</v>
      </c>
      <c r="L1053" s="61" t="s">
        <v>895</v>
      </c>
      <c r="M1053" s="32" t="str">
        <f t="shared" si="37"/>
        <v>No</v>
      </c>
      <c r="N1053" s="32">
        <f>G1053 - F1053</f>
        <v>180</v>
      </c>
      <c r="O1053">
        <v>1</v>
      </c>
    </row>
    <row r="1054" spans="1:15" x14ac:dyDescent="0.3">
      <c r="A1054" s="53" t="s">
        <v>725</v>
      </c>
      <c r="B1054" s="61" t="s">
        <v>70</v>
      </c>
      <c r="C1054" s="61" t="s">
        <v>12</v>
      </c>
      <c r="D1054" s="53" t="s">
        <v>1991</v>
      </c>
      <c r="E1054" s="53" t="s">
        <v>1992</v>
      </c>
      <c r="F1054" s="96">
        <v>44648</v>
      </c>
      <c r="G1054" s="96">
        <v>44742</v>
      </c>
      <c r="H1054" s="58" t="str">
        <f t="shared" si="39"/>
        <v>EVEN</v>
      </c>
      <c r="I1054" s="106">
        <v>0</v>
      </c>
      <c r="J1054" s="32" t="str">
        <f>UPPER(TEXT(F1054,"mmm")) &amp; " - " &amp; UPPER(TEXT(G1054,"mmm"))</f>
        <v>MAR - JUN</v>
      </c>
      <c r="K1054" s="32" t="s">
        <v>1736</v>
      </c>
      <c r="L1054" s="99" t="s">
        <v>3895</v>
      </c>
      <c r="M1054" s="32" t="str">
        <f t="shared" si="37"/>
        <v>No</v>
      </c>
      <c r="N1054" s="32">
        <f>G1054 - F1054</f>
        <v>94</v>
      </c>
      <c r="O1054">
        <v>1</v>
      </c>
    </row>
    <row r="1055" spans="1:15" x14ac:dyDescent="0.3">
      <c r="A1055" s="53" t="s">
        <v>1232</v>
      </c>
      <c r="B1055" s="61" t="s">
        <v>78</v>
      </c>
      <c r="C1055" s="61" t="s">
        <v>12</v>
      </c>
      <c r="D1055" s="53" t="s">
        <v>1990</v>
      </c>
      <c r="E1055" s="53" t="s">
        <v>1993</v>
      </c>
      <c r="F1055" s="96">
        <v>44378</v>
      </c>
      <c r="G1055" s="96">
        <v>44681</v>
      </c>
      <c r="H1055" s="58" t="str">
        <f t="shared" si="39"/>
        <v>EVEN</v>
      </c>
      <c r="I1055" s="106">
        <v>0</v>
      </c>
      <c r="J1055" s="32" t="str">
        <f>UPPER(TEXT(F1055,"mmm")) &amp; " - " &amp; UPPER(TEXT(G1055,"mmm"))</f>
        <v>JUL - APR</v>
      </c>
      <c r="K1055" s="32" t="s">
        <v>1736</v>
      </c>
      <c r="L1055" s="61" t="s">
        <v>895</v>
      </c>
      <c r="M1055" s="32" t="str">
        <f t="shared" si="37"/>
        <v>No</v>
      </c>
      <c r="N1055" s="32">
        <f>G1055 - F1055</f>
        <v>303</v>
      </c>
      <c r="O1055">
        <v>1</v>
      </c>
    </row>
    <row r="1056" spans="1:15" x14ac:dyDescent="0.3">
      <c r="A1056" s="53" t="s">
        <v>1354</v>
      </c>
      <c r="B1056" s="61" t="s">
        <v>78</v>
      </c>
      <c r="C1056" s="61" t="s">
        <v>12</v>
      </c>
      <c r="D1056" s="53" t="s">
        <v>1994</v>
      </c>
      <c r="E1056" s="53" t="s">
        <v>1995</v>
      </c>
      <c r="F1056" s="96">
        <v>44578</v>
      </c>
      <c r="G1056" s="96">
        <v>44637</v>
      </c>
      <c r="H1056" s="58" t="str">
        <f t="shared" si="39"/>
        <v>EVEN</v>
      </c>
      <c r="I1056" s="106">
        <v>0</v>
      </c>
      <c r="J1056" s="32" t="str">
        <f>UPPER(TEXT(F1056,"mmm")) &amp; " - " &amp; UPPER(TEXT(G1056,"mmm"))</f>
        <v>JAN - MAR</v>
      </c>
      <c r="K1056" s="32" t="s">
        <v>1736</v>
      </c>
      <c r="L1056" s="61" t="s">
        <v>895</v>
      </c>
      <c r="M1056" s="32" t="str">
        <f t="shared" si="37"/>
        <v>No</v>
      </c>
      <c r="N1056" s="32">
        <f>G1056 - F1056</f>
        <v>59</v>
      </c>
      <c r="O1056">
        <v>1</v>
      </c>
    </row>
    <row r="1057" spans="1:15" x14ac:dyDescent="0.3">
      <c r="A1057" s="53" t="s">
        <v>1996</v>
      </c>
      <c r="B1057" s="61" t="s">
        <v>78</v>
      </c>
      <c r="C1057" s="61" t="s">
        <v>12</v>
      </c>
      <c r="D1057" s="53" t="s">
        <v>1997</v>
      </c>
      <c r="E1057" s="53" t="s">
        <v>1998</v>
      </c>
      <c r="F1057" s="96">
        <v>44605</v>
      </c>
      <c r="G1057" s="96">
        <v>44667</v>
      </c>
      <c r="H1057" s="58" t="str">
        <f t="shared" si="39"/>
        <v>EVEN</v>
      </c>
      <c r="I1057" s="106">
        <v>0</v>
      </c>
      <c r="J1057" s="32" t="str">
        <f>UPPER(TEXT(F1057,"mmm")) &amp; " - " &amp; UPPER(TEXT(G1057,"mmm"))</f>
        <v>FEB - APR</v>
      </c>
      <c r="K1057" s="32" t="s">
        <v>1736</v>
      </c>
      <c r="L1057" s="99" t="s">
        <v>3895</v>
      </c>
      <c r="M1057" s="32" t="str">
        <f t="shared" si="37"/>
        <v>No</v>
      </c>
      <c r="N1057" s="32">
        <f>G1057 - F1057</f>
        <v>62</v>
      </c>
      <c r="O1057">
        <v>1</v>
      </c>
    </row>
    <row r="1058" spans="1:15" x14ac:dyDescent="0.3">
      <c r="A1058" s="53" t="s">
        <v>1643</v>
      </c>
      <c r="B1058" s="61" t="s">
        <v>66</v>
      </c>
      <c r="C1058" s="61" t="s">
        <v>12</v>
      </c>
      <c r="D1058" s="53" t="s">
        <v>1999</v>
      </c>
      <c r="E1058" s="53" t="s">
        <v>277</v>
      </c>
      <c r="F1058" s="96">
        <v>44418</v>
      </c>
      <c r="G1058" s="96">
        <v>44519</v>
      </c>
      <c r="H1058" s="58" t="str">
        <f t="shared" si="39"/>
        <v>ODD</v>
      </c>
      <c r="I1058" s="106">
        <v>0</v>
      </c>
      <c r="J1058" s="32" t="str">
        <f>UPPER(TEXT(F1058,"mmm")) &amp; " - " &amp; UPPER(TEXT(G1058,"mmm"))</f>
        <v>AUG - NOV</v>
      </c>
      <c r="K1058" s="32" t="s">
        <v>1736</v>
      </c>
      <c r="L1058" s="99" t="s">
        <v>3895</v>
      </c>
      <c r="M1058" s="32" t="str">
        <f t="shared" si="37"/>
        <v>No</v>
      </c>
      <c r="N1058" s="32">
        <f>G1058 - F1058</f>
        <v>101</v>
      </c>
      <c r="O1058">
        <v>1</v>
      </c>
    </row>
    <row r="1059" spans="1:15" x14ac:dyDescent="0.3">
      <c r="A1059" s="53" t="s">
        <v>1692</v>
      </c>
      <c r="B1059" s="61" t="s">
        <v>66</v>
      </c>
      <c r="C1059" s="61" t="s">
        <v>12</v>
      </c>
      <c r="D1059" s="53" t="s">
        <v>2000</v>
      </c>
      <c r="E1059" s="53" t="s">
        <v>2001</v>
      </c>
      <c r="F1059" s="96">
        <v>44652</v>
      </c>
      <c r="G1059" s="96">
        <v>44742</v>
      </c>
      <c r="H1059" s="58" t="str">
        <f t="shared" si="39"/>
        <v>EVEN</v>
      </c>
      <c r="I1059" s="106">
        <v>0</v>
      </c>
      <c r="J1059" s="32" t="str">
        <f>UPPER(TEXT(F1059,"mmm")) &amp; " - " &amp; UPPER(TEXT(G1059,"mmm"))</f>
        <v>APR - JUN</v>
      </c>
      <c r="K1059" s="32" t="s">
        <v>1736</v>
      </c>
      <c r="L1059" s="99" t="s">
        <v>3895</v>
      </c>
      <c r="M1059" s="32" t="str">
        <f t="shared" si="37"/>
        <v>No</v>
      </c>
      <c r="N1059" s="32">
        <f>G1059 - F1059</f>
        <v>90</v>
      </c>
      <c r="O1059">
        <v>1</v>
      </c>
    </row>
    <row r="1060" spans="1:15" x14ac:dyDescent="0.3">
      <c r="A1060" s="53" t="s">
        <v>2002</v>
      </c>
      <c r="B1060" s="61" t="s">
        <v>11</v>
      </c>
      <c r="C1060" s="61" t="s">
        <v>12</v>
      </c>
      <c r="D1060" s="53" t="s">
        <v>1991</v>
      </c>
      <c r="E1060" s="53" t="s">
        <v>2003</v>
      </c>
      <c r="F1060" s="96">
        <v>44512</v>
      </c>
      <c r="G1060" s="96">
        <v>44573</v>
      </c>
      <c r="H1060" s="58" t="str">
        <f t="shared" si="39"/>
        <v>ODD</v>
      </c>
      <c r="I1060" s="106">
        <v>500</v>
      </c>
      <c r="J1060" s="32" t="str">
        <f>UPPER(TEXT(F1060,"mmm")) &amp; " - " &amp; UPPER(TEXT(G1060,"mmm"))</f>
        <v>NOV - JAN</v>
      </c>
      <c r="K1060" s="32" t="s">
        <v>1736</v>
      </c>
      <c r="L1060" s="99" t="s">
        <v>3895</v>
      </c>
      <c r="M1060" s="32" t="str">
        <f t="shared" si="37"/>
        <v>Yes</v>
      </c>
      <c r="N1060" s="32">
        <f>G1060 - F1060</f>
        <v>61</v>
      </c>
      <c r="O1060">
        <v>1</v>
      </c>
    </row>
    <row r="1061" spans="1:15" x14ac:dyDescent="0.3">
      <c r="A1061" s="53" t="s">
        <v>1075</v>
      </c>
      <c r="B1061" s="61" t="s">
        <v>70</v>
      </c>
      <c r="C1061" s="61" t="s">
        <v>12</v>
      </c>
      <c r="D1061" s="53" t="s">
        <v>1163</v>
      </c>
      <c r="E1061" s="53" t="s">
        <v>2004</v>
      </c>
      <c r="F1061" s="96">
        <v>44671</v>
      </c>
      <c r="G1061" s="96">
        <v>44773</v>
      </c>
      <c r="H1061" s="58" t="str">
        <f t="shared" si="39"/>
        <v>EVEN</v>
      </c>
      <c r="I1061" s="106">
        <v>0</v>
      </c>
      <c r="J1061" s="32" t="str">
        <f>UPPER(TEXT(F1061,"mmm")) &amp; " - " &amp; UPPER(TEXT(G1061,"mmm"))</f>
        <v>APR - JUL</v>
      </c>
      <c r="K1061" s="32" t="s">
        <v>1736</v>
      </c>
      <c r="L1061" s="99" t="s">
        <v>3895</v>
      </c>
      <c r="M1061" s="32" t="str">
        <f t="shared" si="37"/>
        <v>No</v>
      </c>
      <c r="N1061" s="32">
        <f>G1061 - F1061</f>
        <v>102</v>
      </c>
      <c r="O1061">
        <v>1</v>
      </c>
    </row>
    <row r="1062" spans="1:15" x14ac:dyDescent="0.3">
      <c r="A1062" s="53" t="s">
        <v>2005</v>
      </c>
      <c r="B1062" s="61" t="s">
        <v>78</v>
      </c>
      <c r="C1062" s="61" t="s">
        <v>12</v>
      </c>
      <c r="D1062" s="53" t="s">
        <v>2006</v>
      </c>
      <c r="E1062" s="53" t="s">
        <v>2007</v>
      </c>
      <c r="F1062" s="96">
        <v>44713</v>
      </c>
      <c r="G1062" s="96">
        <v>44755</v>
      </c>
      <c r="H1062" s="58" t="str">
        <f t="shared" si="39"/>
        <v>EVEN</v>
      </c>
      <c r="I1062" s="106">
        <v>0</v>
      </c>
      <c r="J1062" s="32" t="str">
        <f>UPPER(TEXT(F1062,"mmm")) &amp; " - " &amp; UPPER(TEXT(G1062,"mmm"))</f>
        <v>JUN - JUL</v>
      </c>
      <c r="K1062" s="32" t="s">
        <v>1736</v>
      </c>
      <c r="L1062" s="99" t="s">
        <v>3895</v>
      </c>
      <c r="M1062" s="32" t="str">
        <f t="shared" si="37"/>
        <v>No</v>
      </c>
      <c r="N1062" s="32">
        <f>G1062 - F1062</f>
        <v>42</v>
      </c>
      <c r="O1062">
        <v>1</v>
      </c>
    </row>
    <row r="1063" spans="1:15" x14ac:dyDescent="0.3">
      <c r="A1063" s="53" t="s">
        <v>1174</v>
      </c>
      <c r="B1063" s="61" t="s">
        <v>78</v>
      </c>
      <c r="C1063" s="61" t="s">
        <v>12</v>
      </c>
      <c r="D1063" s="53" t="s">
        <v>1233</v>
      </c>
      <c r="E1063" s="53" t="s">
        <v>2008</v>
      </c>
      <c r="F1063" s="96">
        <v>44378</v>
      </c>
      <c r="G1063" s="96">
        <v>44681</v>
      </c>
      <c r="H1063" s="58" t="str">
        <f t="shared" si="39"/>
        <v>EVEN</v>
      </c>
      <c r="I1063" s="106">
        <v>0</v>
      </c>
      <c r="J1063" s="32" t="str">
        <f>UPPER(TEXT(F1063,"mmm")) &amp; " - " &amp; UPPER(TEXT(G1063,"mmm"))</f>
        <v>JUL - APR</v>
      </c>
      <c r="K1063" s="32" t="s">
        <v>1736</v>
      </c>
      <c r="L1063" s="61" t="s">
        <v>895</v>
      </c>
      <c r="M1063" s="32" t="str">
        <f t="shared" si="37"/>
        <v>No</v>
      </c>
      <c r="N1063" s="32">
        <f>G1063 - F1063</f>
        <v>303</v>
      </c>
      <c r="O1063">
        <v>1</v>
      </c>
    </row>
    <row r="1064" spans="1:15" x14ac:dyDescent="0.3">
      <c r="A1064" s="53" t="s">
        <v>2009</v>
      </c>
      <c r="B1064" s="61" t="s">
        <v>78</v>
      </c>
      <c r="C1064" s="61" t="s">
        <v>12</v>
      </c>
      <c r="D1064" s="53" t="s">
        <v>2010</v>
      </c>
      <c r="E1064" s="53" t="s">
        <v>2011</v>
      </c>
      <c r="F1064" s="96">
        <v>44722</v>
      </c>
      <c r="G1064" s="96">
        <v>44767</v>
      </c>
      <c r="H1064" s="58" t="str">
        <f t="shared" si="39"/>
        <v>EVEN</v>
      </c>
      <c r="I1064" s="106">
        <v>0</v>
      </c>
      <c r="J1064" s="32" t="str">
        <f>UPPER(TEXT(F1064,"mmm")) &amp; " - " &amp; UPPER(TEXT(G1064,"mmm"))</f>
        <v>JUN - JUL</v>
      </c>
      <c r="K1064" s="32" t="s">
        <v>1736</v>
      </c>
      <c r="L1064" s="61" t="s">
        <v>895</v>
      </c>
      <c r="M1064" s="32" t="str">
        <f t="shared" si="37"/>
        <v>No</v>
      </c>
      <c r="N1064" s="32">
        <f>G1064 - F1064</f>
        <v>45</v>
      </c>
      <c r="O1064">
        <v>1</v>
      </c>
    </row>
    <row r="1065" spans="1:15" x14ac:dyDescent="0.3">
      <c r="A1065" s="53" t="s">
        <v>2012</v>
      </c>
      <c r="B1065" s="61" t="s">
        <v>78</v>
      </c>
      <c r="C1065" s="61" t="s">
        <v>12</v>
      </c>
      <c r="D1065" s="53" t="s">
        <v>2013</v>
      </c>
      <c r="E1065" s="53" t="s">
        <v>2014</v>
      </c>
      <c r="F1065" s="96">
        <v>44722</v>
      </c>
      <c r="G1065" s="96">
        <v>44767</v>
      </c>
      <c r="H1065" s="58" t="str">
        <f t="shared" si="39"/>
        <v>EVEN</v>
      </c>
      <c r="I1065" s="106">
        <v>0</v>
      </c>
      <c r="J1065" s="32" t="str">
        <f>UPPER(TEXT(F1065,"mmm")) &amp; " - " &amp; UPPER(TEXT(G1065,"mmm"))</f>
        <v>JUN - JUL</v>
      </c>
      <c r="K1065" s="32" t="s">
        <v>1736</v>
      </c>
      <c r="L1065" s="61" t="s">
        <v>895</v>
      </c>
      <c r="M1065" s="32" t="str">
        <f t="shared" si="37"/>
        <v>No</v>
      </c>
      <c r="N1065" s="32">
        <f>G1065 - F1065</f>
        <v>45</v>
      </c>
      <c r="O1065">
        <v>1</v>
      </c>
    </row>
    <row r="1066" spans="1:15" x14ac:dyDescent="0.3">
      <c r="A1066" s="53" t="s">
        <v>1566</v>
      </c>
      <c r="B1066" s="61" t="s">
        <v>78</v>
      </c>
      <c r="C1066" s="61" t="s">
        <v>12</v>
      </c>
      <c r="D1066" s="53" t="s">
        <v>1233</v>
      </c>
      <c r="E1066" s="53" t="s">
        <v>2015</v>
      </c>
      <c r="F1066" s="96">
        <v>44378</v>
      </c>
      <c r="G1066" s="96">
        <v>44681</v>
      </c>
      <c r="H1066" s="58" t="str">
        <f t="shared" si="39"/>
        <v>EVEN</v>
      </c>
      <c r="I1066" s="106">
        <v>0</v>
      </c>
      <c r="J1066" s="32" t="str">
        <f>UPPER(TEXT(F1066,"mmm")) &amp; " - " &amp; UPPER(TEXT(G1066,"mmm"))</f>
        <v>JUL - APR</v>
      </c>
      <c r="K1066" s="32" t="s">
        <v>1736</v>
      </c>
      <c r="L1066" s="61" t="s">
        <v>895</v>
      </c>
      <c r="M1066" s="32" t="str">
        <f t="shared" si="37"/>
        <v>No</v>
      </c>
      <c r="N1066" s="32">
        <f>G1066 - F1066</f>
        <v>303</v>
      </c>
      <c r="O1066">
        <v>1</v>
      </c>
    </row>
    <row r="1067" spans="1:15" x14ac:dyDescent="0.3">
      <c r="A1067" s="53" t="s">
        <v>1328</v>
      </c>
      <c r="B1067" s="61" t="s">
        <v>78</v>
      </c>
      <c r="C1067" s="61" t="s">
        <v>12</v>
      </c>
      <c r="D1067" s="53" t="s">
        <v>593</v>
      </c>
      <c r="E1067" s="53" t="s">
        <v>1617</v>
      </c>
      <c r="F1067" s="96">
        <v>44562</v>
      </c>
      <c r="G1067" s="96">
        <v>44712</v>
      </c>
      <c r="H1067" s="58" t="str">
        <f t="shared" si="39"/>
        <v>EVEN</v>
      </c>
      <c r="I1067" s="106">
        <v>0</v>
      </c>
      <c r="J1067" s="32" t="str">
        <f>UPPER(TEXT(F1067,"mmm")) &amp; " - " &amp; UPPER(TEXT(G1067,"mmm"))</f>
        <v>JAN - MAY</v>
      </c>
      <c r="K1067" s="32" t="s">
        <v>1736</v>
      </c>
      <c r="L1067" s="61" t="s">
        <v>895</v>
      </c>
      <c r="M1067" s="32" t="str">
        <f t="shared" si="37"/>
        <v>No</v>
      </c>
      <c r="N1067" s="32">
        <f>G1067 - F1067</f>
        <v>150</v>
      </c>
      <c r="O1067">
        <v>1</v>
      </c>
    </row>
    <row r="1068" spans="1:15" x14ac:dyDescent="0.3">
      <c r="A1068" s="53" t="s">
        <v>1745</v>
      </c>
      <c r="B1068" s="61" t="s">
        <v>78</v>
      </c>
      <c r="C1068" s="61" t="s">
        <v>12</v>
      </c>
      <c r="D1068" s="53" t="s">
        <v>2016</v>
      </c>
      <c r="E1068" s="53" t="s">
        <v>2017</v>
      </c>
      <c r="F1068" s="96">
        <v>44491</v>
      </c>
      <c r="G1068" s="96">
        <v>44563</v>
      </c>
      <c r="H1068" s="58" t="str">
        <f t="shared" si="39"/>
        <v>ODD</v>
      </c>
      <c r="I1068" s="106">
        <v>0</v>
      </c>
      <c r="J1068" s="32" t="str">
        <f>UPPER(TEXT(F1068,"mmm")) &amp; " - " &amp; UPPER(TEXT(G1068,"mmm"))</f>
        <v>OCT - JAN</v>
      </c>
      <c r="K1068" s="32" t="s">
        <v>1736</v>
      </c>
      <c r="L1068" s="61" t="s">
        <v>895</v>
      </c>
      <c r="M1068" s="32" t="str">
        <f t="shared" si="37"/>
        <v>No</v>
      </c>
      <c r="N1068" s="32">
        <f>G1068 - F1068</f>
        <v>72</v>
      </c>
      <c r="O1068">
        <v>1</v>
      </c>
    </row>
    <row r="1069" spans="1:15" x14ac:dyDescent="0.3">
      <c r="A1069" s="53" t="s">
        <v>2018</v>
      </c>
      <c r="B1069" s="61" t="s">
        <v>78</v>
      </c>
      <c r="C1069" s="61" t="s">
        <v>12</v>
      </c>
      <c r="D1069" s="53" t="s">
        <v>2019</v>
      </c>
      <c r="E1069" s="53" t="s">
        <v>2020</v>
      </c>
      <c r="F1069" s="96">
        <v>44590</v>
      </c>
      <c r="G1069" s="96">
        <v>44653</v>
      </c>
      <c r="H1069" s="58" t="str">
        <f t="shared" si="39"/>
        <v>EVEN</v>
      </c>
      <c r="I1069" s="106">
        <v>0</v>
      </c>
      <c r="J1069" s="32" t="str">
        <f>UPPER(TEXT(F1069,"mmm")) &amp; " - " &amp; UPPER(TEXT(G1069,"mmm"))</f>
        <v>JAN - APR</v>
      </c>
      <c r="K1069" s="32" t="s">
        <v>1736</v>
      </c>
      <c r="L1069" s="99" t="s">
        <v>3895</v>
      </c>
      <c r="M1069" s="32" t="str">
        <f t="shared" si="37"/>
        <v>No</v>
      </c>
      <c r="N1069" s="32">
        <f>G1069 - F1069</f>
        <v>63</v>
      </c>
      <c r="O1069">
        <v>1</v>
      </c>
    </row>
    <row r="1070" spans="1:15" x14ac:dyDescent="0.3">
      <c r="A1070" s="53" t="s">
        <v>2021</v>
      </c>
      <c r="B1070" s="61" t="s">
        <v>78</v>
      </c>
      <c r="C1070" s="61" t="s">
        <v>12</v>
      </c>
      <c r="D1070" s="53" t="s">
        <v>2022</v>
      </c>
      <c r="E1070" s="53" t="s">
        <v>2023</v>
      </c>
      <c r="F1070" s="96">
        <v>44724</v>
      </c>
      <c r="G1070" s="96">
        <v>44773</v>
      </c>
      <c r="H1070" s="58" t="str">
        <f t="shared" si="39"/>
        <v>EVEN</v>
      </c>
      <c r="I1070" s="106">
        <v>0</v>
      </c>
      <c r="J1070" s="32" t="str">
        <f>UPPER(TEXT(F1070,"mmm")) &amp; " - " &amp; UPPER(TEXT(G1070,"mmm"))</f>
        <v>JUN - JUL</v>
      </c>
      <c r="K1070" s="32" t="s">
        <v>1736</v>
      </c>
      <c r="L1070" s="99" t="s">
        <v>3895</v>
      </c>
      <c r="M1070" s="32" t="str">
        <f t="shared" si="37"/>
        <v>No</v>
      </c>
      <c r="N1070" s="32">
        <f>G1070 - F1070</f>
        <v>49</v>
      </c>
      <c r="O1070">
        <v>1</v>
      </c>
    </row>
    <row r="1071" spans="1:15" x14ac:dyDescent="0.3">
      <c r="A1071" s="53" t="s">
        <v>1912</v>
      </c>
      <c r="B1071" s="61" t="s">
        <v>78</v>
      </c>
      <c r="C1071" s="61" t="s">
        <v>12</v>
      </c>
      <c r="D1071" s="53" t="s">
        <v>2024</v>
      </c>
      <c r="E1071" s="53" t="s">
        <v>2025</v>
      </c>
      <c r="F1071" s="96">
        <v>44494</v>
      </c>
      <c r="G1071" s="96">
        <v>44681</v>
      </c>
      <c r="H1071" s="58" t="str">
        <f t="shared" si="39"/>
        <v>ODD</v>
      </c>
      <c r="I1071" s="106">
        <v>0</v>
      </c>
      <c r="J1071" s="32" t="str">
        <f>UPPER(TEXT(F1071,"mmm")) &amp; " - " &amp; UPPER(TEXT(G1071,"mmm"))</f>
        <v>OCT - APR</v>
      </c>
      <c r="K1071" s="32" t="s">
        <v>1736</v>
      </c>
      <c r="L1071" s="99" t="s">
        <v>3895</v>
      </c>
      <c r="M1071" s="32" t="str">
        <f t="shared" si="37"/>
        <v>No</v>
      </c>
      <c r="N1071" s="32">
        <f>G1071 - F1071</f>
        <v>187</v>
      </c>
      <c r="O1071">
        <v>1</v>
      </c>
    </row>
    <row r="1072" spans="1:15" x14ac:dyDescent="0.3">
      <c r="A1072" s="53" t="s">
        <v>2026</v>
      </c>
      <c r="B1072" s="61" t="s">
        <v>78</v>
      </c>
      <c r="C1072" s="61" t="s">
        <v>12</v>
      </c>
      <c r="D1072" s="53" t="s">
        <v>2027</v>
      </c>
      <c r="E1072" s="53" t="s">
        <v>2028</v>
      </c>
      <c r="F1072" s="96">
        <v>44722</v>
      </c>
      <c r="G1072" s="96">
        <v>44790</v>
      </c>
      <c r="H1072" s="58" t="str">
        <f t="shared" si="39"/>
        <v>EVEN</v>
      </c>
      <c r="I1072" s="106">
        <v>0</v>
      </c>
      <c r="J1072" s="32" t="str">
        <f>UPPER(TEXT(F1072,"mmm")) &amp; " - " &amp; UPPER(TEXT(G1072,"mmm"))</f>
        <v>JUN - AUG</v>
      </c>
      <c r="K1072" s="32" t="s">
        <v>1736</v>
      </c>
      <c r="L1072" s="99" t="s">
        <v>3895</v>
      </c>
      <c r="M1072" s="32" t="str">
        <f t="shared" si="37"/>
        <v>No</v>
      </c>
      <c r="N1072" s="32">
        <f>G1072 - F1072</f>
        <v>68</v>
      </c>
      <c r="O1072">
        <v>1</v>
      </c>
    </row>
    <row r="1073" spans="1:15" x14ac:dyDescent="0.3">
      <c r="A1073" s="53" t="s">
        <v>1131</v>
      </c>
      <c r="B1073" s="61" t="s">
        <v>78</v>
      </c>
      <c r="C1073" s="61" t="s">
        <v>12</v>
      </c>
      <c r="D1073" s="53" t="s">
        <v>1233</v>
      </c>
      <c r="E1073" s="53" t="s">
        <v>2029</v>
      </c>
      <c r="F1073" s="96">
        <v>44378</v>
      </c>
      <c r="G1073" s="96">
        <v>44681</v>
      </c>
      <c r="H1073" s="58" t="str">
        <f t="shared" si="39"/>
        <v>EVEN</v>
      </c>
      <c r="I1073" s="106">
        <v>0</v>
      </c>
      <c r="J1073" s="32" t="str">
        <f>UPPER(TEXT(F1073,"mmm")) &amp; " - " &amp; UPPER(TEXT(G1073,"mmm"))</f>
        <v>JUL - APR</v>
      </c>
      <c r="K1073" s="32" t="s">
        <v>1736</v>
      </c>
      <c r="L1073" s="61" t="s">
        <v>895</v>
      </c>
      <c r="M1073" s="32" t="str">
        <f t="shared" si="37"/>
        <v>No</v>
      </c>
      <c r="N1073" s="32">
        <f>G1073 - F1073</f>
        <v>303</v>
      </c>
      <c r="O1073">
        <v>1</v>
      </c>
    </row>
    <row r="1074" spans="1:15" x14ac:dyDescent="0.3">
      <c r="A1074" s="53" t="s">
        <v>2030</v>
      </c>
      <c r="B1074" s="61" t="s">
        <v>78</v>
      </c>
      <c r="C1074" s="61" t="s">
        <v>12</v>
      </c>
      <c r="D1074" s="53" t="s">
        <v>593</v>
      </c>
      <c r="E1074" s="53" t="s">
        <v>2031</v>
      </c>
      <c r="F1074" s="96">
        <v>44649</v>
      </c>
      <c r="G1074" s="96">
        <v>44730</v>
      </c>
      <c r="H1074" s="58" t="str">
        <f t="shared" si="39"/>
        <v>EVEN</v>
      </c>
      <c r="I1074" s="106">
        <v>0</v>
      </c>
      <c r="J1074" s="32" t="str">
        <f>UPPER(TEXT(F1074,"mmm")) &amp; " - " &amp; UPPER(TEXT(G1074,"mmm"))</f>
        <v>MAR - JUN</v>
      </c>
      <c r="K1074" s="32" t="s">
        <v>1736</v>
      </c>
      <c r="L1074" s="61" t="s">
        <v>895</v>
      </c>
      <c r="M1074" s="32" t="str">
        <f t="shared" si="37"/>
        <v>No</v>
      </c>
      <c r="N1074" s="32">
        <f>G1074 - F1074</f>
        <v>81</v>
      </c>
      <c r="O1074">
        <v>1</v>
      </c>
    </row>
    <row r="1075" spans="1:15" x14ac:dyDescent="0.3">
      <c r="A1075" s="53" t="s">
        <v>2032</v>
      </c>
      <c r="B1075" s="61" t="s">
        <v>78</v>
      </c>
      <c r="C1075" s="61" t="s">
        <v>12</v>
      </c>
      <c r="D1075" s="53" t="s">
        <v>2033</v>
      </c>
      <c r="E1075" s="53" t="s">
        <v>2034</v>
      </c>
      <c r="F1075" s="96">
        <v>44733</v>
      </c>
      <c r="G1075" s="96">
        <v>44762</v>
      </c>
      <c r="H1075" s="58" t="str">
        <f t="shared" si="39"/>
        <v>EVEN</v>
      </c>
      <c r="I1075" s="106">
        <v>0</v>
      </c>
      <c r="J1075" s="32" t="str">
        <f>UPPER(TEXT(F1075,"mmm")) &amp; " - " &amp; UPPER(TEXT(G1075,"mmm"))</f>
        <v>JUN - JUL</v>
      </c>
      <c r="K1075" s="32" t="s">
        <v>1736</v>
      </c>
      <c r="L1075" s="99" t="s">
        <v>3895</v>
      </c>
      <c r="M1075" s="32" t="str">
        <f t="shared" si="37"/>
        <v>No</v>
      </c>
      <c r="N1075" s="32">
        <f>G1075 - F1075</f>
        <v>29</v>
      </c>
      <c r="O1075">
        <v>1</v>
      </c>
    </row>
    <row r="1076" spans="1:15" x14ac:dyDescent="0.3">
      <c r="A1076" s="53" t="s">
        <v>1849</v>
      </c>
      <c r="B1076" s="61" t="s">
        <v>78</v>
      </c>
      <c r="C1076" s="61" t="s">
        <v>12</v>
      </c>
      <c r="D1076" s="53" t="s">
        <v>2035</v>
      </c>
      <c r="E1076" s="53" t="s">
        <v>2036</v>
      </c>
      <c r="F1076" s="96">
        <v>44732</v>
      </c>
      <c r="G1076" s="96">
        <v>44773</v>
      </c>
      <c r="H1076" s="58" t="str">
        <f t="shared" si="39"/>
        <v>EVEN</v>
      </c>
      <c r="I1076" s="106">
        <v>0</v>
      </c>
      <c r="J1076" s="32" t="str">
        <f>UPPER(TEXT(F1076,"mmm")) &amp; " - " &amp; UPPER(TEXT(G1076,"mmm"))</f>
        <v>JUN - JUL</v>
      </c>
      <c r="K1076" s="32" t="s">
        <v>1736</v>
      </c>
      <c r="L1076" s="99" t="s">
        <v>3895</v>
      </c>
      <c r="M1076" s="32" t="str">
        <f t="shared" si="37"/>
        <v>No</v>
      </c>
      <c r="N1076" s="32">
        <f>G1076 - F1076</f>
        <v>41</v>
      </c>
      <c r="O1076">
        <v>1</v>
      </c>
    </row>
    <row r="1077" spans="1:15" x14ac:dyDescent="0.3">
      <c r="A1077" s="53" t="s">
        <v>2037</v>
      </c>
      <c r="B1077" s="61" t="s">
        <v>78</v>
      </c>
      <c r="C1077" s="61" t="s">
        <v>12</v>
      </c>
      <c r="D1077" s="53" t="s">
        <v>2038</v>
      </c>
      <c r="E1077" s="53" t="s">
        <v>2039</v>
      </c>
      <c r="F1077" s="96">
        <v>44735</v>
      </c>
      <c r="G1077" s="96">
        <v>44771</v>
      </c>
      <c r="H1077" s="58" t="str">
        <f t="shared" si="39"/>
        <v>EVEN</v>
      </c>
      <c r="I1077" s="106">
        <v>0</v>
      </c>
      <c r="J1077" s="32" t="str">
        <f>UPPER(TEXT(F1077,"mmm")) &amp; " - " &amp; UPPER(TEXT(G1077,"mmm"))</f>
        <v>JUN - JUL</v>
      </c>
      <c r="K1077" s="32" t="s">
        <v>1736</v>
      </c>
      <c r="L1077" s="99" t="s">
        <v>3895</v>
      </c>
      <c r="M1077" s="32" t="str">
        <f t="shared" si="37"/>
        <v>No</v>
      </c>
      <c r="N1077" s="32">
        <f>G1077 - F1077</f>
        <v>36</v>
      </c>
      <c r="O1077">
        <v>1</v>
      </c>
    </row>
    <row r="1078" spans="1:15" x14ac:dyDescent="0.3">
      <c r="A1078" s="53" t="s">
        <v>2040</v>
      </c>
      <c r="B1078" s="61" t="s">
        <v>78</v>
      </c>
      <c r="C1078" s="61" t="s">
        <v>12</v>
      </c>
      <c r="D1078" s="53" t="s">
        <v>2041</v>
      </c>
      <c r="E1078" s="53" t="s">
        <v>2042</v>
      </c>
      <c r="F1078" s="96">
        <v>44732</v>
      </c>
      <c r="G1078" s="96">
        <v>44786</v>
      </c>
      <c r="H1078" s="58" t="str">
        <f t="shared" si="39"/>
        <v>EVEN</v>
      </c>
      <c r="I1078" s="106">
        <v>10000</v>
      </c>
      <c r="J1078" s="32" t="str">
        <f>UPPER(TEXT(F1078,"mmm")) &amp; " - " &amp; UPPER(TEXT(G1078,"mmm"))</f>
        <v>JUN - AUG</v>
      </c>
      <c r="K1078" s="32" t="s">
        <v>1736</v>
      </c>
      <c r="L1078" s="99" t="s">
        <v>3895</v>
      </c>
      <c r="M1078" s="32" t="str">
        <f t="shared" si="37"/>
        <v>Yes</v>
      </c>
      <c r="N1078" s="32">
        <f>G1078 - F1078</f>
        <v>54</v>
      </c>
      <c r="O1078">
        <v>1</v>
      </c>
    </row>
    <row r="1079" spans="1:15" x14ac:dyDescent="0.3">
      <c r="A1079" s="53" t="s">
        <v>2043</v>
      </c>
      <c r="B1079" s="61" t="s">
        <v>78</v>
      </c>
      <c r="C1079" s="61" t="s">
        <v>12</v>
      </c>
      <c r="D1079" s="53" t="s">
        <v>2044</v>
      </c>
      <c r="E1079" s="53" t="s">
        <v>2045</v>
      </c>
      <c r="F1079" s="96">
        <v>44732</v>
      </c>
      <c r="G1079" s="96">
        <v>44778</v>
      </c>
      <c r="H1079" s="58" t="str">
        <f t="shared" si="39"/>
        <v>EVEN</v>
      </c>
      <c r="I1079" s="106">
        <v>0</v>
      </c>
      <c r="J1079" s="32" t="str">
        <f>UPPER(TEXT(F1079,"mmm")) &amp; " - " &amp; UPPER(TEXT(G1079,"mmm"))</f>
        <v>JUN - AUG</v>
      </c>
      <c r="K1079" s="32" t="s">
        <v>1736</v>
      </c>
      <c r="L1079" s="99" t="s">
        <v>3895</v>
      </c>
      <c r="M1079" s="32" t="str">
        <f t="shared" si="37"/>
        <v>No</v>
      </c>
      <c r="N1079" s="32">
        <f>G1079 - F1079</f>
        <v>46</v>
      </c>
      <c r="O1079">
        <v>1</v>
      </c>
    </row>
    <row r="1080" spans="1:15" x14ac:dyDescent="0.3">
      <c r="A1080" s="53" t="s">
        <v>2046</v>
      </c>
      <c r="B1080" s="61" t="s">
        <v>78</v>
      </c>
      <c r="C1080" s="61" t="s">
        <v>12</v>
      </c>
      <c r="D1080" s="53" t="s">
        <v>1950</v>
      </c>
      <c r="E1080" s="53" t="s">
        <v>2047</v>
      </c>
      <c r="F1080" s="96">
        <v>44613</v>
      </c>
      <c r="G1080" s="96">
        <v>44651</v>
      </c>
      <c r="H1080" s="58" t="str">
        <f t="shared" si="39"/>
        <v>EVEN</v>
      </c>
      <c r="I1080" s="106">
        <v>0</v>
      </c>
      <c r="J1080" s="32" t="str">
        <f>UPPER(TEXT(F1080,"mmm")) &amp; " - " &amp; UPPER(TEXT(G1080,"mmm"))</f>
        <v>FEB - MAR</v>
      </c>
      <c r="K1080" s="32" t="s">
        <v>1736</v>
      </c>
      <c r="L1080" s="99" t="s">
        <v>3895</v>
      </c>
      <c r="M1080" s="32" t="str">
        <f t="shared" si="37"/>
        <v>No</v>
      </c>
      <c r="N1080" s="32">
        <f>G1080 - F1080</f>
        <v>38</v>
      </c>
      <c r="O1080">
        <v>1</v>
      </c>
    </row>
    <row r="1081" spans="1:15" x14ac:dyDescent="0.3">
      <c r="A1081" s="53" t="s">
        <v>2048</v>
      </c>
      <c r="B1081" s="61" t="s">
        <v>78</v>
      </c>
      <c r="C1081" s="61" t="s">
        <v>12</v>
      </c>
      <c r="D1081" s="53" t="s">
        <v>1233</v>
      </c>
      <c r="E1081" s="53" t="s">
        <v>2049</v>
      </c>
      <c r="F1081" s="96">
        <v>44378</v>
      </c>
      <c r="G1081" s="96">
        <v>44681</v>
      </c>
      <c r="H1081" s="58" t="str">
        <f t="shared" si="39"/>
        <v>EVEN</v>
      </c>
      <c r="I1081" s="106">
        <v>0</v>
      </c>
      <c r="J1081" s="32" t="str">
        <f>UPPER(TEXT(F1081,"mmm")) &amp; " - " &amp; UPPER(TEXT(G1081,"mmm"))</f>
        <v>JUL - APR</v>
      </c>
      <c r="K1081" s="32" t="s">
        <v>1736</v>
      </c>
      <c r="L1081" s="61" t="s">
        <v>895</v>
      </c>
      <c r="M1081" s="32" t="str">
        <f t="shared" si="37"/>
        <v>No</v>
      </c>
      <c r="N1081" s="32">
        <f>G1081 - F1081</f>
        <v>303</v>
      </c>
      <c r="O1081">
        <v>1</v>
      </c>
    </row>
    <row r="1082" spans="1:15" x14ac:dyDescent="0.3">
      <c r="A1082" s="53" t="s">
        <v>2050</v>
      </c>
      <c r="B1082" s="61" t="s">
        <v>78</v>
      </c>
      <c r="C1082" s="61" t="s">
        <v>12</v>
      </c>
      <c r="D1082" s="53" t="s">
        <v>2051</v>
      </c>
      <c r="E1082" s="53" t="s">
        <v>408</v>
      </c>
      <c r="F1082" s="96">
        <v>44691</v>
      </c>
      <c r="G1082" s="96">
        <v>44757</v>
      </c>
      <c r="H1082" s="58" t="str">
        <f t="shared" si="39"/>
        <v>EVEN</v>
      </c>
      <c r="I1082" s="106">
        <v>0</v>
      </c>
      <c r="J1082" s="32" t="str">
        <f>UPPER(TEXT(F1082,"mmm")) &amp; " - " &amp; UPPER(TEXT(G1082,"mmm"))</f>
        <v>MAY - JUL</v>
      </c>
      <c r="K1082" s="32" t="s">
        <v>1736</v>
      </c>
      <c r="L1082" s="99" t="s">
        <v>3895</v>
      </c>
      <c r="M1082" s="32" t="str">
        <f t="shared" si="37"/>
        <v>No</v>
      </c>
      <c r="N1082" s="32">
        <f>G1082 - F1082</f>
        <v>66</v>
      </c>
      <c r="O1082">
        <v>1</v>
      </c>
    </row>
    <row r="1083" spans="1:15" x14ac:dyDescent="0.3">
      <c r="A1083" s="53" t="s">
        <v>2050</v>
      </c>
      <c r="B1083" s="61" t="s">
        <v>78</v>
      </c>
      <c r="C1083" s="61" t="s">
        <v>12</v>
      </c>
      <c r="D1083" s="53" t="s">
        <v>2052</v>
      </c>
      <c r="E1083" s="53" t="s">
        <v>408</v>
      </c>
      <c r="F1083" s="96">
        <v>44734</v>
      </c>
      <c r="G1083" s="96">
        <v>44774</v>
      </c>
      <c r="H1083" s="58" t="str">
        <f t="shared" si="39"/>
        <v>EVEN</v>
      </c>
      <c r="I1083" s="106">
        <v>0</v>
      </c>
      <c r="J1083" s="32" t="str">
        <f>UPPER(TEXT(F1083,"mmm")) &amp; " - " &amp; UPPER(TEXT(G1083,"mmm"))</f>
        <v>JUN - AUG</v>
      </c>
      <c r="K1083" s="32" t="s">
        <v>1736</v>
      </c>
      <c r="L1083" s="99" t="s">
        <v>3895</v>
      </c>
      <c r="M1083" s="32" t="str">
        <f t="shared" si="37"/>
        <v>No</v>
      </c>
      <c r="N1083" s="32">
        <f>G1083 - F1083</f>
        <v>40</v>
      </c>
      <c r="O1083">
        <v>1</v>
      </c>
    </row>
    <row r="1084" spans="1:15" x14ac:dyDescent="0.3">
      <c r="A1084" s="53" t="s">
        <v>1397</v>
      </c>
      <c r="B1084" s="61" t="s">
        <v>78</v>
      </c>
      <c r="C1084" s="61" t="s">
        <v>12</v>
      </c>
      <c r="D1084" s="53" t="s">
        <v>2053</v>
      </c>
      <c r="E1084" s="53" t="s">
        <v>889</v>
      </c>
      <c r="F1084" s="96">
        <v>44713</v>
      </c>
      <c r="G1084" s="96">
        <v>44773</v>
      </c>
      <c r="H1084" s="58" t="str">
        <f t="shared" si="39"/>
        <v>EVEN</v>
      </c>
      <c r="I1084" s="106">
        <v>0</v>
      </c>
      <c r="J1084" s="32" t="str">
        <f>UPPER(TEXT(F1084,"mmm")) &amp; " - " &amp; UPPER(TEXT(G1084,"mmm"))</f>
        <v>JUN - JUL</v>
      </c>
      <c r="K1084" s="32" t="s">
        <v>1736</v>
      </c>
      <c r="L1084" s="99" t="s">
        <v>3895</v>
      </c>
      <c r="M1084" s="32" t="str">
        <f t="shared" si="37"/>
        <v>No</v>
      </c>
      <c r="N1084" s="32">
        <f>G1084 - F1084</f>
        <v>60</v>
      </c>
      <c r="O1084">
        <v>1</v>
      </c>
    </row>
    <row r="1085" spans="1:15" x14ac:dyDescent="0.3">
      <c r="A1085" s="53" t="s">
        <v>1974</v>
      </c>
      <c r="B1085" s="61" t="s">
        <v>78</v>
      </c>
      <c r="C1085" s="61" t="s">
        <v>12</v>
      </c>
      <c r="D1085" s="53" t="s">
        <v>25</v>
      </c>
      <c r="E1085" s="53" t="s">
        <v>2054</v>
      </c>
      <c r="F1085" s="96">
        <v>44440</v>
      </c>
      <c r="G1085" s="96">
        <v>44531</v>
      </c>
      <c r="H1085" s="58" t="str">
        <f t="shared" si="39"/>
        <v>ODD</v>
      </c>
      <c r="I1085" s="106">
        <v>0</v>
      </c>
      <c r="J1085" s="32" t="str">
        <f>UPPER(TEXT(F1085,"mmm")) &amp; " - " &amp; UPPER(TEXT(G1085,"mmm"))</f>
        <v>SEP - DEC</v>
      </c>
      <c r="K1085" s="32" t="s">
        <v>1736</v>
      </c>
      <c r="L1085" s="61" t="s">
        <v>895</v>
      </c>
      <c r="M1085" s="32" t="str">
        <f t="shared" si="37"/>
        <v>No</v>
      </c>
      <c r="N1085" s="32">
        <f>G1085 - F1085</f>
        <v>91</v>
      </c>
      <c r="O1085">
        <v>1</v>
      </c>
    </row>
    <row r="1086" spans="1:15" x14ac:dyDescent="0.3">
      <c r="A1086" s="53" t="s">
        <v>312</v>
      </c>
      <c r="B1086" s="61" t="s">
        <v>66</v>
      </c>
      <c r="C1086" s="61" t="s">
        <v>12</v>
      </c>
      <c r="D1086" s="53" t="s">
        <v>2055</v>
      </c>
      <c r="E1086" s="53" t="s">
        <v>2056</v>
      </c>
      <c r="F1086" s="96">
        <v>44711</v>
      </c>
      <c r="G1086" s="96">
        <v>44771</v>
      </c>
      <c r="H1086" s="58" t="str">
        <f t="shared" si="39"/>
        <v>EVEN</v>
      </c>
      <c r="I1086" s="106">
        <v>92413</v>
      </c>
      <c r="J1086" s="32" t="str">
        <f>UPPER(TEXT(F1086,"mmm")) &amp; " - " &amp; UPPER(TEXT(G1086,"mmm"))</f>
        <v>MAY - JUL</v>
      </c>
      <c r="K1086" s="32" t="s">
        <v>1736</v>
      </c>
      <c r="L1086" s="99" t="s">
        <v>3895</v>
      </c>
      <c r="M1086" s="32" t="str">
        <f t="shared" si="37"/>
        <v>Yes</v>
      </c>
      <c r="N1086" s="32">
        <f>G1086 - F1086</f>
        <v>60</v>
      </c>
      <c r="O1086">
        <v>1</v>
      </c>
    </row>
    <row r="1087" spans="1:15" x14ac:dyDescent="0.3">
      <c r="A1087" s="53" t="s">
        <v>2057</v>
      </c>
      <c r="B1087" s="61" t="s">
        <v>66</v>
      </c>
      <c r="C1087" s="61" t="s">
        <v>12</v>
      </c>
      <c r="D1087" s="53" t="s">
        <v>2058</v>
      </c>
      <c r="E1087" s="53" t="s">
        <v>1862</v>
      </c>
      <c r="F1087" s="96">
        <v>44566</v>
      </c>
      <c r="G1087" s="96">
        <v>44600</v>
      </c>
      <c r="H1087" s="58" t="str">
        <f t="shared" si="39"/>
        <v>EVEN</v>
      </c>
      <c r="I1087" s="106">
        <v>0</v>
      </c>
      <c r="J1087" s="32" t="str">
        <f>UPPER(TEXT(F1087,"mmm")) &amp; " - " &amp; UPPER(TEXT(G1087,"mmm"))</f>
        <v>JAN - FEB</v>
      </c>
      <c r="K1087" s="32" t="s">
        <v>1736</v>
      </c>
      <c r="L1087" s="99" t="s">
        <v>3895</v>
      </c>
      <c r="M1087" s="32" t="str">
        <f t="shared" si="37"/>
        <v>No</v>
      </c>
      <c r="N1087" s="32">
        <f>G1087 - F1087</f>
        <v>34</v>
      </c>
      <c r="O1087">
        <v>1</v>
      </c>
    </row>
    <row r="1088" spans="1:15" x14ac:dyDescent="0.3">
      <c r="A1088" s="53" t="s">
        <v>1508</v>
      </c>
      <c r="B1088" s="61" t="s">
        <v>66</v>
      </c>
      <c r="C1088" s="61" t="s">
        <v>12</v>
      </c>
      <c r="D1088" s="53" t="s">
        <v>593</v>
      </c>
      <c r="E1088" s="53" t="s">
        <v>2059</v>
      </c>
      <c r="F1088" s="96">
        <v>44562</v>
      </c>
      <c r="G1088" s="96">
        <v>44742</v>
      </c>
      <c r="H1088" s="58" t="str">
        <f t="shared" si="39"/>
        <v>EVEN</v>
      </c>
      <c r="I1088" s="106">
        <v>0</v>
      </c>
      <c r="J1088" s="32" t="str">
        <f>UPPER(TEXT(F1088,"mmm")) &amp; " - " &amp; UPPER(TEXT(G1088,"mmm"))</f>
        <v>JAN - JUN</v>
      </c>
      <c r="K1088" s="32" t="s">
        <v>1736</v>
      </c>
      <c r="L1088" s="61" t="s">
        <v>895</v>
      </c>
      <c r="M1088" s="32" t="str">
        <f t="shared" si="37"/>
        <v>No</v>
      </c>
      <c r="N1088" s="32">
        <f>G1088 - F1088</f>
        <v>180</v>
      </c>
      <c r="O1088">
        <v>1</v>
      </c>
    </row>
    <row r="1089" spans="1:15" x14ac:dyDescent="0.3">
      <c r="A1089" s="53" t="s">
        <v>1508</v>
      </c>
      <c r="B1089" s="61" t="s">
        <v>66</v>
      </c>
      <c r="C1089" s="61" t="s">
        <v>12</v>
      </c>
      <c r="D1089" s="53" t="s">
        <v>2060</v>
      </c>
      <c r="E1089" s="53" t="s">
        <v>2061</v>
      </c>
      <c r="F1089" s="96">
        <v>44652</v>
      </c>
      <c r="G1089" s="96">
        <v>44742</v>
      </c>
      <c r="H1089" s="58" t="str">
        <f t="shared" si="39"/>
        <v>EVEN</v>
      </c>
      <c r="I1089" s="106">
        <v>0</v>
      </c>
      <c r="J1089" s="32" t="str">
        <f>UPPER(TEXT(F1089,"mmm")) &amp; " - " &amp; UPPER(TEXT(G1089,"mmm"))</f>
        <v>APR - JUN</v>
      </c>
      <c r="K1089" s="32" t="s">
        <v>1736</v>
      </c>
      <c r="L1089" s="99" t="s">
        <v>3895</v>
      </c>
      <c r="M1089" s="32" t="str">
        <f t="shared" si="37"/>
        <v>No</v>
      </c>
      <c r="N1089" s="32">
        <f>G1089 - F1089</f>
        <v>90</v>
      </c>
      <c r="O1089">
        <v>1</v>
      </c>
    </row>
    <row r="1090" spans="1:15" x14ac:dyDescent="0.3">
      <c r="A1090" s="53" t="s">
        <v>2062</v>
      </c>
      <c r="B1090" s="61" t="s">
        <v>66</v>
      </c>
      <c r="C1090" s="61" t="s">
        <v>12</v>
      </c>
      <c r="D1090" s="53" t="s">
        <v>2063</v>
      </c>
      <c r="E1090" s="53" t="s">
        <v>1107</v>
      </c>
      <c r="F1090" s="96">
        <v>44635</v>
      </c>
      <c r="G1090" s="96">
        <v>44757</v>
      </c>
      <c r="H1090" s="58" t="str">
        <f t="shared" si="39"/>
        <v>EVEN</v>
      </c>
      <c r="I1090" s="106">
        <v>7500</v>
      </c>
      <c r="J1090" s="32" t="str">
        <f>UPPER(TEXT(F1090,"mmm")) &amp; " - " &amp; UPPER(TEXT(G1090,"mmm"))</f>
        <v>MAR - JUL</v>
      </c>
      <c r="K1090" s="32" t="s">
        <v>1736</v>
      </c>
      <c r="L1090" s="99" t="s">
        <v>3895</v>
      </c>
      <c r="M1090" s="32" t="str">
        <f t="shared" ref="M1090:M1153" si="40">IF(I1090 &gt; 0, "Yes", "No")</f>
        <v>Yes</v>
      </c>
      <c r="N1090" s="32">
        <f>G1090 - F1090</f>
        <v>122</v>
      </c>
      <c r="O1090">
        <v>1</v>
      </c>
    </row>
    <row r="1091" spans="1:15" x14ac:dyDescent="0.3">
      <c r="A1091" s="53" t="s">
        <v>1288</v>
      </c>
      <c r="B1091" s="61" t="s">
        <v>66</v>
      </c>
      <c r="C1091" s="61" t="s">
        <v>12</v>
      </c>
      <c r="D1091" s="53" t="s">
        <v>694</v>
      </c>
      <c r="E1091" s="53" t="s">
        <v>2064</v>
      </c>
      <c r="F1091" s="96">
        <v>44674</v>
      </c>
      <c r="G1091" s="96">
        <v>44773</v>
      </c>
      <c r="H1091" s="58" t="str">
        <f t="shared" si="39"/>
        <v>EVEN</v>
      </c>
      <c r="I1091" s="106">
        <v>0</v>
      </c>
      <c r="J1091" s="32" t="str">
        <f>UPPER(TEXT(F1091,"mmm")) &amp; " - " &amp; UPPER(TEXT(G1091,"mmm"))</f>
        <v>APR - JUL</v>
      </c>
      <c r="K1091" s="32" t="s">
        <v>1736</v>
      </c>
      <c r="L1091" s="61" t="s">
        <v>895</v>
      </c>
      <c r="M1091" s="32" t="str">
        <f t="shared" si="40"/>
        <v>No</v>
      </c>
      <c r="N1091" s="32">
        <f>G1091 - F1091</f>
        <v>99</v>
      </c>
      <c r="O1091">
        <v>1</v>
      </c>
    </row>
    <row r="1092" spans="1:15" x14ac:dyDescent="0.3">
      <c r="A1092" s="53" t="s">
        <v>2065</v>
      </c>
      <c r="B1092" s="61" t="s">
        <v>66</v>
      </c>
      <c r="C1092" s="61" t="s">
        <v>12</v>
      </c>
      <c r="D1092" s="53" t="s">
        <v>379</v>
      </c>
      <c r="E1092" s="53" t="s">
        <v>284</v>
      </c>
      <c r="F1092" s="96">
        <v>44646</v>
      </c>
      <c r="G1092" s="96">
        <v>44742</v>
      </c>
      <c r="H1092" s="58" t="str">
        <f t="shared" si="39"/>
        <v>EVEN</v>
      </c>
      <c r="I1092" s="106">
        <v>0</v>
      </c>
      <c r="J1092" s="32" t="str">
        <f>UPPER(TEXT(F1092,"mmm")) &amp; " - " &amp; UPPER(TEXT(G1092,"mmm"))</f>
        <v>MAR - JUN</v>
      </c>
      <c r="K1092" s="32" t="s">
        <v>1736</v>
      </c>
      <c r="L1092" s="99" t="s">
        <v>3895</v>
      </c>
      <c r="M1092" s="32" t="str">
        <f t="shared" si="40"/>
        <v>No</v>
      </c>
      <c r="N1092" s="32">
        <f>G1092 - F1092</f>
        <v>96</v>
      </c>
      <c r="O1092">
        <v>1</v>
      </c>
    </row>
    <row r="1093" spans="1:15" x14ac:dyDescent="0.3">
      <c r="A1093" s="53" t="s">
        <v>1405</v>
      </c>
      <c r="B1093" s="61" t="s">
        <v>66</v>
      </c>
      <c r="C1093" s="61" t="s">
        <v>12</v>
      </c>
      <c r="D1093" s="53" t="s">
        <v>2066</v>
      </c>
      <c r="E1093" s="53" t="s">
        <v>998</v>
      </c>
      <c r="F1093" s="96">
        <v>44578</v>
      </c>
      <c r="G1093" s="96">
        <v>44637</v>
      </c>
      <c r="H1093" s="58" t="str">
        <f t="shared" si="39"/>
        <v>EVEN</v>
      </c>
      <c r="I1093" s="106">
        <v>0</v>
      </c>
      <c r="J1093" s="32" t="str">
        <f>UPPER(TEXT(F1093,"mmm")) &amp; " - " &amp; UPPER(TEXT(G1093,"mmm"))</f>
        <v>JAN - MAR</v>
      </c>
      <c r="K1093" s="32" t="s">
        <v>1736</v>
      </c>
      <c r="L1093" s="99" t="s">
        <v>3895</v>
      </c>
      <c r="M1093" s="32" t="str">
        <f t="shared" si="40"/>
        <v>No</v>
      </c>
      <c r="N1093" s="32">
        <f>G1093 - F1093</f>
        <v>59</v>
      </c>
      <c r="O1093">
        <v>1</v>
      </c>
    </row>
    <row r="1094" spans="1:15" x14ac:dyDescent="0.3">
      <c r="A1094" s="53" t="s">
        <v>1321</v>
      </c>
      <c r="B1094" s="61" t="s">
        <v>66</v>
      </c>
      <c r="C1094" s="61" t="s">
        <v>12</v>
      </c>
      <c r="D1094" s="53" t="s">
        <v>593</v>
      </c>
      <c r="E1094" s="53" t="s">
        <v>2067</v>
      </c>
      <c r="F1094" s="96">
        <v>44515</v>
      </c>
      <c r="G1094" s="96">
        <v>44713</v>
      </c>
      <c r="H1094" s="58" t="str">
        <f t="shared" si="39"/>
        <v>ODD</v>
      </c>
      <c r="I1094" s="106">
        <v>0</v>
      </c>
      <c r="J1094" s="32" t="str">
        <f>UPPER(TEXT(F1094,"mmm")) &amp; " - " &amp; UPPER(TEXT(G1094,"mmm"))</f>
        <v>NOV - JUN</v>
      </c>
      <c r="K1094" s="32" t="s">
        <v>1736</v>
      </c>
      <c r="L1094" s="61" t="s">
        <v>895</v>
      </c>
      <c r="M1094" s="32" t="str">
        <f t="shared" si="40"/>
        <v>No</v>
      </c>
      <c r="N1094" s="32">
        <f>G1094 - F1094</f>
        <v>198</v>
      </c>
      <c r="O1094">
        <v>1</v>
      </c>
    </row>
    <row r="1095" spans="1:15" x14ac:dyDescent="0.3">
      <c r="A1095" s="53" t="s">
        <v>1976</v>
      </c>
      <c r="B1095" s="61" t="s">
        <v>66</v>
      </c>
      <c r="C1095" s="61" t="s">
        <v>12</v>
      </c>
      <c r="D1095" s="53" t="s">
        <v>593</v>
      </c>
      <c r="E1095" s="53" t="s">
        <v>2068</v>
      </c>
      <c r="F1095" s="96">
        <v>44515</v>
      </c>
      <c r="G1095" s="96">
        <v>44713</v>
      </c>
      <c r="H1095" s="58" t="str">
        <f t="shared" si="39"/>
        <v>ODD</v>
      </c>
      <c r="I1095" s="106">
        <v>0</v>
      </c>
      <c r="J1095" s="32" t="str">
        <f>UPPER(TEXT(F1095,"mmm")) &amp; " - " &amp; UPPER(TEXT(G1095,"mmm"))</f>
        <v>NOV - JUN</v>
      </c>
      <c r="K1095" s="32" t="s">
        <v>1736</v>
      </c>
      <c r="L1095" s="61" t="s">
        <v>895</v>
      </c>
      <c r="M1095" s="32" t="str">
        <f t="shared" si="40"/>
        <v>No</v>
      </c>
      <c r="N1095" s="32">
        <f>G1095 - F1095</f>
        <v>198</v>
      </c>
      <c r="O1095">
        <v>1</v>
      </c>
    </row>
    <row r="1096" spans="1:15" x14ac:dyDescent="0.3">
      <c r="A1096" s="53" t="s">
        <v>2069</v>
      </c>
      <c r="B1096" s="61" t="s">
        <v>66</v>
      </c>
      <c r="C1096" s="61" t="s">
        <v>12</v>
      </c>
      <c r="D1096" s="53" t="s">
        <v>2070</v>
      </c>
      <c r="E1096" s="53" t="s">
        <v>2071</v>
      </c>
      <c r="F1096" s="96">
        <v>44640</v>
      </c>
      <c r="G1096" s="96">
        <v>44732</v>
      </c>
      <c r="H1096" s="58" t="str">
        <f t="shared" si="39"/>
        <v>EVEN</v>
      </c>
      <c r="I1096" s="106">
        <v>0</v>
      </c>
      <c r="J1096" s="32" t="str">
        <f>UPPER(TEXT(F1096,"mmm")) &amp; " - " &amp; UPPER(TEXT(G1096,"mmm"))</f>
        <v>MAR - JUN</v>
      </c>
      <c r="K1096" s="32" t="s">
        <v>1736</v>
      </c>
      <c r="L1096" s="61" t="s">
        <v>895</v>
      </c>
      <c r="M1096" s="32" t="str">
        <f t="shared" si="40"/>
        <v>No</v>
      </c>
      <c r="N1096" s="32">
        <f>G1096 - F1096</f>
        <v>92</v>
      </c>
      <c r="O1096">
        <v>1</v>
      </c>
    </row>
    <row r="1097" spans="1:15" x14ac:dyDescent="0.3">
      <c r="A1097" s="53" t="s">
        <v>2072</v>
      </c>
      <c r="B1097" s="61" t="s">
        <v>66</v>
      </c>
      <c r="C1097" s="61" t="s">
        <v>12</v>
      </c>
      <c r="D1097" s="53" t="s">
        <v>2070</v>
      </c>
      <c r="E1097" s="53" t="s">
        <v>2071</v>
      </c>
      <c r="F1097" s="96">
        <v>44640</v>
      </c>
      <c r="G1097" s="96">
        <v>44732</v>
      </c>
      <c r="H1097" s="58" t="str">
        <f t="shared" si="39"/>
        <v>EVEN</v>
      </c>
      <c r="I1097" s="106">
        <v>0</v>
      </c>
      <c r="J1097" s="32" t="str">
        <f>UPPER(TEXT(F1097,"mmm")) &amp; " - " &amp; UPPER(TEXT(G1097,"mmm"))</f>
        <v>MAR - JUN</v>
      </c>
      <c r="K1097" s="32" t="s">
        <v>1736</v>
      </c>
      <c r="L1097" s="61" t="s">
        <v>895</v>
      </c>
      <c r="M1097" s="32" t="str">
        <f t="shared" si="40"/>
        <v>No</v>
      </c>
      <c r="N1097" s="32">
        <f>G1097 - F1097</f>
        <v>92</v>
      </c>
      <c r="O1097">
        <v>1</v>
      </c>
    </row>
    <row r="1098" spans="1:15" x14ac:dyDescent="0.3">
      <c r="A1098" s="53" t="s">
        <v>1772</v>
      </c>
      <c r="B1098" s="61" t="s">
        <v>66</v>
      </c>
      <c r="C1098" s="61" t="s">
        <v>12</v>
      </c>
      <c r="D1098" s="53" t="s">
        <v>2073</v>
      </c>
      <c r="E1098" s="53" t="s">
        <v>2074</v>
      </c>
      <c r="F1098" s="96">
        <v>44718</v>
      </c>
      <c r="G1098" s="96">
        <v>44778</v>
      </c>
      <c r="H1098" s="58" t="str">
        <f t="shared" si="39"/>
        <v>EVEN</v>
      </c>
      <c r="I1098" s="106">
        <v>10000</v>
      </c>
      <c r="J1098" s="32" t="str">
        <f>UPPER(TEXT(F1098,"mmm")) &amp; " - " &amp; UPPER(TEXT(G1098,"mmm"))</f>
        <v>JUN - AUG</v>
      </c>
      <c r="K1098" s="32" t="s">
        <v>1736</v>
      </c>
      <c r="L1098" s="99" t="s">
        <v>3895</v>
      </c>
      <c r="M1098" s="32" t="str">
        <f t="shared" si="40"/>
        <v>Yes</v>
      </c>
      <c r="N1098" s="32">
        <f>G1098 - F1098</f>
        <v>60</v>
      </c>
      <c r="O1098">
        <v>1</v>
      </c>
    </row>
    <row r="1099" spans="1:15" x14ac:dyDescent="0.3">
      <c r="A1099" s="53" t="s">
        <v>1268</v>
      </c>
      <c r="B1099" s="61" t="s">
        <v>66</v>
      </c>
      <c r="C1099" s="61" t="s">
        <v>12</v>
      </c>
      <c r="D1099" s="53" t="s">
        <v>1795</v>
      </c>
      <c r="E1099" s="53" t="s">
        <v>2075</v>
      </c>
      <c r="F1099" s="96">
        <v>44646</v>
      </c>
      <c r="G1099" s="96">
        <v>44739</v>
      </c>
      <c r="H1099" s="58" t="str">
        <f t="shared" si="39"/>
        <v>EVEN</v>
      </c>
      <c r="I1099" s="106">
        <v>0</v>
      </c>
      <c r="J1099" s="32" t="str">
        <f>UPPER(TEXT(F1099,"mmm")) &amp; " - " &amp; UPPER(TEXT(G1099,"mmm"))</f>
        <v>MAR - JUN</v>
      </c>
      <c r="K1099" s="32" t="s">
        <v>1736</v>
      </c>
      <c r="L1099" s="61" t="s">
        <v>895</v>
      </c>
      <c r="M1099" s="32" t="str">
        <f t="shared" si="40"/>
        <v>No</v>
      </c>
      <c r="N1099" s="32">
        <f>G1099 - F1099</f>
        <v>93</v>
      </c>
      <c r="O1099">
        <v>1</v>
      </c>
    </row>
    <row r="1100" spans="1:15" x14ac:dyDescent="0.3">
      <c r="A1100" s="53" t="s">
        <v>2076</v>
      </c>
      <c r="B1100" s="61" t="s">
        <v>66</v>
      </c>
      <c r="C1100" s="61" t="s">
        <v>12</v>
      </c>
      <c r="D1100" s="53" t="s">
        <v>2077</v>
      </c>
      <c r="E1100" s="53" t="s">
        <v>2078</v>
      </c>
      <c r="F1100" s="96">
        <v>44578</v>
      </c>
      <c r="G1100" s="96">
        <v>44609</v>
      </c>
      <c r="H1100" s="58" t="str">
        <f t="shared" si="39"/>
        <v>EVEN</v>
      </c>
      <c r="I1100" s="106">
        <v>0</v>
      </c>
      <c r="J1100" s="32" t="str">
        <f>UPPER(TEXT(F1100,"mmm")) &amp; " - " &amp; UPPER(TEXT(G1100,"mmm"))</f>
        <v>JAN - FEB</v>
      </c>
      <c r="K1100" s="32" t="s">
        <v>1736</v>
      </c>
      <c r="L1100" s="99" t="s">
        <v>3895</v>
      </c>
      <c r="M1100" s="32" t="str">
        <f t="shared" si="40"/>
        <v>No</v>
      </c>
      <c r="N1100" s="32">
        <f>G1100 - F1100</f>
        <v>31</v>
      </c>
      <c r="O1100">
        <v>1</v>
      </c>
    </row>
    <row r="1101" spans="1:15" x14ac:dyDescent="0.3">
      <c r="A1101" s="53" t="s">
        <v>1523</v>
      </c>
      <c r="B1101" s="61" t="s">
        <v>66</v>
      </c>
      <c r="C1101" s="61" t="s">
        <v>12</v>
      </c>
      <c r="D1101" s="53" t="s">
        <v>598</v>
      </c>
      <c r="E1101" s="53" t="s">
        <v>2079</v>
      </c>
      <c r="F1101" s="96">
        <v>44717</v>
      </c>
      <c r="G1101" s="96">
        <v>44778</v>
      </c>
      <c r="H1101" s="58" t="str">
        <f t="shared" si="39"/>
        <v>EVEN</v>
      </c>
      <c r="I1101" s="106">
        <v>0</v>
      </c>
      <c r="J1101" s="32" t="str">
        <f>UPPER(TEXT(F1101,"mmm")) &amp; " - " &amp; UPPER(TEXT(G1101,"mmm"))</f>
        <v>JUN - AUG</v>
      </c>
      <c r="K1101" s="32" t="s">
        <v>1736</v>
      </c>
      <c r="L1101" s="61" t="s">
        <v>895</v>
      </c>
      <c r="M1101" s="32" t="str">
        <f t="shared" si="40"/>
        <v>No</v>
      </c>
      <c r="N1101" s="32">
        <f>G1101 - F1101</f>
        <v>61</v>
      </c>
      <c r="O1101">
        <v>1</v>
      </c>
    </row>
    <row r="1102" spans="1:15" x14ac:dyDescent="0.3">
      <c r="A1102" s="53" t="s">
        <v>1734</v>
      </c>
      <c r="B1102" s="61" t="s">
        <v>66</v>
      </c>
      <c r="C1102" s="61" t="s">
        <v>12</v>
      </c>
      <c r="D1102" s="53" t="s">
        <v>1898</v>
      </c>
      <c r="E1102" s="53" t="s">
        <v>2080</v>
      </c>
      <c r="F1102" s="96">
        <v>44398</v>
      </c>
      <c r="G1102" s="96">
        <v>44612</v>
      </c>
      <c r="H1102" s="58" t="str">
        <f t="shared" si="39"/>
        <v>ODD</v>
      </c>
      <c r="I1102" s="106">
        <v>0</v>
      </c>
      <c r="J1102" s="32" t="str">
        <f>UPPER(TEXT(F1102,"mmm")) &amp; " - " &amp; UPPER(TEXT(G1102,"mmm"))</f>
        <v>JUL - FEB</v>
      </c>
      <c r="K1102" s="32" t="s">
        <v>1736</v>
      </c>
      <c r="L1102" s="99" t="s">
        <v>3895</v>
      </c>
      <c r="M1102" s="32" t="str">
        <f t="shared" si="40"/>
        <v>No</v>
      </c>
      <c r="N1102" s="32">
        <f>G1102 - F1102</f>
        <v>214</v>
      </c>
      <c r="O1102">
        <v>1</v>
      </c>
    </row>
    <row r="1103" spans="1:15" x14ac:dyDescent="0.3">
      <c r="A1103" s="53" t="s">
        <v>1734</v>
      </c>
      <c r="B1103" s="61" t="s">
        <v>66</v>
      </c>
      <c r="C1103" s="61" t="s">
        <v>12</v>
      </c>
      <c r="D1103" s="53" t="s">
        <v>2081</v>
      </c>
      <c r="E1103" s="53" t="s">
        <v>2082</v>
      </c>
      <c r="F1103" s="96">
        <v>44462</v>
      </c>
      <c r="G1103" s="96">
        <v>44684</v>
      </c>
      <c r="H1103" s="58" t="str">
        <f t="shared" si="39"/>
        <v>ODD</v>
      </c>
      <c r="I1103" s="106">
        <v>0</v>
      </c>
      <c r="J1103" s="32" t="str">
        <f>UPPER(TEXT(F1103,"mmm")) &amp; " - " &amp; UPPER(TEXT(G1103,"mmm"))</f>
        <v>SEP - MAY</v>
      </c>
      <c r="K1103" s="32" t="s">
        <v>1736</v>
      </c>
      <c r="L1103" s="99" t="s">
        <v>3895</v>
      </c>
      <c r="M1103" s="32" t="str">
        <f t="shared" si="40"/>
        <v>No</v>
      </c>
      <c r="N1103" s="32">
        <f>G1103 - F1103</f>
        <v>222</v>
      </c>
      <c r="O1103">
        <v>1</v>
      </c>
    </row>
    <row r="1104" spans="1:15" x14ac:dyDescent="0.3">
      <c r="A1104" s="53" t="s">
        <v>1294</v>
      </c>
      <c r="B1104" s="61" t="s">
        <v>66</v>
      </c>
      <c r="C1104" s="61" t="s">
        <v>12</v>
      </c>
      <c r="D1104" s="53" t="s">
        <v>2083</v>
      </c>
      <c r="E1104" s="53" t="s">
        <v>2084</v>
      </c>
      <c r="F1104" s="96">
        <v>44718</v>
      </c>
      <c r="G1104" s="96">
        <v>44785</v>
      </c>
      <c r="H1104" s="58" t="str">
        <f t="shared" si="39"/>
        <v>EVEN</v>
      </c>
      <c r="I1104" s="106">
        <v>94166</v>
      </c>
      <c r="J1104" s="32" t="str">
        <f>UPPER(TEXT(F1104,"mmm")) &amp; " - " &amp; UPPER(TEXT(G1104,"mmm"))</f>
        <v>JUN - AUG</v>
      </c>
      <c r="K1104" s="32" t="s">
        <v>1736</v>
      </c>
      <c r="L1104" s="99" t="s">
        <v>3895</v>
      </c>
      <c r="M1104" s="32" t="str">
        <f t="shared" si="40"/>
        <v>Yes</v>
      </c>
      <c r="N1104" s="32">
        <f>G1104 - F1104</f>
        <v>67</v>
      </c>
      <c r="O1104">
        <v>1</v>
      </c>
    </row>
    <row r="1105" spans="1:15" x14ac:dyDescent="0.3">
      <c r="A1105" s="53" t="s">
        <v>1197</v>
      </c>
      <c r="B1105" s="61" t="s">
        <v>66</v>
      </c>
      <c r="C1105" s="61" t="s">
        <v>12</v>
      </c>
      <c r="D1105" s="53" t="s">
        <v>2085</v>
      </c>
      <c r="E1105" s="53" t="s">
        <v>406</v>
      </c>
      <c r="F1105" s="96">
        <v>44718</v>
      </c>
      <c r="G1105" s="96">
        <v>44785</v>
      </c>
      <c r="H1105" s="58" t="str">
        <f t="shared" si="39"/>
        <v>EVEN</v>
      </c>
      <c r="I1105" s="106">
        <v>10000</v>
      </c>
      <c r="J1105" s="32" t="str">
        <f>UPPER(TEXT(F1105,"mmm")) &amp; " - " &amp; UPPER(TEXT(G1105,"mmm"))</f>
        <v>JUN - AUG</v>
      </c>
      <c r="K1105" s="32" t="s">
        <v>1736</v>
      </c>
      <c r="L1105" s="99" t="s">
        <v>3895</v>
      </c>
      <c r="M1105" s="32" t="str">
        <f t="shared" si="40"/>
        <v>Yes</v>
      </c>
      <c r="N1105" s="32">
        <f>G1105 - F1105</f>
        <v>67</v>
      </c>
      <c r="O1105">
        <v>1</v>
      </c>
    </row>
    <row r="1106" spans="1:15" x14ac:dyDescent="0.3">
      <c r="A1106" s="53" t="s">
        <v>1809</v>
      </c>
      <c r="B1106" s="61" t="s">
        <v>66</v>
      </c>
      <c r="C1106" s="61" t="s">
        <v>12</v>
      </c>
      <c r="D1106" s="53" t="s">
        <v>2086</v>
      </c>
      <c r="E1106" s="53" t="s">
        <v>2087</v>
      </c>
      <c r="F1106" s="96">
        <v>44713</v>
      </c>
      <c r="G1106" s="96">
        <v>44764</v>
      </c>
      <c r="H1106" s="58" t="str">
        <f t="shared" si="39"/>
        <v>EVEN</v>
      </c>
      <c r="I1106" s="106">
        <v>30000</v>
      </c>
      <c r="J1106" s="32" t="str">
        <f>UPPER(TEXT(F1106,"mmm")) &amp; " - " &amp; UPPER(TEXT(G1106,"mmm"))</f>
        <v>JUN - JUL</v>
      </c>
      <c r="K1106" s="32" t="s">
        <v>1736</v>
      </c>
      <c r="L1106" s="99" t="s">
        <v>3895</v>
      </c>
      <c r="M1106" s="32" t="str">
        <f t="shared" si="40"/>
        <v>Yes</v>
      </c>
      <c r="N1106" s="32">
        <f>G1106 - F1106</f>
        <v>51</v>
      </c>
      <c r="O1106">
        <v>1</v>
      </c>
    </row>
    <row r="1107" spans="1:15" x14ac:dyDescent="0.3">
      <c r="A1107" s="53" t="s">
        <v>2088</v>
      </c>
      <c r="B1107" s="61" t="s">
        <v>78</v>
      </c>
      <c r="C1107" s="61" t="s">
        <v>12</v>
      </c>
      <c r="D1107" s="53" t="s">
        <v>2089</v>
      </c>
      <c r="E1107" s="53" t="s">
        <v>2090</v>
      </c>
      <c r="F1107" s="96">
        <v>44713</v>
      </c>
      <c r="G1107" s="96">
        <v>44742</v>
      </c>
      <c r="H1107" s="58" t="str">
        <f t="shared" si="39"/>
        <v>EVEN</v>
      </c>
      <c r="I1107" s="106">
        <v>0</v>
      </c>
      <c r="J1107" s="32" t="str">
        <f>UPPER(TEXT(F1107,"mmm")) &amp; " - " &amp; UPPER(TEXT(G1107,"mmm"))</f>
        <v>JUN - JUN</v>
      </c>
      <c r="K1107" s="32" t="s">
        <v>1736</v>
      </c>
      <c r="L1107" s="99" t="s">
        <v>3895</v>
      </c>
      <c r="M1107" s="32" t="str">
        <f t="shared" si="40"/>
        <v>No</v>
      </c>
      <c r="N1107" s="32">
        <f>G1107 - F1107</f>
        <v>29</v>
      </c>
      <c r="O1107">
        <v>1</v>
      </c>
    </row>
    <row r="1108" spans="1:15" x14ac:dyDescent="0.3">
      <c r="A1108" s="53" t="s">
        <v>2091</v>
      </c>
      <c r="B1108" s="61" t="s">
        <v>78</v>
      </c>
      <c r="C1108" s="61" t="s">
        <v>12</v>
      </c>
      <c r="D1108" s="53" t="s">
        <v>2092</v>
      </c>
      <c r="E1108" s="53" t="s">
        <v>2093</v>
      </c>
      <c r="F1108" s="96">
        <v>44405</v>
      </c>
      <c r="G1108" s="96">
        <v>44803</v>
      </c>
      <c r="H1108" s="58" t="str">
        <f t="shared" si="39"/>
        <v>ODD</v>
      </c>
      <c r="I1108" s="106">
        <v>0</v>
      </c>
      <c r="J1108" s="32" t="str">
        <f>UPPER(TEXT(F1108,"mmm")) &amp; " - " &amp; UPPER(TEXT(G1108,"mmm"))</f>
        <v>JUL - AUG</v>
      </c>
      <c r="K1108" s="32" t="s">
        <v>1736</v>
      </c>
      <c r="L1108" s="61" t="s">
        <v>895</v>
      </c>
      <c r="M1108" s="32" t="str">
        <f t="shared" si="40"/>
        <v>No</v>
      </c>
      <c r="N1108" s="32">
        <f>G1108 - F1108</f>
        <v>398</v>
      </c>
      <c r="O1108">
        <v>1</v>
      </c>
    </row>
    <row r="1109" spans="1:15" x14ac:dyDescent="0.3">
      <c r="A1109" s="53" t="s">
        <v>2094</v>
      </c>
      <c r="B1109" s="61" t="s">
        <v>78</v>
      </c>
      <c r="C1109" s="61" t="s">
        <v>12</v>
      </c>
      <c r="D1109" s="53" t="s">
        <v>2092</v>
      </c>
      <c r="E1109" s="53" t="s">
        <v>1348</v>
      </c>
      <c r="F1109" s="96">
        <v>44441</v>
      </c>
      <c r="G1109" s="96">
        <v>44803</v>
      </c>
      <c r="H1109" s="58" t="str">
        <f t="shared" si="39"/>
        <v>ODD</v>
      </c>
      <c r="I1109" s="106">
        <v>0</v>
      </c>
      <c r="J1109" s="32" t="str">
        <f>UPPER(TEXT(F1109,"mmm")) &amp; " - " &amp; UPPER(TEXT(G1109,"mmm"))</f>
        <v>SEP - AUG</v>
      </c>
      <c r="K1109" s="32" t="s">
        <v>1736</v>
      </c>
      <c r="L1109" s="61" t="s">
        <v>895</v>
      </c>
      <c r="M1109" s="32" t="str">
        <f t="shared" si="40"/>
        <v>No</v>
      </c>
      <c r="N1109" s="32">
        <f>G1109 - F1109</f>
        <v>362</v>
      </c>
      <c r="O1109">
        <v>1</v>
      </c>
    </row>
    <row r="1110" spans="1:15" x14ac:dyDescent="0.3">
      <c r="A1110" s="53" t="s">
        <v>2095</v>
      </c>
      <c r="B1110" s="61" t="s">
        <v>78</v>
      </c>
      <c r="C1110" s="61" t="s">
        <v>12</v>
      </c>
      <c r="D1110" s="53" t="s">
        <v>2092</v>
      </c>
      <c r="E1110" s="53" t="s">
        <v>2096</v>
      </c>
      <c r="F1110" s="96">
        <v>44441</v>
      </c>
      <c r="G1110" s="96">
        <v>44803</v>
      </c>
      <c r="H1110" s="58" t="str">
        <f t="shared" si="39"/>
        <v>ODD</v>
      </c>
      <c r="I1110" s="106">
        <v>0</v>
      </c>
      <c r="J1110" s="32" t="str">
        <f>UPPER(TEXT(F1110,"mmm")) &amp; " - " &amp; UPPER(TEXT(G1110,"mmm"))</f>
        <v>SEP - AUG</v>
      </c>
      <c r="K1110" s="32" t="s">
        <v>1736</v>
      </c>
      <c r="L1110" s="61" t="s">
        <v>895</v>
      </c>
      <c r="M1110" s="32" t="str">
        <f t="shared" si="40"/>
        <v>No</v>
      </c>
      <c r="N1110" s="32">
        <f>G1110 - F1110</f>
        <v>362</v>
      </c>
      <c r="O1110">
        <v>1</v>
      </c>
    </row>
    <row r="1111" spans="1:15" x14ac:dyDescent="0.3">
      <c r="A1111" s="53" t="s">
        <v>2097</v>
      </c>
      <c r="B1111" s="61" t="s">
        <v>78</v>
      </c>
      <c r="C1111" s="61" t="s">
        <v>12</v>
      </c>
      <c r="D1111" s="53" t="s">
        <v>2098</v>
      </c>
      <c r="E1111" s="53" t="s">
        <v>393</v>
      </c>
      <c r="F1111" s="96">
        <v>44583</v>
      </c>
      <c r="G1111" s="96">
        <v>44676</v>
      </c>
      <c r="H1111" s="58" t="str">
        <f t="shared" ref="H1111:H1174" si="41">IF(AND(F1111&gt;=DATE(2021,7,15), F1111&lt;=DATE(2021,12,31)), "ODD", "EVEN")</f>
        <v>EVEN</v>
      </c>
      <c r="I1111" s="106">
        <v>0</v>
      </c>
      <c r="J1111" s="32" t="str">
        <f>UPPER(TEXT(F1111,"mmm")) &amp; " - " &amp; UPPER(TEXT(G1111,"mmm"))</f>
        <v>JAN - APR</v>
      </c>
      <c r="K1111" s="32" t="s">
        <v>1736</v>
      </c>
      <c r="L1111" s="99" t="s">
        <v>3895</v>
      </c>
      <c r="M1111" s="32" t="str">
        <f t="shared" si="40"/>
        <v>No</v>
      </c>
      <c r="N1111" s="32">
        <f>G1111 - F1111</f>
        <v>93</v>
      </c>
      <c r="O1111">
        <v>1</v>
      </c>
    </row>
    <row r="1112" spans="1:15" x14ac:dyDescent="0.3">
      <c r="A1112" s="53" t="s">
        <v>2099</v>
      </c>
      <c r="B1112" s="61" t="s">
        <v>78</v>
      </c>
      <c r="C1112" s="61" t="s">
        <v>12</v>
      </c>
      <c r="D1112" s="53" t="s">
        <v>2060</v>
      </c>
      <c r="E1112" s="53" t="s">
        <v>2100</v>
      </c>
      <c r="F1112" s="96">
        <v>44652</v>
      </c>
      <c r="G1112" s="96">
        <v>44742</v>
      </c>
      <c r="H1112" s="58" t="str">
        <f t="shared" si="41"/>
        <v>EVEN</v>
      </c>
      <c r="I1112" s="106">
        <v>0</v>
      </c>
      <c r="J1112" s="32" t="str">
        <f>UPPER(TEXT(F1112,"mmm")) &amp; " - " &amp; UPPER(TEXT(G1112,"mmm"))</f>
        <v>APR - JUN</v>
      </c>
      <c r="K1112" s="32" t="s">
        <v>1736</v>
      </c>
      <c r="L1112" s="99" t="s">
        <v>3895</v>
      </c>
      <c r="M1112" s="32" t="str">
        <f t="shared" si="40"/>
        <v>No</v>
      </c>
      <c r="N1112" s="32">
        <f>G1112 - F1112</f>
        <v>90</v>
      </c>
      <c r="O1112">
        <v>1</v>
      </c>
    </row>
    <row r="1113" spans="1:15" x14ac:dyDescent="0.3">
      <c r="A1113" s="53" t="s">
        <v>1912</v>
      </c>
      <c r="B1113" s="61" t="s">
        <v>78</v>
      </c>
      <c r="C1113" s="61" t="s">
        <v>12</v>
      </c>
      <c r="D1113" s="53" t="s">
        <v>2101</v>
      </c>
      <c r="E1113" s="53" t="s">
        <v>2102</v>
      </c>
      <c r="F1113" s="96">
        <v>44718</v>
      </c>
      <c r="G1113" s="96">
        <v>44783</v>
      </c>
      <c r="H1113" s="58" t="str">
        <f t="shared" si="41"/>
        <v>EVEN</v>
      </c>
      <c r="I1113" s="106">
        <v>25000</v>
      </c>
      <c r="J1113" s="32" t="str">
        <f>UPPER(TEXT(F1113,"mmm")) &amp; " - " &amp; UPPER(TEXT(G1113,"mmm"))</f>
        <v>JUN - AUG</v>
      </c>
      <c r="K1113" s="32" t="s">
        <v>1736</v>
      </c>
      <c r="L1113" s="99" t="s">
        <v>3895</v>
      </c>
      <c r="M1113" s="32" t="str">
        <f t="shared" si="40"/>
        <v>Yes</v>
      </c>
      <c r="N1113" s="32">
        <f>G1113 - F1113</f>
        <v>65</v>
      </c>
      <c r="O1113">
        <v>1</v>
      </c>
    </row>
    <row r="1114" spans="1:15" x14ac:dyDescent="0.3">
      <c r="A1114" s="53" t="s">
        <v>1622</v>
      </c>
      <c r="B1114" s="61" t="s">
        <v>66</v>
      </c>
      <c r="C1114" s="61" t="s">
        <v>12</v>
      </c>
      <c r="D1114" s="53" t="s">
        <v>250</v>
      </c>
      <c r="E1114" s="53" t="s">
        <v>2103</v>
      </c>
      <c r="F1114" s="96">
        <v>44433</v>
      </c>
      <c r="G1114" s="96">
        <v>44561</v>
      </c>
      <c r="H1114" s="58" t="str">
        <f t="shared" si="41"/>
        <v>ODD</v>
      </c>
      <c r="I1114" s="106">
        <v>0</v>
      </c>
      <c r="J1114" s="32" t="str">
        <f>UPPER(TEXT(F1114,"mmm")) &amp; " - " &amp; UPPER(TEXT(G1114,"mmm"))</f>
        <v>AUG - DEC</v>
      </c>
      <c r="K1114" s="32" t="s">
        <v>1736</v>
      </c>
      <c r="L1114" s="61" t="s">
        <v>895</v>
      </c>
      <c r="M1114" s="32" t="str">
        <f t="shared" si="40"/>
        <v>No</v>
      </c>
      <c r="N1114" s="32">
        <f>G1114 - F1114</f>
        <v>128</v>
      </c>
      <c r="O1114">
        <v>1</v>
      </c>
    </row>
    <row r="1115" spans="1:15" x14ac:dyDescent="0.3">
      <c r="A1115" s="53" t="s">
        <v>1080</v>
      </c>
      <c r="B1115" s="61" t="s">
        <v>66</v>
      </c>
      <c r="C1115" s="61" t="s">
        <v>12</v>
      </c>
      <c r="D1115" s="53" t="s">
        <v>2104</v>
      </c>
      <c r="E1115" s="53" t="s">
        <v>2105</v>
      </c>
      <c r="F1115" s="96">
        <v>44714</v>
      </c>
      <c r="G1115" s="96">
        <v>44789</v>
      </c>
      <c r="H1115" s="58" t="str">
        <f t="shared" si="41"/>
        <v>EVEN</v>
      </c>
      <c r="I1115" s="106">
        <v>10000</v>
      </c>
      <c r="J1115" s="32" t="str">
        <f>UPPER(TEXT(F1115,"mmm")) &amp; " - " &amp; UPPER(TEXT(G1115,"mmm"))</f>
        <v>JUN - AUG</v>
      </c>
      <c r="K1115" s="32" t="s">
        <v>1736</v>
      </c>
      <c r="L1115" s="99" t="s">
        <v>3895</v>
      </c>
      <c r="M1115" s="32" t="str">
        <f t="shared" si="40"/>
        <v>Yes</v>
      </c>
      <c r="N1115" s="32">
        <f>G1115 - F1115</f>
        <v>75</v>
      </c>
      <c r="O1115">
        <v>1</v>
      </c>
    </row>
    <row r="1116" spans="1:15" x14ac:dyDescent="0.3">
      <c r="A1116" s="53" t="s">
        <v>35</v>
      </c>
      <c r="B1116" s="61" t="s">
        <v>66</v>
      </c>
      <c r="C1116" s="61" t="s">
        <v>12</v>
      </c>
      <c r="D1116" s="53" t="s">
        <v>2106</v>
      </c>
      <c r="E1116" s="53" t="s">
        <v>2107</v>
      </c>
      <c r="F1116" s="96">
        <v>44715</v>
      </c>
      <c r="G1116" s="96">
        <v>44788</v>
      </c>
      <c r="H1116" s="58" t="str">
        <f t="shared" si="41"/>
        <v>EVEN</v>
      </c>
      <c r="I1116" s="106">
        <v>0</v>
      </c>
      <c r="J1116" s="32" t="str">
        <f>UPPER(TEXT(F1116,"mmm")) &amp; " - " &amp; UPPER(TEXT(G1116,"mmm"))</f>
        <v>JUN - AUG</v>
      </c>
      <c r="K1116" s="32" t="s">
        <v>1736</v>
      </c>
      <c r="L1116" s="61" t="s">
        <v>895</v>
      </c>
      <c r="M1116" s="32" t="str">
        <f t="shared" si="40"/>
        <v>No</v>
      </c>
      <c r="N1116" s="32">
        <f>G1116 - F1116</f>
        <v>73</v>
      </c>
      <c r="O1116">
        <v>1</v>
      </c>
    </row>
    <row r="1117" spans="1:15" x14ac:dyDescent="0.3">
      <c r="A1117" s="53" t="s">
        <v>2108</v>
      </c>
      <c r="B1117" s="61" t="s">
        <v>66</v>
      </c>
      <c r="C1117" s="61" t="s">
        <v>12</v>
      </c>
      <c r="D1117" s="53" t="s">
        <v>2109</v>
      </c>
      <c r="E1117" s="53" t="s">
        <v>2110</v>
      </c>
      <c r="F1117" s="96">
        <v>44725</v>
      </c>
      <c r="G1117" s="96">
        <v>44778</v>
      </c>
      <c r="H1117" s="58" t="str">
        <f t="shared" si="41"/>
        <v>EVEN</v>
      </c>
      <c r="I1117" s="106">
        <v>66667</v>
      </c>
      <c r="J1117" s="32" t="str">
        <f>UPPER(TEXT(F1117,"mmm")) &amp; " - " &amp; UPPER(TEXT(G1117,"mmm"))</f>
        <v>JUN - AUG</v>
      </c>
      <c r="K1117" s="32" t="s">
        <v>1736</v>
      </c>
      <c r="L1117" s="99" t="s">
        <v>3895</v>
      </c>
      <c r="M1117" s="32" t="str">
        <f t="shared" si="40"/>
        <v>Yes</v>
      </c>
      <c r="N1117" s="32">
        <f>G1117 - F1117</f>
        <v>53</v>
      </c>
      <c r="O1117">
        <v>1</v>
      </c>
    </row>
    <row r="1118" spans="1:15" x14ac:dyDescent="0.3">
      <c r="A1118" s="53" t="s">
        <v>361</v>
      </c>
      <c r="B1118" s="61" t="s">
        <v>66</v>
      </c>
      <c r="C1118" s="61" t="s">
        <v>12</v>
      </c>
      <c r="D1118" s="53" t="s">
        <v>2092</v>
      </c>
      <c r="E1118" s="53" t="s">
        <v>2111</v>
      </c>
      <c r="F1118" s="96">
        <v>44405</v>
      </c>
      <c r="G1118" s="96">
        <v>44803</v>
      </c>
      <c r="H1118" s="58" t="str">
        <f t="shared" si="41"/>
        <v>ODD</v>
      </c>
      <c r="I1118" s="106">
        <v>0</v>
      </c>
      <c r="J1118" s="32" t="str">
        <f>UPPER(TEXT(F1118,"mmm")) &amp; " - " &amp; UPPER(TEXT(G1118,"mmm"))</f>
        <v>JUL - AUG</v>
      </c>
      <c r="K1118" s="32" t="s">
        <v>1736</v>
      </c>
      <c r="L1118" s="61" t="s">
        <v>895</v>
      </c>
      <c r="M1118" s="32" t="str">
        <f t="shared" si="40"/>
        <v>No</v>
      </c>
      <c r="N1118" s="32">
        <f>G1118 - F1118</f>
        <v>398</v>
      </c>
      <c r="O1118">
        <v>1</v>
      </c>
    </row>
    <row r="1119" spans="1:15" x14ac:dyDescent="0.3">
      <c r="A1119" s="53" t="s">
        <v>1442</v>
      </c>
      <c r="B1119" s="61" t="s">
        <v>66</v>
      </c>
      <c r="C1119" s="61" t="s">
        <v>12</v>
      </c>
      <c r="D1119" s="53" t="s">
        <v>2112</v>
      </c>
      <c r="E1119" s="53" t="s">
        <v>408</v>
      </c>
      <c r="F1119" s="96">
        <v>44531</v>
      </c>
      <c r="G1119" s="96">
        <v>44552</v>
      </c>
      <c r="H1119" s="58" t="str">
        <f t="shared" si="41"/>
        <v>ODD</v>
      </c>
      <c r="I1119" s="106">
        <v>0</v>
      </c>
      <c r="J1119" s="32" t="str">
        <f>UPPER(TEXT(F1119,"mmm")) &amp; " - " &amp; UPPER(TEXT(G1119,"mmm"))</f>
        <v>DEC - DEC</v>
      </c>
      <c r="K1119" s="32" t="s">
        <v>1736</v>
      </c>
      <c r="L1119" s="61" t="s">
        <v>895</v>
      </c>
      <c r="M1119" s="32" t="str">
        <f t="shared" si="40"/>
        <v>No</v>
      </c>
      <c r="N1119" s="32">
        <f>G1119 - F1119</f>
        <v>21</v>
      </c>
      <c r="O1119">
        <v>1</v>
      </c>
    </row>
    <row r="1120" spans="1:15" x14ac:dyDescent="0.3">
      <c r="A1120" s="53" t="s">
        <v>1407</v>
      </c>
      <c r="B1120" s="61" t="s">
        <v>66</v>
      </c>
      <c r="C1120" s="61" t="s">
        <v>12</v>
      </c>
      <c r="D1120" s="53" t="s">
        <v>2113</v>
      </c>
      <c r="E1120" s="53" t="s">
        <v>408</v>
      </c>
      <c r="F1120" s="96">
        <v>44531</v>
      </c>
      <c r="G1120" s="96">
        <v>44552</v>
      </c>
      <c r="H1120" s="58" t="str">
        <f t="shared" si="41"/>
        <v>ODD</v>
      </c>
      <c r="I1120" s="106">
        <v>0</v>
      </c>
      <c r="J1120" s="32" t="str">
        <f>UPPER(TEXT(F1120,"mmm")) &amp; " - " &amp; UPPER(TEXT(G1120,"mmm"))</f>
        <v>DEC - DEC</v>
      </c>
      <c r="K1120" s="32" t="s">
        <v>1736</v>
      </c>
      <c r="L1120" s="61" t="s">
        <v>895</v>
      </c>
      <c r="M1120" s="32" t="str">
        <f t="shared" si="40"/>
        <v>No</v>
      </c>
      <c r="N1120" s="32">
        <f>G1120 - F1120</f>
        <v>21</v>
      </c>
      <c r="O1120">
        <v>1</v>
      </c>
    </row>
    <row r="1121" spans="1:15" x14ac:dyDescent="0.3">
      <c r="A1121" s="53" t="s">
        <v>2114</v>
      </c>
      <c r="B1121" s="61" t="s">
        <v>66</v>
      </c>
      <c r="C1121" s="61" t="s">
        <v>12</v>
      </c>
      <c r="D1121" s="53" t="s">
        <v>2115</v>
      </c>
      <c r="E1121" s="53" t="s">
        <v>2116</v>
      </c>
      <c r="F1121" s="96">
        <v>44564</v>
      </c>
      <c r="G1121" s="96">
        <v>44651</v>
      </c>
      <c r="H1121" s="58" t="str">
        <f t="shared" si="41"/>
        <v>EVEN</v>
      </c>
      <c r="I1121" s="106">
        <v>0</v>
      </c>
      <c r="J1121" s="32" t="str">
        <f>UPPER(TEXT(F1121,"mmm")) &amp; " - " &amp; UPPER(TEXT(G1121,"mmm"))</f>
        <v>JAN - MAR</v>
      </c>
      <c r="K1121" s="32" t="s">
        <v>1736</v>
      </c>
      <c r="L1121" s="99" t="s">
        <v>3895</v>
      </c>
      <c r="M1121" s="32" t="str">
        <f t="shared" si="40"/>
        <v>No</v>
      </c>
      <c r="N1121" s="32">
        <f>G1121 - F1121</f>
        <v>87</v>
      </c>
      <c r="O1121">
        <v>1</v>
      </c>
    </row>
    <row r="1122" spans="1:15" x14ac:dyDescent="0.3">
      <c r="A1122" s="53" t="s">
        <v>2117</v>
      </c>
      <c r="B1122" s="61" t="s">
        <v>66</v>
      </c>
      <c r="C1122" s="61" t="s">
        <v>12</v>
      </c>
      <c r="D1122" s="53" t="s">
        <v>2118</v>
      </c>
      <c r="E1122" s="53" t="s">
        <v>2119</v>
      </c>
      <c r="F1122" s="96">
        <v>44582</v>
      </c>
      <c r="G1122" s="96">
        <v>44672</v>
      </c>
      <c r="H1122" s="58" t="str">
        <f t="shared" si="41"/>
        <v>EVEN</v>
      </c>
      <c r="I1122" s="106">
        <v>25000</v>
      </c>
      <c r="J1122" s="32" t="str">
        <f>UPPER(TEXT(F1122,"mmm")) &amp; " - " &amp; UPPER(TEXT(G1122,"mmm"))</f>
        <v>JAN - APR</v>
      </c>
      <c r="K1122" s="32" t="s">
        <v>1736</v>
      </c>
      <c r="L1122" s="99" t="s">
        <v>3895</v>
      </c>
      <c r="M1122" s="32" t="str">
        <f t="shared" si="40"/>
        <v>Yes</v>
      </c>
      <c r="N1122" s="32">
        <f>G1122 - F1122</f>
        <v>90</v>
      </c>
      <c r="O1122">
        <v>1</v>
      </c>
    </row>
    <row r="1123" spans="1:15" x14ac:dyDescent="0.3">
      <c r="A1123" s="53" t="s">
        <v>2057</v>
      </c>
      <c r="B1123" s="61" t="s">
        <v>66</v>
      </c>
      <c r="C1123" s="61" t="s">
        <v>12</v>
      </c>
      <c r="D1123" s="53" t="s">
        <v>2120</v>
      </c>
      <c r="E1123" s="53" t="s">
        <v>2121</v>
      </c>
      <c r="F1123" s="96">
        <v>44613</v>
      </c>
      <c r="G1123" s="96">
        <v>44765</v>
      </c>
      <c r="H1123" s="58" t="str">
        <f t="shared" si="41"/>
        <v>EVEN</v>
      </c>
      <c r="I1123" s="106">
        <v>0</v>
      </c>
      <c r="J1123" s="32" t="str">
        <f>UPPER(TEXT(F1123,"mmm")) &amp; " - " &amp; UPPER(TEXT(G1123,"mmm"))</f>
        <v>FEB - JUL</v>
      </c>
      <c r="K1123" s="32" t="s">
        <v>1736</v>
      </c>
      <c r="L1123" s="99" t="s">
        <v>3895</v>
      </c>
      <c r="M1123" s="32" t="str">
        <f t="shared" si="40"/>
        <v>No</v>
      </c>
      <c r="N1123" s="32">
        <f>G1123 - F1123</f>
        <v>152</v>
      </c>
      <c r="O1123">
        <v>1</v>
      </c>
    </row>
    <row r="1124" spans="1:15" x14ac:dyDescent="0.3">
      <c r="A1124" s="53" t="s">
        <v>2122</v>
      </c>
      <c r="B1124" s="61" t="s">
        <v>66</v>
      </c>
      <c r="C1124" s="61" t="s">
        <v>12</v>
      </c>
      <c r="D1124" s="53" t="s">
        <v>1735</v>
      </c>
      <c r="E1124" s="53" t="s">
        <v>2123</v>
      </c>
      <c r="F1124" s="96">
        <v>44613</v>
      </c>
      <c r="G1124" s="96">
        <v>44708</v>
      </c>
      <c r="H1124" s="58" t="str">
        <f t="shared" si="41"/>
        <v>EVEN</v>
      </c>
      <c r="I1124" s="106">
        <v>30000</v>
      </c>
      <c r="J1124" s="32" t="str">
        <f>UPPER(TEXT(F1124,"mmm")) &amp; " - " &amp; UPPER(TEXT(G1124,"mmm"))</f>
        <v>FEB - MAY</v>
      </c>
      <c r="K1124" s="32" t="s">
        <v>1736</v>
      </c>
      <c r="L1124" s="99" t="s">
        <v>3895</v>
      </c>
      <c r="M1124" s="32" t="str">
        <f t="shared" si="40"/>
        <v>Yes</v>
      </c>
      <c r="N1124" s="32">
        <f>G1124 - F1124</f>
        <v>95</v>
      </c>
      <c r="O1124">
        <v>1</v>
      </c>
    </row>
    <row r="1125" spans="1:15" x14ac:dyDescent="0.3">
      <c r="A1125" s="53" t="s">
        <v>1199</v>
      </c>
      <c r="B1125" s="61" t="s">
        <v>66</v>
      </c>
      <c r="C1125" s="61" t="s">
        <v>12</v>
      </c>
      <c r="D1125" s="53" t="s">
        <v>2124</v>
      </c>
      <c r="E1125" s="53" t="s">
        <v>2125</v>
      </c>
      <c r="F1125" s="96">
        <v>44636</v>
      </c>
      <c r="G1125" s="96">
        <v>44681</v>
      </c>
      <c r="H1125" s="58" t="str">
        <f t="shared" si="41"/>
        <v>EVEN</v>
      </c>
      <c r="I1125" s="106">
        <v>0</v>
      </c>
      <c r="J1125" s="32" t="str">
        <f>UPPER(TEXT(F1125,"mmm")) &amp; " - " &amp; UPPER(TEXT(G1125,"mmm"))</f>
        <v>MAR - APR</v>
      </c>
      <c r="K1125" s="32" t="s">
        <v>1736</v>
      </c>
      <c r="L1125" s="61" t="s">
        <v>895</v>
      </c>
      <c r="M1125" s="32" t="str">
        <f t="shared" si="40"/>
        <v>No</v>
      </c>
      <c r="N1125" s="32">
        <f>G1125 - F1125</f>
        <v>45</v>
      </c>
      <c r="O1125">
        <v>1</v>
      </c>
    </row>
    <row r="1126" spans="1:15" x14ac:dyDescent="0.3">
      <c r="A1126" s="53" t="s">
        <v>1983</v>
      </c>
      <c r="B1126" s="61" t="s">
        <v>66</v>
      </c>
      <c r="C1126" s="61" t="s">
        <v>12</v>
      </c>
      <c r="D1126" s="53" t="s">
        <v>2126</v>
      </c>
      <c r="E1126" s="53" t="s">
        <v>1399</v>
      </c>
      <c r="F1126" s="96">
        <v>44691</v>
      </c>
      <c r="G1126" s="96">
        <v>44814</v>
      </c>
      <c r="H1126" s="58" t="str">
        <f t="shared" si="41"/>
        <v>EVEN</v>
      </c>
      <c r="I1126" s="106">
        <v>0</v>
      </c>
      <c r="J1126" s="32" t="str">
        <f>UPPER(TEXT(F1126,"mmm")) &amp; " - " &amp; UPPER(TEXT(G1126,"mmm"))</f>
        <v>MAY - SEP</v>
      </c>
      <c r="K1126" s="32" t="s">
        <v>1736</v>
      </c>
      <c r="L1126" s="99" t="s">
        <v>3895</v>
      </c>
      <c r="M1126" s="32" t="str">
        <f t="shared" si="40"/>
        <v>No</v>
      </c>
      <c r="N1126" s="32">
        <f>G1126 - F1126</f>
        <v>123</v>
      </c>
      <c r="O1126">
        <v>1</v>
      </c>
    </row>
    <row r="1127" spans="1:15" x14ac:dyDescent="0.3">
      <c r="A1127" s="53" t="s">
        <v>803</v>
      </c>
      <c r="B1127" s="61" t="s">
        <v>66</v>
      </c>
      <c r="C1127" s="61" t="s">
        <v>12</v>
      </c>
      <c r="D1127" s="53" t="s">
        <v>2127</v>
      </c>
      <c r="E1127" s="53" t="s">
        <v>1201</v>
      </c>
      <c r="F1127" s="96">
        <v>44713</v>
      </c>
      <c r="G1127" s="96">
        <v>44826</v>
      </c>
      <c r="H1127" s="58" t="str">
        <f t="shared" si="41"/>
        <v>EVEN</v>
      </c>
      <c r="I1127" s="106">
        <v>5000</v>
      </c>
      <c r="J1127" s="32" t="str">
        <f>UPPER(TEXT(F1127,"mmm")) &amp; " - " &amp; UPPER(TEXT(G1127,"mmm"))</f>
        <v>JUN - SEP</v>
      </c>
      <c r="K1127" s="32" t="s">
        <v>1736</v>
      </c>
      <c r="L1127" s="99" t="s">
        <v>3895</v>
      </c>
      <c r="M1127" s="32" t="str">
        <f t="shared" si="40"/>
        <v>Yes</v>
      </c>
      <c r="N1127" s="32">
        <f>G1127 - F1127</f>
        <v>113</v>
      </c>
      <c r="O1127">
        <v>1</v>
      </c>
    </row>
    <row r="1128" spans="1:15" x14ac:dyDescent="0.3">
      <c r="A1128" s="53" t="s">
        <v>1508</v>
      </c>
      <c r="B1128" s="61" t="s">
        <v>66</v>
      </c>
      <c r="C1128" s="61" t="s">
        <v>12</v>
      </c>
      <c r="D1128" s="53" t="s">
        <v>2128</v>
      </c>
      <c r="E1128" s="53" t="s">
        <v>2129</v>
      </c>
      <c r="F1128" s="96">
        <v>44713</v>
      </c>
      <c r="G1128" s="96">
        <v>44773</v>
      </c>
      <c r="H1128" s="58" t="str">
        <f t="shared" si="41"/>
        <v>EVEN</v>
      </c>
      <c r="I1128" s="106">
        <v>30000</v>
      </c>
      <c r="J1128" s="32" t="str">
        <f>UPPER(TEXT(F1128,"mmm")) &amp; " - " &amp; UPPER(TEXT(G1128,"mmm"))</f>
        <v>JUN - JUL</v>
      </c>
      <c r="K1128" s="32" t="s">
        <v>1736</v>
      </c>
      <c r="L1128" s="99" t="s">
        <v>3895</v>
      </c>
      <c r="M1128" s="32" t="str">
        <f t="shared" si="40"/>
        <v>Yes</v>
      </c>
      <c r="N1128" s="32">
        <f>G1128 - F1128</f>
        <v>60</v>
      </c>
      <c r="O1128">
        <v>1</v>
      </c>
    </row>
    <row r="1129" spans="1:15" x14ac:dyDescent="0.3">
      <c r="A1129" s="53" t="s">
        <v>817</v>
      </c>
      <c r="B1129" s="61" t="s">
        <v>66</v>
      </c>
      <c r="C1129" s="61" t="s">
        <v>12</v>
      </c>
      <c r="D1129" s="53" t="s">
        <v>2130</v>
      </c>
      <c r="E1129" s="53" t="s">
        <v>2131</v>
      </c>
      <c r="F1129" s="96">
        <v>44713</v>
      </c>
      <c r="G1129" s="96">
        <v>44804</v>
      </c>
      <c r="H1129" s="58" t="str">
        <f t="shared" si="41"/>
        <v>EVEN</v>
      </c>
      <c r="I1129" s="106">
        <v>50000</v>
      </c>
      <c r="J1129" s="32" t="str">
        <f>UPPER(TEXT(F1129,"mmm")) &amp; " - " &amp; UPPER(TEXT(G1129,"mmm"))</f>
        <v>JUN - AUG</v>
      </c>
      <c r="K1129" s="32" t="s">
        <v>1736</v>
      </c>
      <c r="L1129" s="99" t="s">
        <v>3895</v>
      </c>
      <c r="M1129" s="32" t="str">
        <f t="shared" si="40"/>
        <v>Yes</v>
      </c>
      <c r="N1129" s="32">
        <f>G1129 - F1129</f>
        <v>91</v>
      </c>
      <c r="O1129">
        <v>1</v>
      </c>
    </row>
    <row r="1130" spans="1:15" x14ac:dyDescent="0.3">
      <c r="A1130" s="53" t="s">
        <v>1091</v>
      </c>
      <c r="B1130" s="61" t="s">
        <v>66</v>
      </c>
      <c r="C1130" s="61" t="s">
        <v>12</v>
      </c>
      <c r="D1130" s="53" t="s">
        <v>2132</v>
      </c>
      <c r="E1130" s="53" t="s">
        <v>408</v>
      </c>
      <c r="F1130" s="96">
        <v>44715</v>
      </c>
      <c r="G1130" s="96">
        <v>44807</v>
      </c>
      <c r="H1130" s="58" t="str">
        <f t="shared" si="41"/>
        <v>EVEN</v>
      </c>
      <c r="I1130" s="106">
        <v>15000</v>
      </c>
      <c r="J1130" s="32" t="str">
        <f>UPPER(TEXT(F1130,"mmm")) &amp; " - " &amp; UPPER(TEXT(G1130,"mmm"))</f>
        <v>JUN - SEP</v>
      </c>
      <c r="K1130" s="32" t="s">
        <v>1736</v>
      </c>
      <c r="L1130" s="99" t="s">
        <v>3895</v>
      </c>
      <c r="M1130" s="32" t="str">
        <f t="shared" si="40"/>
        <v>Yes</v>
      </c>
      <c r="N1130" s="32">
        <f>G1130 - F1130</f>
        <v>92</v>
      </c>
      <c r="O1130">
        <v>1</v>
      </c>
    </row>
    <row r="1131" spans="1:15" x14ac:dyDescent="0.3">
      <c r="A1131" s="53" t="s">
        <v>2133</v>
      </c>
      <c r="B1131" s="61" t="s">
        <v>66</v>
      </c>
      <c r="C1131" s="61" t="s">
        <v>12</v>
      </c>
      <c r="D1131" s="53" t="s">
        <v>1718</v>
      </c>
      <c r="E1131" s="53" t="s">
        <v>2134</v>
      </c>
      <c r="F1131" s="96">
        <v>44717</v>
      </c>
      <c r="G1131" s="96">
        <v>44778</v>
      </c>
      <c r="H1131" s="58" t="str">
        <f t="shared" si="41"/>
        <v>EVEN</v>
      </c>
      <c r="I1131" s="106">
        <v>0</v>
      </c>
      <c r="J1131" s="32" t="str">
        <f>UPPER(TEXT(F1131,"mmm")) &amp; " - " &amp; UPPER(TEXT(G1131,"mmm"))</f>
        <v>JUN - AUG</v>
      </c>
      <c r="K1131" s="32" t="s">
        <v>1736</v>
      </c>
      <c r="L1131" s="61" t="s">
        <v>895</v>
      </c>
      <c r="M1131" s="32" t="str">
        <f t="shared" si="40"/>
        <v>No</v>
      </c>
      <c r="N1131" s="32">
        <f>G1131 - F1131</f>
        <v>61</v>
      </c>
      <c r="O1131">
        <v>1</v>
      </c>
    </row>
    <row r="1132" spans="1:15" x14ac:dyDescent="0.3">
      <c r="A1132" s="53" t="s">
        <v>1561</v>
      </c>
      <c r="B1132" s="61" t="s">
        <v>66</v>
      </c>
      <c r="C1132" s="61" t="s">
        <v>12</v>
      </c>
      <c r="D1132" s="53" t="s">
        <v>2135</v>
      </c>
      <c r="E1132" s="53" t="s">
        <v>2136</v>
      </c>
      <c r="F1132" s="96">
        <v>44718</v>
      </c>
      <c r="G1132" s="96">
        <v>44771</v>
      </c>
      <c r="H1132" s="58" t="str">
        <f t="shared" si="41"/>
        <v>EVEN</v>
      </c>
      <c r="I1132" s="106">
        <v>50000</v>
      </c>
      <c r="J1132" s="32" t="str">
        <f>UPPER(TEXT(F1132,"mmm")) &amp; " - " &amp; UPPER(TEXT(G1132,"mmm"))</f>
        <v>JUN - JUL</v>
      </c>
      <c r="K1132" s="32" t="s">
        <v>1736</v>
      </c>
      <c r="L1132" s="99" t="s">
        <v>3895</v>
      </c>
      <c r="M1132" s="32" t="str">
        <f t="shared" si="40"/>
        <v>Yes</v>
      </c>
      <c r="N1132" s="32">
        <f>G1132 - F1132</f>
        <v>53</v>
      </c>
      <c r="O1132">
        <v>1</v>
      </c>
    </row>
    <row r="1133" spans="1:15" x14ac:dyDescent="0.3">
      <c r="A1133" s="53" t="s">
        <v>1430</v>
      </c>
      <c r="B1133" s="61" t="s">
        <v>66</v>
      </c>
      <c r="C1133" s="61" t="s">
        <v>12</v>
      </c>
      <c r="D1133" s="53" t="s">
        <v>2137</v>
      </c>
      <c r="E1133" s="53" t="s">
        <v>2138</v>
      </c>
      <c r="F1133" s="96">
        <v>44718</v>
      </c>
      <c r="G1133" s="96">
        <v>44810</v>
      </c>
      <c r="H1133" s="58" t="str">
        <f t="shared" si="41"/>
        <v>EVEN</v>
      </c>
      <c r="I1133" s="106">
        <v>4000</v>
      </c>
      <c r="J1133" s="32" t="str">
        <f>UPPER(TEXT(F1133,"mmm")) &amp; " - " &amp; UPPER(TEXT(G1133,"mmm"))</f>
        <v>JUN - SEP</v>
      </c>
      <c r="K1133" s="32" t="s">
        <v>1736</v>
      </c>
      <c r="L1133" s="99" t="s">
        <v>3895</v>
      </c>
      <c r="M1133" s="32" t="str">
        <f t="shared" si="40"/>
        <v>Yes</v>
      </c>
      <c r="N1133" s="32">
        <f>G1133 - F1133</f>
        <v>92</v>
      </c>
      <c r="O1133">
        <v>1</v>
      </c>
    </row>
    <row r="1134" spans="1:15" x14ac:dyDescent="0.3">
      <c r="A1134" s="53" t="s">
        <v>2139</v>
      </c>
      <c r="B1134" s="61" t="s">
        <v>66</v>
      </c>
      <c r="C1134" s="61" t="s">
        <v>12</v>
      </c>
      <c r="D1134" s="53" t="s">
        <v>2140</v>
      </c>
      <c r="E1134" s="53" t="s">
        <v>2141</v>
      </c>
      <c r="F1134" s="96">
        <v>44720</v>
      </c>
      <c r="G1134" s="96">
        <v>44781</v>
      </c>
      <c r="H1134" s="58" t="str">
        <f t="shared" si="41"/>
        <v>EVEN</v>
      </c>
      <c r="I1134" s="106">
        <v>0</v>
      </c>
      <c r="J1134" s="32" t="str">
        <f>UPPER(TEXT(F1134,"mmm")) &amp; " - " &amp; UPPER(TEXT(G1134,"mmm"))</f>
        <v>JUN - AUG</v>
      </c>
      <c r="K1134" s="32" t="s">
        <v>1736</v>
      </c>
      <c r="L1134" s="61" t="s">
        <v>895</v>
      </c>
      <c r="M1134" s="32" t="str">
        <f t="shared" si="40"/>
        <v>No</v>
      </c>
      <c r="N1134" s="32">
        <f>G1134 - F1134</f>
        <v>61</v>
      </c>
      <c r="O1134">
        <v>1</v>
      </c>
    </row>
    <row r="1135" spans="1:15" x14ac:dyDescent="0.3">
      <c r="A1135" s="53" t="s">
        <v>2072</v>
      </c>
      <c r="B1135" s="61" t="s">
        <v>66</v>
      </c>
      <c r="C1135" s="61" t="s">
        <v>12</v>
      </c>
      <c r="D1135" s="53" t="s">
        <v>2142</v>
      </c>
      <c r="E1135" s="53" t="s">
        <v>2143</v>
      </c>
      <c r="F1135" s="96">
        <v>44720</v>
      </c>
      <c r="G1135" s="96">
        <v>44781</v>
      </c>
      <c r="H1135" s="58" t="str">
        <f t="shared" si="41"/>
        <v>EVEN</v>
      </c>
      <c r="I1135" s="106">
        <v>0</v>
      </c>
      <c r="J1135" s="32" t="str">
        <f>UPPER(TEXT(F1135,"mmm")) &amp; " - " &amp; UPPER(TEXT(G1135,"mmm"))</f>
        <v>JUN - AUG</v>
      </c>
      <c r="K1135" s="32" t="s">
        <v>1736</v>
      </c>
      <c r="L1135" s="61" t="s">
        <v>895</v>
      </c>
      <c r="M1135" s="32" t="str">
        <f t="shared" si="40"/>
        <v>No</v>
      </c>
      <c r="N1135" s="32">
        <f>G1135 - F1135</f>
        <v>61</v>
      </c>
      <c r="O1135">
        <v>1</v>
      </c>
    </row>
    <row r="1136" spans="1:15" x14ac:dyDescent="0.3">
      <c r="A1136" s="53" t="s">
        <v>1690</v>
      </c>
      <c r="B1136" s="61" t="s">
        <v>66</v>
      </c>
      <c r="C1136" s="61" t="s">
        <v>12</v>
      </c>
      <c r="D1136" s="53" t="s">
        <v>2144</v>
      </c>
      <c r="E1136" s="53" t="s">
        <v>2145</v>
      </c>
      <c r="F1136" s="96">
        <v>44725</v>
      </c>
      <c r="G1136" s="96">
        <v>44778</v>
      </c>
      <c r="H1136" s="58" t="str">
        <f t="shared" si="41"/>
        <v>EVEN</v>
      </c>
      <c r="I1136" s="106">
        <v>66667</v>
      </c>
      <c r="J1136" s="32" t="str">
        <f>UPPER(TEXT(F1136,"mmm")) &amp; " - " &amp; UPPER(TEXT(G1136,"mmm"))</f>
        <v>JUN - AUG</v>
      </c>
      <c r="K1136" s="32" t="s">
        <v>1736</v>
      </c>
      <c r="L1136" s="99" t="s">
        <v>3895</v>
      </c>
      <c r="M1136" s="32" t="str">
        <f t="shared" si="40"/>
        <v>Yes</v>
      </c>
      <c r="N1136" s="32">
        <f>G1136 - F1136</f>
        <v>53</v>
      </c>
      <c r="O1136">
        <v>1</v>
      </c>
    </row>
    <row r="1137" spans="1:15" x14ac:dyDescent="0.3">
      <c r="A1137" s="53" t="s">
        <v>2146</v>
      </c>
      <c r="B1137" s="61" t="s">
        <v>78</v>
      </c>
      <c r="C1137" s="61" t="s">
        <v>12</v>
      </c>
      <c r="D1137" s="53" t="s">
        <v>2147</v>
      </c>
      <c r="E1137" s="53" t="s">
        <v>2148</v>
      </c>
      <c r="F1137" s="96">
        <v>44718</v>
      </c>
      <c r="G1137" s="96">
        <v>44778</v>
      </c>
      <c r="H1137" s="58" t="str">
        <f t="shared" si="41"/>
        <v>EVEN</v>
      </c>
      <c r="I1137" s="106">
        <v>6000</v>
      </c>
      <c r="J1137" s="32" t="str">
        <f>UPPER(TEXT(F1137,"mmm")) &amp; " - " &amp; UPPER(TEXT(G1137,"mmm"))</f>
        <v>JUN - AUG</v>
      </c>
      <c r="K1137" s="32" t="s">
        <v>1736</v>
      </c>
      <c r="L1137" s="99" t="s">
        <v>3895</v>
      </c>
      <c r="M1137" s="32" t="str">
        <f t="shared" si="40"/>
        <v>Yes</v>
      </c>
      <c r="N1137" s="32">
        <f>G1137 - F1137</f>
        <v>60</v>
      </c>
      <c r="O1137">
        <v>1</v>
      </c>
    </row>
    <row r="1138" spans="1:15" x14ac:dyDescent="0.3">
      <c r="A1138" s="53" t="s">
        <v>1203</v>
      </c>
      <c r="B1138" s="61" t="s">
        <v>66</v>
      </c>
      <c r="C1138" s="61" t="s">
        <v>12</v>
      </c>
      <c r="D1138" s="53" t="s">
        <v>2149</v>
      </c>
      <c r="E1138" s="53" t="s">
        <v>2150</v>
      </c>
      <c r="F1138" s="96">
        <v>44727</v>
      </c>
      <c r="G1138" s="96">
        <v>44788</v>
      </c>
      <c r="H1138" s="58" t="str">
        <f t="shared" si="41"/>
        <v>EVEN</v>
      </c>
      <c r="I1138" s="106">
        <v>5000</v>
      </c>
      <c r="J1138" s="32" t="str">
        <f>UPPER(TEXT(F1138,"mmm")) &amp; " - " &amp; UPPER(TEXT(G1138,"mmm"))</f>
        <v>JUN - AUG</v>
      </c>
      <c r="K1138" s="32" t="s">
        <v>1736</v>
      </c>
      <c r="L1138" s="99" t="s">
        <v>3895</v>
      </c>
      <c r="M1138" s="32" t="str">
        <f t="shared" si="40"/>
        <v>Yes</v>
      </c>
      <c r="N1138" s="32">
        <f>G1138 - F1138</f>
        <v>61</v>
      </c>
      <c r="O1138">
        <v>1</v>
      </c>
    </row>
    <row r="1139" spans="1:15" x14ac:dyDescent="0.3">
      <c r="A1139" s="53" t="s">
        <v>2151</v>
      </c>
      <c r="B1139" s="61" t="s">
        <v>66</v>
      </c>
      <c r="C1139" s="61" t="s">
        <v>12</v>
      </c>
      <c r="D1139" s="53" t="s">
        <v>2060</v>
      </c>
      <c r="E1139" s="53" t="s">
        <v>1520</v>
      </c>
      <c r="F1139" s="96">
        <v>44592</v>
      </c>
      <c r="G1139" s="96">
        <v>44681</v>
      </c>
      <c r="H1139" s="58" t="str">
        <f t="shared" si="41"/>
        <v>EVEN</v>
      </c>
      <c r="I1139" s="106">
        <v>0</v>
      </c>
      <c r="J1139" s="32" t="str">
        <f>UPPER(TEXT(F1139,"mmm")) &amp; " - " &amp; UPPER(TEXT(G1139,"mmm"))</f>
        <v>JAN - APR</v>
      </c>
      <c r="K1139" s="32" t="s">
        <v>1736</v>
      </c>
      <c r="L1139" s="99" t="s">
        <v>3895</v>
      </c>
      <c r="M1139" s="32" t="str">
        <f t="shared" si="40"/>
        <v>No</v>
      </c>
      <c r="N1139" s="32">
        <f>G1139 - F1139</f>
        <v>89</v>
      </c>
      <c r="O1139">
        <v>1</v>
      </c>
    </row>
    <row r="1140" spans="1:15" x14ac:dyDescent="0.3">
      <c r="A1140" s="53" t="s">
        <v>2152</v>
      </c>
      <c r="B1140" s="61" t="s">
        <v>66</v>
      </c>
      <c r="C1140" s="61" t="s">
        <v>12</v>
      </c>
      <c r="D1140" s="53" t="s">
        <v>2153</v>
      </c>
      <c r="E1140" s="53" t="s">
        <v>2154</v>
      </c>
      <c r="F1140" s="96">
        <v>44445</v>
      </c>
      <c r="G1140" s="96">
        <v>44680</v>
      </c>
      <c r="H1140" s="58" t="str">
        <f t="shared" si="41"/>
        <v>ODD</v>
      </c>
      <c r="I1140" s="106">
        <v>0</v>
      </c>
      <c r="J1140" s="32" t="str">
        <f>UPPER(TEXT(F1140,"mmm")) &amp; " - " &amp; UPPER(TEXT(G1140,"mmm"))</f>
        <v>SEP - APR</v>
      </c>
      <c r="K1140" s="32" t="s">
        <v>1736</v>
      </c>
      <c r="L1140" s="99" t="s">
        <v>3895</v>
      </c>
      <c r="M1140" s="32" t="str">
        <f t="shared" si="40"/>
        <v>No</v>
      </c>
      <c r="N1140" s="32">
        <f>G1140 - F1140</f>
        <v>235</v>
      </c>
      <c r="O1140">
        <v>1</v>
      </c>
    </row>
    <row r="1141" spans="1:15" x14ac:dyDescent="0.3">
      <c r="A1141" s="53" t="s">
        <v>1474</v>
      </c>
      <c r="B1141" s="61" t="s">
        <v>66</v>
      </c>
      <c r="C1141" s="61" t="s">
        <v>12</v>
      </c>
      <c r="D1141" s="53" t="s">
        <v>1795</v>
      </c>
      <c r="E1141" s="53" t="s">
        <v>2155</v>
      </c>
      <c r="F1141" s="96">
        <v>44652</v>
      </c>
      <c r="G1141" s="96">
        <v>44834</v>
      </c>
      <c r="H1141" s="58" t="str">
        <f t="shared" si="41"/>
        <v>EVEN</v>
      </c>
      <c r="I1141" s="106">
        <v>0</v>
      </c>
      <c r="J1141" s="32" t="str">
        <f>UPPER(TEXT(F1141,"mmm")) &amp; " - " &amp; UPPER(TEXT(G1141,"mmm"))</f>
        <v>APR - SEP</v>
      </c>
      <c r="K1141" s="32" t="s">
        <v>1736</v>
      </c>
      <c r="L1141" s="99" t="s">
        <v>3895</v>
      </c>
      <c r="M1141" s="32" t="str">
        <f t="shared" si="40"/>
        <v>No</v>
      </c>
      <c r="N1141" s="32">
        <f>G1141 - F1141</f>
        <v>182</v>
      </c>
      <c r="O1141">
        <v>1</v>
      </c>
    </row>
    <row r="1142" spans="1:15" x14ac:dyDescent="0.3">
      <c r="A1142" s="53" t="s">
        <v>2156</v>
      </c>
      <c r="B1142" s="61" t="s">
        <v>66</v>
      </c>
      <c r="C1142" s="61" t="s">
        <v>12</v>
      </c>
      <c r="D1142" s="53" t="s">
        <v>2157</v>
      </c>
      <c r="E1142" s="53" t="s">
        <v>2158</v>
      </c>
      <c r="F1142" s="96">
        <v>44718</v>
      </c>
      <c r="G1142" s="96">
        <v>44790</v>
      </c>
      <c r="H1142" s="58" t="str">
        <f t="shared" si="41"/>
        <v>EVEN</v>
      </c>
      <c r="I1142" s="106">
        <v>25000</v>
      </c>
      <c r="J1142" s="32" t="str">
        <f>UPPER(TEXT(F1142,"mmm")) &amp; " - " &amp; UPPER(TEXT(G1142,"mmm"))</f>
        <v>JUN - AUG</v>
      </c>
      <c r="K1142" s="32" t="s">
        <v>1736</v>
      </c>
      <c r="L1142" s="99" t="s">
        <v>3895</v>
      </c>
      <c r="M1142" s="32" t="str">
        <f t="shared" si="40"/>
        <v>Yes</v>
      </c>
      <c r="N1142" s="32">
        <f>G1142 - F1142</f>
        <v>72</v>
      </c>
      <c r="O1142">
        <v>1</v>
      </c>
    </row>
    <row r="1143" spans="1:15" x14ac:dyDescent="0.3">
      <c r="A1143" s="53" t="s">
        <v>2159</v>
      </c>
      <c r="B1143" s="61" t="s">
        <v>66</v>
      </c>
      <c r="C1143" s="61" t="s">
        <v>12</v>
      </c>
      <c r="D1143" s="53" t="s">
        <v>2160</v>
      </c>
      <c r="E1143" s="53" t="s">
        <v>2161</v>
      </c>
      <c r="F1143" s="96">
        <v>44567</v>
      </c>
      <c r="G1143" s="96">
        <v>44903</v>
      </c>
      <c r="H1143" s="58" t="str">
        <f t="shared" si="41"/>
        <v>EVEN</v>
      </c>
      <c r="I1143" s="106">
        <v>0</v>
      </c>
      <c r="J1143" s="32" t="str">
        <f>UPPER(TEXT(F1143,"mmm")) &amp; " - " &amp; UPPER(TEXT(G1143,"mmm"))</f>
        <v>JAN - DEC</v>
      </c>
      <c r="K1143" s="32" t="s">
        <v>1736</v>
      </c>
      <c r="L1143" s="99" t="s">
        <v>3895</v>
      </c>
      <c r="M1143" s="32" t="str">
        <f t="shared" si="40"/>
        <v>No</v>
      </c>
      <c r="N1143" s="32">
        <f>G1143 - F1143</f>
        <v>336</v>
      </c>
      <c r="O1143">
        <v>1</v>
      </c>
    </row>
    <row r="1144" spans="1:15" x14ac:dyDescent="0.3">
      <c r="A1144" s="53" t="s">
        <v>2162</v>
      </c>
      <c r="B1144" s="61" t="s">
        <v>11</v>
      </c>
      <c r="C1144" s="61" t="s">
        <v>12</v>
      </c>
      <c r="D1144" s="53" t="s">
        <v>2163</v>
      </c>
      <c r="E1144" s="53" t="s">
        <v>2164</v>
      </c>
      <c r="F1144" s="96">
        <v>44491</v>
      </c>
      <c r="G1144" s="96">
        <v>44561</v>
      </c>
      <c r="H1144" s="58" t="str">
        <f t="shared" si="41"/>
        <v>ODD</v>
      </c>
      <c r="I1144" s="106">
        <v>0</v>
      </c>
      <c r="J1144" s="32" t="str">
        <f>UPPER(TEXT(F1144,"mmm")) &amp; " - " &amp; UPPER(TEXT(G1144,"mmm"))</f>
        <v>OCT - DEC</v>
      </c>
      <c r="K1144" s="32" t="s">
        <v>1736</v>
      </c>
      <c r="L1144" s="61" t="s">
        <v>895</v>
      </c>
      <c r="M1144" s="32" t="str">
        <f t="shared" si="40"/>
        <v>No</v>
      </c>
      <c r="N1144" s="32">
        <f>G1144 - F1144</f>
        <v>70</v>
      </c>
      <c r="O1144">
        <v>1</v>
      </c>
    </row>
    <row r="1145" spans="1:15" x14ac:dyDescent="0.3">
      <c r="A1145" s="53" t="s">
        <v>2165</v>
      </c>
      <c r="B1145" s="61" t="s">
        <v>11</v>
      </c>
      <c r="C1145" s="61" t="s">
        <v>12</v>
      </c>
      <c r="D1145" s="53" t="s">
        <v>2163</v>
      </c>
      <c r="E1145" s="53" t="s">
        <v>2166</v>
      </c>
      <c r="F1145" s="96">
        <v>44562</v>
      </c>
      <c r="G1145" s="96">
        <v>44761</v>
      </c>
      <c r="H1145" s="58" t="str">
        <f t="shared" si="41"/>
        <v>EVEN</v>
      </c>
      <c r="I1145" s="106">
        <v>0</v>
      </c>
      <c r="J1145" s="32" t="str">
        <f>UPPER(TEXT(F1145,"mmm")) &amp; " - " &amp; UPPER(TEXT(G1145,"mmm"))</f>
        <v>JAN - JUL</v>
      </c>
      <c r="K1145" s="32" t="s">
        <v>1736</v>
      </c>
      <c r="L1145" s="61" t="s">
        <v>895</v>
      </c>
      <c r="M1145" s="32" t="str">
        <f t="shared" si="40"/>
        <v>No</v>
      </c>
      <c r="N1145" s="32">
        <f>G1145 - F1145</f>
        <v>199</v>
      </c>
      <c r="O1145">
        <v>1</v>
      </c>
    </row>
    <row r="1146" spans="1:15" x14ac:dyDescent="0.3">
      <c r="A1146" s="53" t="s">
        <v>2167</v>
      </c>
      <c r="B1146" s="61" t="s">
        <v>11</v>
      </c>
      <c r="C1146" s="61" t="s">
        <v>12</v>
      </c>
      <c r="D1146" s="53" t="s">
        <v>2168</v>
      </c>
      <c r="E1146" s="53" t="s">
        <v>2169</v>
      </c>
      <c r="F1146" s="96">
        <v>44491</v>
      </c>
      <c r="G1146" s="96">
        <v>44561</v>
      </c>
      <c r="H1146" s="58" t="str">
        <f t="shared" si="41"/>
        <v>ODD</v>
      </c>
      <c r="I1146" s="106">
        <v>0</v>
      </c>
      <c r="J1146" s="32" t="str">
        <f>UPPER(TEXT(F1146,"mmm")) &amp; " - " &amp; UPPER(TEXT(G1146,"mmm"))</f>
        <v>OCT - DEC</v>
      </c>
      <c r="K1146" s="32" t="s">
        <v>1736</v>
      </c>
      <c r="L1146" s="61" t="s">
        <v>895</v>
      </c>
      <c r="M1146" s="32" t="str">
        <f t="shared" si="40"/>
        <v>No</v>
      </c>
      <c r="N1146" s="32">
        <f>G1146 - F1146</f>
        <v>70</v>
      </c>
      <c r="O1146">
        <v>1</v>
      </c>
    </row>
    <row r="1147" spans="1:15" x14ac:dyDescent="0.3">
      <c r="A1147" s="53" t="s">
        <v>2170</v>
      </c>
      <c r="B1147" s="61" t="s">
        <v>11</v>
      </c>
      <c r="C1147" s="61" t="s">
        <v>12</v>
      </c>
      <c r="D1147" s="53" t="s">
        <v>2171</v>
      </c>
      <c r="E1147" s="53" t="s">
        <v>777</v>
      </c>
      <c r="F1147" s="96">
        <v>44491</v>
      </c>
      <c r="G1147" s="96">
        <v>44926</v>
      </c>
      <c r="H1147" s="58" t="str">
        <f t="shared" si="41"/>
        <v>ODD</v>
      </c>
      <c r="I1147" s="106">
        <v>0</v>
      </c>
      <c r="J1147" s="32" t="str">
        <f>UPPER(TEXT(F1147,"mmm")) &amp; " - " &amp; UPPER(TEXT(G1147,"mmm"))</f>
        <v>OCT - DEC</v>
      </c>
      <c r="K1147" s="32" t="s">
        <v>1736</v>
      </c>
      <c r="L1147" s="61" t="s">
        <v>895</v>
      </c>
      <c r="M1147" s="32" t="str">
        <f t="shared" si="40"/>
        <v>No</v>
      </c>
      <c r="N1147" s="32">
        <f>G1147 - F1147</f>
        <v>435</v>
      </c>
      <c r="O1147">
        <v>1</v>
      </c>
    </row>
    <row r="1148" spans="1:15" x14ac:dyDescent="0.3">
      <c r="A1148" s="53" t="s">
        <v>2170</v>
      </c>
      <c r="B1148" s="61" t="s">
        <v>11</v>
      </c>
      <c r="C1148" s="61" t="s">
        <v>12</v>
      </c>
      <c r="D1148" s="53" t="s">
        <v>2168</v>
      </c>
      <c r="E1148" s="53" t="s">
        <v>777</v>
      </c>
      <c r="F1148" s="96">
        <v>44562</v>
      </c>
      <c r="G1148" s="96">
        <v>44761</v>
      </c>
      <c r="H1148" s="58" t="str">
        <f t="shared" si="41"/>
        <v>EVEN</v>
      </c>
      <c r="I1148" s="106">
        <v>0</v>
      </c>
      <c r="J1148" s="32" t="str">
        <f>UPPER(TEXT(F1148,"mmm")) &amp; " - " &amp; UPPER(TEXT(G1148,"mmm"))</f>
        <v>JAN - JUL</v>
      </c>
      <c r="K1148" s="32" t="s">
        <v>1736</v>
      </c>
      <c r="L1148" s="61" t="s">
        <v>895</v>
      </c>
      <c r="M1148" s="32" t="str">
        <f t="shared" si="40"/>
        <v>No</v>
      </c>
      <c r="N1148" s="32">
        <f>G1148 - F1148</f>
        <v>199</v>
      </c>
      <c r="O1148">
        <v>1</v>
      </c>
    </row>
    <row r="1149" spans="1:15" x14ac:dyDescent="0.3">
      <c r="A1149" s="53" t="s">
        <v>2172</v>
      </c>
      <c r="B1149" s="61" t="s">
        <v>11</v>
      </c>
      <c r="C1149" s="61" t="s">
        <v>12</v>
      </c>
      <c r="D1149" s="53" t="s">
        <v>2173</v>
      </c>
      <c r="E1149" s="53" t="s">
        <v>487</v>
      </c>
      <c r="F1149" s="96">
        <v>44491</v>
      </c>
      <c r="G1149" s="96">
        <v>44561</v>
      </c>
      <c r="H1149" s="58" t="str">
        <f t="shared" si="41"/>
        <v>ODD</v>
      </c>
      <c r="I1149" s="106">
        <v>0</v>
      </c>
      <c r="J1149" s="32" t="str">
        <f>UPPER(TEXT(F1149,"mmm")) &amp; " - " &amp; UPPER(TEXT(G1149,"mmm"))</f>
        <v>OCT - DEC</v>
      </c>
      <c r="K1149" s="32" t="s">
        <v>1736</v>
      </c>
      <c r="L1149" s="61" t="s">
        <v>895</v>
      </c>
      <c r="M1149" s="32" t="str">
        <f t="shared" si="40"/>
        <v>No</v>
      </c>
      <c r="N1149" s="32">
        <f>G1149 - F1149</f>
        <v>70</v>
      </c>
      <c r="O1149">
        <v>1</v>
      </c>
    </row>
    <row r="1150" spans="1:15" x14ac:dyDescent="0.3">
      <c r="A1150" s="53" t="s">
        <v>2174</v>
      </c>
      <c r="B1150" s="61" t="s">
        <v>11</v>
      </c>
      <c r="C1150" s="61" t="s">
        <v>12</v>
      </c>
      <c r="D1150" s="53" t="s">
        <v>2173</v>
      </c>
      <c r="E1150" s="53" t="s">
        <v>2175</v>
      </c>
      <c r="F1150" s="96">
        <v>44562</v>
      </c>
      <c r="G1150" s="96">
        <v>44761</v>
      </c>
      <c r="H1150" s="58" t="str">
        <f t="shared" si="41"/>
        <v>EVEN</v>
      </c>
      <c r="I1150" s="106">
        <v>0</v>
      </c>
      <c r="J1150" s="32" t="str">
        <f>UPPER(TEXT(F1150,"mmm")) &amp; " - " &amp; UPPER(TEXT(G1150,"mmm"))</f>
        <v>JAN - JUL</v>
      </c>
      <c r="K1150" s="32" t="s">
        <v>1736</v>
      </c>
      <c r="L1150" s="61" t="s">
        <v>895</v>
      </c>
      <c r="M1150" s="32" t="str">
        <f t="shared" si="40"/>
        <v>No</v>
      </c>
      <c r="N1150" s="32">
        <f>G1150 - F1150</f>
        <v>199</v>
      </c>
      <c r="O1150">
        <v>1</v>
      </c>
    </row>
    <row r="1151" spans="1:15" x14ac:dyDescent="0.3">
      <c r="A1151" s="53" t="s">
        <v>2176</v>
      </c>
      <c r="B1151" s="61" t="s">
        <v>78</v>
      </c>
      <c r="C1151" s="61" t="s">
        <v>12</v>
      </c>
      <c r="D1151" s="53" t="s">
        <v>2177</v>
      </c>
      <c r="E1151" s="53" t="s">
        <v>2178</v>
      </c>
      <c r="F1151" s="96">
        <v>44729</v>
      </c>
      <c r="G1151" s="96">
        <v>44764</v>
      </c>
      <c r="H1151" s="58" t="str">
        <f t="shared" si="41"/>
        <v>EVEN</v>
      </c>
      <c r="I1151" s="106">
        <v>0</v>
      </c>
      <c r="J1151" s="32" t="str">
        <f>UPPER(TEXT(F1151,"mmm")) &amp; " - " &amp; UPPER(TEXT(G1151,"mmm"))</f>
        <v>JUN - JUL</v>
      </c>
      <c r="K1151" s="32" t="s">
        <v>1736</v>
      </c>
      <c r="L1151" s="99" t="s">
        <v>3895</v>
      </c>
      <c r="M1151" s="32" t="str">
        <f t="shared" si="40"/>
        <v>No</v>
      </c>
      <c r="N1151" s="32">
        <f>G1151 - F1151</f>
        <v>35</v>
      </c>
      <c r="O1151">
        <v>1</v>
      </c>
    </row>
    <row r="1152" spans="1:15" x14ac:dyDescent="0.3">
      <c r="A1152" s="53" t="s">
        <v>2179</v>
      </c>
      <c r="B1152" s="61" t="s">
        <v>78</v>
      </c>
      <c r="C1152" s="61" t="s">
        <v>12</v>
      </c>
      <c r="D1152" s="53" t="s">
        <v>2180</v>
      </c>
      <c r="E1152" s="53" t="s">
        <v>2181</v>
      </c>
      <c r="F1152" s="96">
        <v>44634</v>
      </c>
      <c r="G1152" s="96">
        <v>44774</v>
      </c>
      <c r="H1152" s="58" t="str">
        <f t="shared" si="41"/>
        <v>EVEN</v>
      </c>
      <c r="I1152" s="106">
        <v>10000</v>
      </c>
      <c r="J1152" s="32" t="str">
        <f>UPPER(TEXT(F1152,"mmm")) &amp; " - " &amp; UPPER(TEXT(G1152,"mmm"))</f>
        <v>MAR - AUG</v>
      </c>
      <c r="K1152" s="32" t="s">
        <v>1736</v>
      </c>
      <c r="L1152" s="99" t="s">
        <v>3895</v>
      </c>
      <c r="M1152" s="32" t="str">
        <f t="shared" si="40"/>
        <v>Yes</v>
      </c>
      <c r="N1152" s="32">
        <f>G1152 - F1152</f>
        <v>140</v>
      </c>
      <c r="O1152">
        <v>1</v>
      </c>
    </row>
    <row r="1153" spans="1:15" x14ac:dyDescent="0.3">
      <c r="A1153" s="53" t="s">
        <v>2182</v>
      </c>
      <c r="B1153" s="61" t="s">
        <v>78</v>
      </c>
      <c r="C1153" s="61" t="s">
        <v>12</v>
      </c>
      <c r="D1153" s="53" t="s">
        <v>2183</v>
      </c>
      <c r="E1153" s="53" t="s">
        <v>393</v>
      </c>
      <c r="F1153" s="96">
        <v>44655</v>
      </c>
      <c r="G1153" s="96">
        <v>44808</v>
      </c>
      <c r="H1153" s="58" t="str">
        <f t="shared" si="41"/>
        <v>EVEN</v>
      </c>
      <c r="I1153" s="106">
        <v>10000</v>
      </c>
      <c r="J1153" s="32" t="str">
        <f>UPPER(TEXT(F1153,"mmm")) &amp; " - " &amp; UPPER(TEXT(G1153,"mmm"))</f>
        <v>APR - SEP</v>
      </c>
      <c r="K1153" s="32" t="s">
        <v>1736</v>
      </c>
      <c r="L1153" s="99" t="s">
        <v>3895</v>
      </c>
      <c r="M1153" s="32" t="str">
        <f t="shared" si="40"/>
        <v>Yes</v>
      </c>
      <c r="N1153" s="32">
        <f>G1153 - F1153</f>
        <v>153</v>
      </c>
      <c r="O1153">
        <v>1</v>
      </c>
    </row>
    <row r="1154" spans="1:15" x14ac:dyDescent="0.3">
      <c r="A1154" s="53" t="s">
        <v>1435</v>
      </c>
      <c r="B1154" s="61" t="s">
        <v>66</v>
      </c>
      <c r="C1154" s="61" t="s">
        <v>12</v>
      </c>
      <c r="D1154" s="53" t="s">
        <v>2184</v>
      </c>
      <c r="E1154" s="53" t="s">
        <v>2185</v>
      </c>
      <c r="F1154" s="96">
        <v>44725</v>
      </c>
      <c r="G1154" s="96">
        <v>44778</v>
      </c>
      <c r="H1154" s="58" t="str">
        <f t="shared" si="41"/>
        <v>EVEN</v>
      </c>
      <c r="I1154" s="106">
        <v>66667</v>
      </c>
      <c r="J1154" s="32" t="str">
        <f>UPPER(TEXT(F1154,"mmm")) &amp; " - " &amp; UPPER(TEXT(G1154,"mmm"))</f>
        <v>JUN - AUG</v>
      </c>
      <c r="K1154" s="32" t="s">
        <v>1736</v>
      </c>
      <c r="L1154" s="99" t="s">
        <v>3895</v>
      </c>
      <c r="M1154" s="32" t="str">
        <f t="shared" ref="M1154:M1217" si="42">IF(I1154 &gt; 0, "Yes", "No")</f>
        <v>Yes</v>
      </c>
      <c r="N1154" s="32">
        <f>G1154 - F1154</f>
        <v>53</v>
      </c>
      <c r="O1154">
        <v>1</v>
      </c>
    </row>
    <row r="1155" spans="1:15" x14ac:dyDescent="0.3">
      <c r="A1155" s="53" t="s">
        <v>898</v>
      </c>
      <c r="B1155" s="61" t="s">
        <v>66</v>
      </c>
      <c r="C1155" s="61" t="s">
        <v>12</v>
      </c>
      <c r="D1155" s="53" t="s">
        <v>2186</v>
      </c>
      <c r="E1155" s="53" t="s">
        <v>2187</v>
      </c>
      <c r="F1155" s="96">
        <v>44378</v>
      </c>
      <c r="G1155" s="96">
        <v>44742</v>
      </c>
      <c r="H1155" s="58" t="str">
        <f t="shared" si="41"/>
        <v>EVEN</v>
      </c>
      <c r="I1155" s="106">
        <v>0</v>
      </c>
      <c r="J1155" s="32" t="str">
        <f>UPPER(TEXT(F1155,"mmm")) &amp; " - " &amp; UPPER(TEXT(G1155,"mmm"))</f>
        <v>JUL - JUN</v>
      </c>
      <c r="K1155" s="32" t="s">
        <v>1736</v>
      </c>
      <c r="L1155" s="61" t="s">
        <v>895</v>
      </c>
      <c r="M1155" s="32" t="str">
        <f t="shared" si="42"/>
        <v>No</v>
      </c>
      <c r="N1155" s="32">
        <f>G1155 - F1155</f>
        <v>364</v>
      </c>
      <c r="O1155">
        <v>1</v>
      </c>
    </row>
    <row r="1156" spans="1:15" x14ac:dyDescent="0.3">
      <c r="A1156" s="53" t="s">
        <v>1199</v>
      </c>
      <c r="B1156" s="61" t="s">
        <v>66</v>
      </c>
      <c r="C1156" s="61" t="s">
        <v>12</v>
      </c>
      <c r="D1156" s="53" t="s">
        <v>2188</v>
      </c>
      <c r="E1156" s="53" t="s">
        <v>2189</v>
      </c>
      <c r="F1156" s="96">
        <v>44725</v>
      </c>
      <c r="G1156" s="96">
        <v>44778</v>
      </c>
      <c r="H1156" s="58" t="str">
        <f t="shared" si="41"/>
        <v>EVEN</v>
      </c>
      <c r="I1156" s="106">
        <v>66667</v>
      </c>
      <c r="J1156" s="32" t="str">
        <f>UPPER(TEXT(F1156,"mmm")) &amp; " - " &amp; UPPER(TEXT(G1156,"mmm"))</f>
        <v>JUN - AUG</v>
      </c>
      <c r="K1156" s="32" t="s">
        <v>1736</v>
      </c>
      <c r="L1156" s="99" t="s">
        <v>3895</v>
      </c>
      <c r="M1156" s="32" t="str">
        <f t="shared" si="42"/>
        <v>Yes</v>
      </c>
      <c r="N1156" s="32">
        <f>G1156 - F1156</f>
        <v>53</v>
      </c>
      <c r="O1156">
        <v>1</v>
      </c>
    </row>
    <row r="1157" spans="1:15" x14ac:dyDescent="0.3">
      <c r="A1157" s="53" t="s">
        <v>1109</v>
      </c>
      <c r="B1157" s="61" t="s">
        <v>66</v>
      </c>
      <c r="C1157" s="61" t="s">
        <v>12</v>
      </c>
      <c r="D1157" s="53" t="s">
        <v>2190</v>
      </c>
      <c r="E1157" s="53" t="s">
        <v>1478</v>
      </c>
      <c r="F1157" s="96">
        <v>44562</v>
      </c>
      <c r="G1157" s="96">
        <v>44742</v>
      </c>
      <c r="H1157" s="58" t="str">
        <f t="shared" si="41"/>
        <v>EVEN</v>
      </c>
      <c r="I1157" s="106">
        <v>0</v>
      </c>
      <c r="J1157" s="32" t="str">
        <f>UPPER(TEXT(F1157,"mmm")) &amp; " - " &amp; UPPER(TEXT(G1157,"mmm"))</f>
        <v>JAN - JUN</v>
      </c>
      <c r="K1157" s="32" t="s">
        <v>1736</v>
      </c>
      <c r="L1157" s="99" t="s">
        <v>3895</v>
      </c>
      <c r="M1157" s="32" t="str">
        <f t="shared" si="42"/>
        <v>No</v>
      </c>
      <c r="N1157" s="32">
        <f>G1157 - F1157</f>
        <v>180</v>
      </c>
      <c r="O1157">
        <v>1</v>
      </c>
    </row>
    <row r="1158" spans="1:15" x14ac:dyDescent="0.3">
      <c r="A1158" s="53" t="s">
        <v>1555</v>
      </c>
      <c r="B1158" s="61" t="s">
        <v>66</v>
      </c>
      <c r="C1158" s="61" t="s">
        <v>12</v>
      </c>
      <c r="D1158" s="53" t="s">
        <v>2191</v>
      </c>
      <c r="E1158" s="53" t="s">
        <v>2192</v>
      </c>
      <c r="F1158" s="96">
        <v>44422</v>
      </c>
      <c r="G1158" s="96">
        <v>44483</v>
      </c>
      <c r="H1158" s="58" t="str">
        <f t="shared" si="41"/>
        <v>ODD</v>
      </c>
      <c r="I1158" s="106">
        <v>0</v>
      </c>
      <c r="J1158" s="32" t="str">
        <f>UPPER(TEXT(F1158,"mmm")) &amp; " - " &amp; UPPER(TEXT(G1158,"mmm"))</f>
        <v>AUG - OCT</v>
      </c>
      <c r="K1158" s="32" t="s">
        <v>1736</v>
      </c>
      <c r="L1158" s="99" t="s">
        <v>3895</v>
      </c>
      <c r="M1158" s="32" t="str">
        <f t="shared" si="42"/>
        <v>No</v>
      </c>
      <c r="N1158" s="32">
        <f>G1158 - F1158</f>
        <v>61</v>
      </c>
      <c r="O1158">
        <v>1</v>
      </c>
    </row>
    <row r="1159" spans="1:15" x14ac:dyDescent="0.3">
      <c r="A1159" s="53" t="s">
        <v>361</v>
      </c>
      <c r="B1159" s="61" t="s">
        <v>66</v>
      </c>
      <c r="C1159" s="61" t="s">
        <v>12</v>
      </c>
      <c r="D1159" s="53" t="s">
        <v>2193</v>
      </c>
      <c r="E1159" s="53" t="s">
        <v>2194</v>
      </c>
      <c r="F1159" s="96">
        <v>44725</v>
      </c>
      <c r="G1159" s="96">
        <v>44778</v>
      </c>
      <c r="H1159" s="58" t="str">
        <f t="shared" si="41"/>
        <v>EVEN</v>
      </c>
      <c r="I1159" s="106">
        <v>66667</v>
      </c>
      <c r="J1159" s="32" t="str">
        <f>UPPER(TEXT(F1159,"mmm")) &amp; " - " &amp; UPPER(TEXT(G1159,"mmm"))</f>
        <v>JUN - AUG</v>
      </c>
      <c r="K1159" s="32" t="s">
        <v>1736</v>
      </c>
      <c r="L1159" s="99" t="s">
        <v>3895</v>
      </c>
      <c r="M1159" s="32" t="str">
        <f t="shared" si="42"/>
        <v>Yes</v>
      </c>
      <c r="N1159" s="32">
        <f>G1159 - F1159</f>
        <v>53</v>
      </c>
      <c r="O1159">
        <v>1</v>
      </c>
    </row>
    <row r="1160" spans="1:15" x14ac:dyDescent="0.3">
      <c r="A1160" s="53" t="s">
        <v>2195</v>
      </c>
      <c r="B1160" s="61" t="s">
        <v>78</v>
      </c>
      <c r="C1160" s="61" t="s">
        <v>12</v>
      </c>
      <c r="D1160" s="53" t="s">
        <v>2196</v>
      </c>
      <c r="E1160" s="53" t="s">
        <v>2197</v>
      </c>
      <c r="F1160" s="96">
        <v>44690</v>
      </c>
      <c r="G1160" s="96">
        <v>44865</v>
      </c>
      <c r="H1160" s="58" t="str">
        <f t="shared" si="41"/>
        <v>EVEN</v>
      </c>
      <c r="I1160" s="106">
        <v>12708</v>
      </c>
      <c r="J1160" s="32" t="str">
        <f>UPPER(TEXT(F1160,"mmm")) &amp; " - " &amp; UPPER(TEXT(G1160,"mmm"))</f>
        <v>MAY - OCT</v>
      </c>
      <c r="K1160" s="32" t="s">
        <v>1736</v>
      </c>
      <c r="L1160" s="99" t="s">
        <v>3895</v>
      </c>
      <c r="M1160" s="32" t="str">
        <f t="shared" si="42"/>
        <v>Yes</v>
      </c>
      <c r="N1160" s="32">
        <f>G1160 - F1160</f>
        <v>175</v>
      </c>
      <c r="O1160">
        <v>1</v>
      </c>
    </row>
    <row r="1161" spans="1:15" x14ac:dyDescent="0.3">
      <c r="A1161" s="53" t="s">
        <v>2050</v>
      </c>
      <c r="B1161" s="61" t="s">
        <v>78</v>
      </c>
      <c r="C1161" s="61" t="s">
        <v>12</v>
      </c>
      <c r="D1161" s="53" t="s">
        <v>2198</v>
      </c>
      <c r="E1161" s="53" t="s">
        <v>2199</v>
      </c>
      <c r="F1161" s="96">
        <v>44397</v>
      </c>
      <c r="G1161" s="96">
        <v>44683</v>
      </c>
      <c r="H1161" s="58" t="str">
        <f t="shared" si="41"/>
        <v>ODD</v>
      </c>
      <c r="I1161" s="106">
        <v>0</v>
      </c>
      <c r="J1161" s="32" t="str">
        <f>UPPER(TEXT(F1161,"mmm")) &amp; " - " &amp; UPPER(TEXT(G1161,"mmm"))</f>
        <v>JUL - MAY</v>
      </c>
      <c r="K1161" s="32" t="s">
        <v>1736</v>
      </c>
      <c r="L1161" s="61" t="s">
        <v>895</v>
      </c>
      <c r="M1161" s="32" t="str">
        <f t="shared" si="42"/>
        <v>No</v>
      </c>
      <c r="N1161" s="32">
        <f>G1161 - F1161</f>
        <v>286</v>
      </c>
      <c r="O1161">
        <v>1</v>
      </c>
    </row>
    <row r="1162" spans="1:15" x14ac:dyDescent="0.3">
      <c r="A1162" s="53" t="s">
        <v>2200</v>
      </c>
      <c r="B1162" s="61" t="s">
        <v>78</v>
      </c>
      <c r="C1162" s="61" t="s">
        <v>12</v>
      </c>
      <c r="D1162" s="53" t="s">
        <v>2201</v>
      </c>
      <c r="E1162" s="53" t="s">
        <v>2202</v>
      </c>
      <c r="F1162" s="96">
        <v>44728</v>
      </c>
      <c r="G1162" s="96">
        <v>44758</v>
      </c>
      <c r="H1162" s="58" t="str">
        <f t="shared" si="41"/>
        <v>EVEN</v>
      </c>
      <c r="I1162" s="106">
        <v>0</v>
      </c>
      <c r="J1162" s="32" t="str">
        <f>UPPER(TEXT(F1162,"mmm")) &amp; " - " &amp; UPPER(TEXT(G1162,"mmm"))</f>
        <v>JUN - JUL</v>
      </c>
      <c r="K1162" s="32" t="s">
        <v>1736</v>
      </c>
      <c r="L1162" s="99" t="s">
        <v>3895</v>
      </c>
      <c r="M1162" s="32" t="str">
        <f t="shared" si="42"/>
        <v>No</v>
      </c>
      <c r="N1162" s="32">
        <f>G1162 - F1162</f>
        <v>30</v>
      </c>
      <c r="O1162">
        <v>1</v>
      </c>
    </row>
    <row r="1163" spans="1:15" x14ac:dyDescent="0.3">
      <c r="A1163" s="53" t="s">
        <v>2203</v>
      </c>
      <c r="B1163" s="61" t="s">
        <v>78</v>
      </c>
      <c r="C1163" s="61" t="s">
        <v>12</v>
      </c>
      <c r="D1163" s="53" t="s">
        <v>2204</v>
      </c>
      <c r="E1163" s="53" t="s">
        <v>2205</v>
      </c>
      <c r="F1163" s="96">
        <v>44722</v>
      </c>
      <c r="G1163" s="96">
        <v>44875</v>
      </c>
      <c r="H1163" s="58" t="str">
        <f t="shared" si="41"/>
        <v>EVEN</v>
      </c>
      <c r="I1163" s="106">
        <v>0</v>
      </c>
      <c r="J1163" s="32" t="str">
        <f>UPPER(TEXT(F1163,"mmm")) &amp; " - " &amp; UPPER(TEXT(G1163,"mmm"))</f>
        <v>JUN - NOV</v>
      </c>
      <c r="K1163" s="32" t="s">
        <v>1736</v>
      </c>
      <c r="L1163" s="99" t="s">
        <v>3895</v>
      </c>
      <c r="M1163" s="32" t="str">
        <f t="shared" si="42"/>
        <v>No</v>
      </c>
      <c r="N1163" s="32">
        <f>G1163 - F1163</f>
        <v>153</v>
      </c>
      <c r="O1163">
        <v>1</v>
      </c>
    </row>
    <row r="1164" spans="1:15" x14ac:dyDescent="0.3">
      <c r="A1164" s="53" t="s">
        <v>2206</v>
      </c>
      <c r="B1164" s="61" t="s">
        <v>78</v>
      </c>
      <c r="C1164" s="61" t="s">
        <v>12</v>
      </c>
      <c r="D1164" s="53" t="s">
        <v>2207</v>
      </c>
      <c r="E1164" s="53" t="s">
        <v>2208</v>
      </c>
      <c r="F1164" s="96">
        <v>44397</v>
      </c>
      <c r="G1164" s="96">
        <v>44683</v>
      </c>
      <c r="H1164" s="58" t="str">
        <f t="shared" si="41"/>
        <v>ODD</v>
      </c>
      <c r="I1164" s="106">
        <v>0</v>
      </c>
      <c r="J1164" s="32" t="str">
        <f>UPPER(TEXT(F1164,"mmm")) &amp; " - " &amp; UPPER(TEXT(G1164,"mmm"))</f>
        <v>JUL - MAY</v>
      </c>
      <c r="K1164" s="32" t="s">
        <v>1736</v>
      </c>
      <c r="L1164" s="61" t="s">
        <v>895</v>
      </c>
      <c r="M1164" s="32" t="str">
        <f t="shared" si="42"/>
        <v>No</v>
      </c>
      <c r="N1164" s="32">
        <f>G1164 - F1164</f>
        <v>286</v>
      </c>
      <c r="O1164">
        <v>1</v>
      </c>
    </row>
    <row r="1165" spans="1:15" x14ac:dyDescent="0.3">
      <c r="A1165" s="53" t="s">
        <v>2209</v>
      </c>
      <c r="B1165" s="61" t="s">
        <v>66</v>
      </c>
      <c r="C1165" s="61" t="s">
        <v>12</v>
      </c>
      <c r="D1165" s="53" t="s">
        <v>2210</v>
      </c>
      <c r="E1165" s="53" t="s">
        <v>2211</v>
      </c>
      <c r="F1165" s="96">
        <v>44725</v>
      </c>
      <c r="G1165" s="96">
        <v>44778</v>
      </c>
      <c r="H1165" s="58" t="str">
        <f t="shared" si="41"/>
        <v>EVEN</v>
      </c>
      <c r="I1165" s="106">
        <v>66667</v>
      </c>
      <c r="J1165" s="32" t="str">
        <f>UPPER(TEXT(F1165,"mmm")) &amp; " - " &amp; UPPER(TEXT(G1165,"mmm"))</f>
        <v>JUN - AUG</v>
      </c>
      <c r="K1165" s="32" t="s">
        <v>1736</v>
      </c>
      <c r="L1165" s="99" t="s">
        <v>3895</v>
      </c>
      <c r="M1165" s="32" t="str">
        <f t="shared" si="42"/>
        <v>Yes</v>
      </c>
      <c r="N1165" s="32">
        <f>G1165 - F1165</f>
        <v>53</v>
      </c>
      <c r="O1165">
        <v>1</v>
      </c>
    </row>
    <row r="1166" spans="1:15" x14ac:dyDescent="0.3">
      <c r="A1166" s="53" t="s">
        <v>925</v>
      </c>
      <c r="B1166" s="61" t="s">
        <v>66</v>
      </c>
      <c r="C1166" s="61" t="s">
        <v>12</v>
      </c>
      <c r="D1166" s="53" t="s">
        <v>2118</v>
      </c>
      <c r="E1166" s="53" t="s">
        <v>998</v>
      </c>
      <c r="F1166" s="96">
        <v>44713</v>
      </c>
      <c r="G1166" s="96">
        <v>44773</v>
      </c>
      <c r="H1166" s="58" t="str">
        <f t="shared" si="41"/>
        <v>EVEN</v>
      </c>
      <c r="I1166" s="106">
        <v>25000</v>
      </c>
      <c r="J1166" s="32" t="str">
        <f>UPPER(TEXT(F1166,"mmm")) &amp; " - " &amp; UPPER(TEXT(G1166,"mmm"))</f>
        <v>JUN - JUL</v>
      </c>
      <c r="K1166" s="32" t="s">
        <v>1736</v>
      </c>
      <c r="L1166" s="99" t="s">
        <v>3895</v>
      </c>
      <c r="M1166" s="32" t="str">
        <f t="shared" si="42"/>
        <v>Yes</v>
      </c>
      <c r="N1166" s="32">
        <f>G1166 - F1166</f>
        <v>60</v>
      </c>
      <c r="O1166">
        <v>1</v>
      </c>
    </row>
    <row r="1167" spans="1:15" x14ac:dyDescent="0.3">
      <c r="A1167" s="53" t="s">
        <v>2151</v>
      </c>
      <c r="B1167" s="61" t="s">
        <v>66</v>
      </c>
      <c r="C1167" s="61" t="s">
        <v>12</v>
      </c>
      <c r="D1167" s="53" t="s">
        <v>2212</v>
      </c>
      <c r="E1167" s="53" t="s">
        <v>2121</v>
      </c>
      <c r="F1167" s="96">
        <v>44739</v>
      </c>
      <c r="G1167" s="96">
        <v>44890</v>
      </c>
      <c r="H1167" s="58" t="str">
        <f t="shared" si="41"/>
        <v>EVEN</v>
      </c>
      <c r="I1167" s="106">
        <v>0</v>
      </c>
      <c r="J1167" s="32" t="str">
        <f>UPPER(TEXT(F1167,"mmm")) &amp; " - " &amp; UPPER(TEXT(G1167,"mmm"))</f>
        <v>JUN - NOV</v>
      </c>
      <c r="K1167" s="32" t="s">
        <v>1736</v>
      </c>
      <c r="L1167" s="99" t="s">
        <v>3895</v>
      </c>
      <c r="M1167" s="32" t="str">
        <f t="shared" si="42"/>
        <v>No</v>
      </c>
      <c r="N1167" s="32">
        <f>G1167 - F1167</f>
        <v>151</v>
      </c>
      <c r="O1167">
        <v>1</v>
      </c>
    </row>
    <row r="1168" spans="1:15" x14ac:dyDescent="0.3">
      <c r="A1168" s="53" t="s">
        <v>1405</v>
      </c>
      <c r="B1168" s="61" t="s">
        <v>66</v>
      </c>
      <c r="C1168" s="61" t="s">
        <v>12</v>
      </c>
      <c r="D1168" s="53" t="s">
        <v>2213</v>
      </c>
      <c r="E1168" s="53" t="s">
        <v>2214</v>
      </c>
      <c r="F1168" s="96">
        <v>44718</v>
      </c>
      <c r="G1168" s="96">
        <v>44785</v>
      </c>
      <c r="H1168" s="58" t="str">
        <f t="shared" si="41"/>
        <v>EVEN</v>
      </c>
      <c r="I1168" s="106">
        <v>10000</v>
      </c>
      <c r="J1168" s="32" t="str">
        <f>UPPER(TEXT(F1168,"mmm")) &amp; " - " &amp; UPPER(TEXT(G1168,"mmm"))</f>
        <v>JUN - AUG</v>
      </c>
      <c r="K1168" s="32" t="s">
        <v>1736</v>
      </c>
      <c r="L1168" s="99" t="s">
        <v>3895</v>
      </c>
      <c r="M1168" s="32" t="str">
        <f t="shared" si="42"/>
        <v>Yes</v>
      </c>
      <c r="N1168" s="32">
        <f>G1168 - F1168</f>
        <v>67</v>
      </c>
      <c r="O1168">
        <v>1</v>
      </c>
    </row>
    <row r="1169" spans="1:15" x14ac:dyDescent="0.3">
      <c r="A1169" s="53" t="s">
        <v>1799</v>
      </c>
      <c r="B1169" s="61" t="s">
        <v>66</v>
      </c>
      <c r="C1169" s="61" t="s">
        <v>12</v>
      </c>
      <c r="D1169" s="53" t="s">
        <v>2215</v>
      </c>
      <c r="E1169" s="53" t="s">
        <v>2216</v>
      </c>
      <c r="F1169" s="96">
        <v>44713</v>
      </c>
      <c r="G1169" s="96">
        <v>44764</v>
      </c>
      <c r="H1169" s="58" t="str">
        <f t="shared" si="41"/>
        <v>EVEN</v>
      </c>
      <c r="I1169" s="106">
        <v>30000</v>
      </c>
      <c r="J1169" s="32" t="str">
        <f>UPPER(TEXT(F1169,"mmm")) &amp; " - " &amp; UPPER(TEXT(G1169,"mmm"))</f>
        <v>JUN - JUL</v>
      </c>
      <c r="K1169" s="32" t="s">
        <v>1736</v>
      </c>
      <c r="L1169" s="99" t="s">
        <v>3895</v>
      </c>
      <c r="M1169" s="32" t="str">
        <f t="shared" si="42"/>
        <v>Yes</v>
      </c>
      <c r="N1169" s="32">
        <f>G1169 - F1169</f>
        <v>51</v>
      </c>
      <c r="O1169">
        <v>1</v>
      </c>
    </row>
    <row r="1170" spans="1:15" x14ac:dyDescent="0.3">
      <c r="A1170" s="53" t="s">
        <v>1273</v>
      </c>
      <c r="B1170" s="61" t="s">
        <v>66</v>
      </c>
      <c r="C1170" s="61" t="s">
        <v>12</v>
      </c>
      <c r="D1170" s="53" t="s">
        <v>2217</v>
      </c>
      <c r="E1170" s="53" t="s">
        <v>2218</v>
      </c>
      <c r="F1170" s="96">
        <v>44487</v>
      </c>
      <c r="G1170" s="96">
        <v>44579</v>
      </c>
      <c r="H1170" s="58" t="str">
        <f t="shared" si="41"/>
        <v>ODD</v>
      </c>
      <c r="I1170" s="106">
        <v>0</v>
      </c>
      <c r="J1170" s="32" t="str">
        <f>UPPER(TEXT(F1170,"mmm")) &amp; " - " &amp; UPPER(TEXT(G1170,"mmm"))</f>
        <v>OCT - JAN</v>
      </c>
      <c r="K1170" s="32" t="s">
        <v>1736</v>
      </c>
      <c r="L1170" s="99" t="s">
        <v>3895</v>
      </c>
      <c r="M1170" s="32" t="str">
        <f t="shared" si="42"/>
        <v>No</v>
      </c>
      <c r="N1170" s="32">
        <f>G1170 - F1170</f>
        <v>92</v>
      </c>
      <c r="O1170">
        <v>1</v>
      </c>
    </row>
    <row r="1171" spans="1:15" x14ac:dyDescent="0.3">
      <c r="A1171" s="53" t="s">
        <v>1273</v>
      </c>
      <c r="B1171" s="61" t="s">
        <v>66</v>
      </c>
      <c r="C1171" s="61" t="s">
        <v>12</v>
      </c>
      <c r="D1171" s="53" t="s">
        <v>2219</v>
      </c>
      <c r="E1171" s="53" t="s">
        <v>2220</v>
      </c>
      <c r="F1171" s="96">
        <v>44718</v>
      </c>
      <c r="G1171" s="96">
        <v>44771</v>
      </c>
      <c r="H1171" s="58" t="str">
        <f t="shared" si="41"/>
        <v>EVEN</v>
      </c>
      <c r="I1171" s="106">
        <v>46774</v>
      </c>
      <c r="J1171" s="32" t="str">
        <f>UPPER(TEXT(F1171,"mmm")) &amp; " - " &amp; UPPER(TEXT(G1171,"mmm"))</f>
        <v>JUN - JUL</v>
      </c>
      <c r="K1171" s="32" t="s">
        <v>1736</v>
      </c>
      <c r="L1171" s="99" t="s">
        <v>3895</v>
      </c>
      <c r="M1171" s="32" t="str">
        <f t="shared" si="42"/>
        <v>Yes</v>
      </c>
      <c r="N1171" s="32">
        <f>G1171 - F1171</f>
        <v>53</v>
      </c>
      <c r="O1171">
        <v>1</v>
      </c>
    </row>
    <row r="1172" spans="1:15" x14ac:dyDescent="0.3">
      <c r="A1172" s="53" t="s">
        <v>2221</v>
      </c>
      <c r="B1172" s="61" t="s">
        <v>66</v>
      </c>
      <c r="C1172" s="61" t="s">
        <v>12</v>
      </c>
      <c r="D1172" s="53" t="s">
        <v>2222</v>
      </c>
      <c r="E1172" s="53" t="s">
        <v>2223</v>
      </c>
      <c r="F1172" s="96">
        <v>44718</v>
      </c>
      <c r="G1172" s="96">
        <v>44778</v>
      </c>
      <c r="H1172" s="58" t="str">
        <f t="shared" si="41"/>
        <v>EVEN</v>
      </c>
      <c r="I1172" s="106">
        <v>0</v>
      </c>
      <c r="J1172" s="32" t="str">
        <f>UPPER(TEXT(F1172,"mmm")) &amp; " - " &amp; UPPER(TEXT(G1172,"mmm"))</f>
        <v>JUN - AUG</v>
      </c>
      <c r="K1172" s="32" t="s">
        <v>1736</v>
      </c>
      <c r="L1172" s="99" t="s">
        <v>3895</v>
      </c>
      <c r="M1172" s="32" t="str">
        <f t="shared" si="42"/>
        <v>No</v>
      </c>
      <c r="N1172" s="32">
        <f>G1172 - F1172</f>
        <v>60</v>
      </c>
      <c r="O1172">
        <v>1</v>
      </c>
    </row>
    <row r="1173" spans="1:15" x14ac:dyDescent="0.3">
      <c r="A1173" s="53" t="s">
        <v>2224</v>
      </c>
      <c r="B1173" s="61" t="s">
        <v>66</v>
      </c>
      <c r="C1173" s="61" t="s">
        <v>12</v>
      </c>
      <c r="D1173" s="53" t="s">
        <v>2225</v>
      </c>
      <c r="E1173" s="53" t="s">
        <v>1201</v>
      </c>
      <c r="F1173" s="96">
        <v>44562</v>
      </c>
      <c r="G1173" s="96">
        <v>44651</v>
      </c>
      <c r="H1173" s="58" t="str">
        <f t="shared" si="41"/>
        <v>EVEN</v>
      </c>
      <c r="I1173" s="106">
        <v>0</v>
      </c>
      <c r="J1173" s="32" t="str">
        <f>UPPER(TEXT(F1173,"mmm")) &amp; " - " &amp; UPPER(TEXT(G1173,"mmm"))</f>
        <v>JAN - MAR</v>
      </c>
      <c r="K1173" s="32" t="s">
        <v>1736</v>
      </c>
      <c r="L1173" s="99" t="s">
        <v>3895</v>
      </c>
      <c r="M1173" s="32" t="str">
        <f t="shared" si="42"/>
        <v>No</v>
      </c>
      <c r="N1173" s="32">
        <f>G1173 - F1173</f>
        <v>89</v>
      </c>
      <c r="O1173">
        <v>1</v>
      </c>
    </row>
    <row r="1174" spans="1:15" x14ac:dyDescent="0.3">
      <c r="A1174" s="53" t="s">
        <v>663</v>
      </c>
      <c r="B1174" s="61" t="s">
        <v>66</v>
      </c>
      <c r="C1174" s="61" t="s">
        <v>12</v>
      </c>
      <c r="D1174" s="53" t="s">
        <v>2188</v>
      </c>
      <c r="E1174" s="53" t="s">
        <v>2226</v>
      </c>
      <c r="F1174" s="96">
        <v>44725</v>
      </c>
      <c r="G1174" s="96">
        <v>44778</v>
      </c>
      <c r="H1174" s="58" t="str">
        <f t="shared" si="41"/>
        <v>EVEN</v>
      </c>
      <c r="I1174" s="106">
        <v>66667</v>
      </c>
      <c r="J1174" s="32" t="str">
        <f>UPPER(TEXT(F1174,"mmm")) &amp; " - " &amp; UPPER(TEXT(G1174,"mmm"))</f>
        <v>JUN - AUG</v>
      </c>
      <c r="K1174" s="32" t="s">
        <v>1736</v>
      </c>
      <c r="L1174" s="99" t="s">
        <v>3895</v>
      </c>
      <c r="M1174" s="32" t="str">
        <f t="shared" si="42"/>
        <v>Yes</v>
      </c>
      <c r="N1174" s="32">
        <f>G1174 - F1174</f>
        <v>53</v>
      </c>
      <c r="O1174">
        <v>1</v>
      </c>
    </row>
    <row r="1175" spans="1:15" x14ac:dyDescent="0.3">
      <c r="A1175" s="53" t="s">
        <v>1588</v>
      </c>
      <c r="B1175" s="61" t="s">
        <v>66</v>
      </c>
      <c r="C1175" s="61" t="s">
        <v>12</v>
      </c>
      <c r="D1175" s="53" t="s">
        <v>2227</v>
      </c>
      <c r="E1175" s="53" t="s">
        <v>2228</v>
      </c>
      <c r="F1175" s="96">
        <v>44495</v>
      </c>
      <c r="G1175" s="96">
        <v>44620</v>
      </c>
      <c r="H1175" s="58" t="str">
        <f t="shared" ref="H1175:H1238" si="43">IF(AND(F1175&gt;=DATE(2021,7,15), F1175&lt;=DATE(2021,12,31)), "ODD", "EVEN")</f>
        <v>ODD</v>
      </c>
      <c r="I1175" s="106">
        <v>2500</v>
      </c>
      <c r="J1175" s="32" t="str">
        <f>UPPER(TEXT(F1175,"mmm")) &amp; " - " &amp; UPPER(TEXT(G1175,"mmm"))</f>
        <v>OCT - FEB</v>
      </c>
      <c r="K1175" s="32" t="s">
        <v>1736</v>
      </c>
      <c r="L1175" s="99" t="s">
        <v>3895</v>
      </c>
      <c r="M1175" s="32" t="str">
        <f t="shared" si="42"/>
        <v>Yes</v>
      </c>
      <c r="N1175" s="32">
        <f>G1175 - F1175</f>
        <v>125</v>
      </c>
      <c r="O1175">
        <v>1</v>
      </c>
    </row>
    <row r="1176" spans="1:15" x14ac:dyDescent="0.3">
      <c r="A1176" s="53" t="s">
        <v>2229</v>
      </c>
      <c r="B1176" s="61" t="s">
        <v>11</v>
      </c>
      <c r="C1176" s="61" t="s">
        <v>12</v>
      </c>
      <c r="D1176" s="53" t="s">
        <v>2230</v>
      </c>
      <c r="E1176" s="53" t="s">
        <v>2231</v>
      </c>
      <c r="F1176" s="96">
        <v>44499</v>
      </c>
      <c r="G1176" s="96">
        <v>44591</v>
      </c>
      <c r="H1176" s="58" t="str">
        <f t="shared" si="43"/>
        <v>ODD</v>
      </c>
      <c r="I1176" s="106">
        <v>0</v>
      </c>
      <c r="J1176" s="32" t="str">
        <f>UPPER(TEXT(F1176,"mmm")) &amp; " - " &amp; UPPER(TEXT(G1176,"mmm"))</f>
        <v>OCT - JAN</v>
      </c>
      <c r="K1176" s="32" t="s">
        <v>1736</v>
      </c>
      <c r="L1176" s="99" t="s">
        <v>3895</v>
      </c>
      <c r="M1176" s="32" t="str">
        <f t="shared" si="42"/>
        <v>No</v>
      </c>
      <c r="N1176" s="32">
        <f>G1176 - F1176</f>
        <v>92</v>
      </c>
      <c r="O1176">
        <v>1</v>
      </c>
    </row>
    <row r="1177" spans="1:15" x14ac:dyDescent="0.3">
      <c r="A1177" s="53" t="s">
        <v>2232</v>
      </c>
      <c r="B1177" s="61" t="s">
        <v>11</v>
      </c>
      <c r="C1177" s="61" t="s">
        <v>12</v>
      </c>
      <c r="D1177" s="53" t="s">
        <v>2233</v>
      </c>
      <c r="E1177" s="53" t="s">
        <v>2234</v>
      </c>
      <c r="F1177" s="96">
        <v>44440</v>
      </c>
      <c r="G1177" s="96">
        <v>44592</v>
      </c>
      <c r="H1177" s="58" t="str">
        <f t="shared" si="43"/>
        <v>ODD</v>
      </c>
      <c r="I1177" s="106">
        <v>0</v>
      </c>
      <c r="J1177" s="32" t="str">
        <f>UPPER(TEXT(F1177,"mmm")) &amp; " - " &amp; UPPER(TEXT(G1177,"mmm"))</f>
        <v>SEP - JAN</v>
      </c>
      <c r="K1177" s="32" t="s">
        <v>1736</v>
      </c>
      <c r="L1177" s="99" t="s">
        <v>3895</v>
      </c>
      <c r="M1177" s="32" t="str">
        <f t="shared" si="42"/>
        <v>No</v>
      </c>
      <c r="N1177" s="32">
        <f>G1177 - F1177</f>
        <v>152</v>
      </c>
      <c r="O1177">
        <v>1</v>
      </c>
    </row>
    <row r="1178" spans="1:15" x14ac:dyDescent="0.3">
      <c r="A1178" s="53" t="s">
        <v>2235</v>
      </c>
      <c r="B1178" s="61" t="s">
        <v>11</v>
      </c>
      <c r="C1178" s="61" t="s">
        <v>12</v>
      </c>
      <c r="D1178" s="53" t="s">
        <v>2236</v>
      </c>
      <c r="E1178" s="53" t="s">
        <v>2237</v>
      </c>
      <c r="F1178" s="96">
        <v>44535</v>
      </c>
      <c r="G1178" s="96">
        <v>44566</v>
      </c>
      <c r="H1178" s="58" t="str">
        <f t="shared" si="43"/>
        <v>ODD</v>
      </c>
      <c r="I1178" s="106">
        <v>0</v>
      </c>
      <c r="J1178" s="32" t="str">
        <f>UPPER(TEXT(F1178,"mmm")) &amp; " - " &amp; UPPER(TEXT(G1178,"mmm"))</f>
        <v>DEC - JAN</v>
      </c>
      <c r="K1178" s="32" t="s">
        <v>1736</v>
      </c>
      <c r="L1178" s="99" t="s">
        <v>3895</v>
      </c>
      <c r="M1178" s="32" t="str">
        <f t="shared" si="42"/>
        <v>No</v>
      </c>
      <c r="N1178" s="32">
        <f>G1178 - F1178</f>
        <v>31</v>
      </c>
      <c r="O1178">
        <v>1</v>
      </c>
    </row>
    <row r="1179" spans="1:15" x14ac:dyDescent="0.3">
      <c r="A1179" s="53" t="s">
        <v>2238</v>
      </c>
      <c r="B1179" s="61" t="s">
        <v>11</v>
      </c>
      <c r="C1179" s="61" t="s">
        <v>12</v>
      </c>
      <c r="D1179" s="53" t="s">
        <v>2239</v>
      </c>
      <c r="E1179" s="53" t="s">
        <v>2240</v>
      </c>
      <c r="F1179" s="96">
        <v>44600</v>
      </c>
      <c r="G1179" s="96">
        <v>44824</v>
      </c>
      <c r="H1179" s="58" t="str">
        <f t="shared" si="43"/>
        <v>EVEN</v>
      </c>
      <c r="I1179" s="106">
        <v>0</v>
      </c>
      <c r="J1179" s="32" t="str">
        <f>UPPER(TEXT(F1179,"mmm")) &amp; " - " &amp; UPPER(TEXT(G1179,"mmm"))</f>
        <v>FEB - SEP</v>
      </c>
      <c r="K1179" s="32" t="s">
        <v>1736</v>
      </c>
      <c r="L1179" s="61" t="s">
        <v>895</v>
      </c>
      <c r="M1179" s="32" t="str">
        <f t="shared" si="42"/>
        <v>No</v>
      </c>
      <c r="N1179" s="32">
        <f>G1179 - F1179</f>
        <v>224</v>
      </c>
      <c r="O1179">
        <v>1</v>
      </c>
    </row>
    <row r="1180" spans="1:15" x14ac:dyDescent="0.3">
      <c r="A1180" s="53" t="s">
        <v>1619</v>
      </c>
      <c r="B1180" s="61" t="s">
        <v>78</v>
      </c>
      <c r="C1180" s="61" t="s">
        <v>12</v>
      </c>
      <c r="D1180" s="53" t="s">
        <v>2241</v>
      </c>
      <c r="E1180" s="53" t="s">
        <v>2242</v>
      </c>
      <c r="F1180" s="96">
        <v>44738</v>
      </c>
      <c r="G1180" s="96">
        <v>44932</v>
      </c>
      <c r="H1180" s="58" t="str">
        <f t="shared" si="43"/>
        <v>EVEN</v>
      </c>
      <c r="I1180" s="106">
        <v>0</v>
      </c>
      <c r="J1180" s="32" t="str">
        <f>UPPER(TEXT(F1180,"mmm")) &amp; " - " &amp; UPPER(TEXT(G1180,"mmm"))</f>
        <v>JUN - JAN</v>
      </c>
      <c r="K1180" s="32" t="s">
        <v>1736</v>
      </c>
      <c r="L1180" s="99" t="s">
        <v>3895</v>
      </c>
      <c r="M1180" s="32" t="str">
        <f t="shared" si="42"/>
        <v>No</v>
      </c>
      <c r="N1180" s="32">
        <f>G1180 - F1180</f>
        <v>194</v>
      </c>
      <c r="O1180">
        <v>1</v>
      </c>
    </row>
    <row r="1181" spans="1:15" x14ac:dyDescent="0.3">
      <c r="A1181" s="53" t="s">
        <v>2243</v>
      </c>
      <c r="B1181" s="61" t="s">
        <v>78</v>
      </c>
      <c r="C1181" s="61" t="s">
        <v>12</v>
      </c>
      <c r="D1181" s="53" t="s">
        <v>2244</v>
      </c>
      <c r="E1181" s="53" t="s">
        <v>2245</v>
      </c>
      <c r="F1181" s="96">
        <v>44739</v>
      </c>
      <c r="G1181" s="96">
        <v>44779</v>
      </c>
      <c r="H1181" s="58" t="str">
        <f t="shared" si="43"/>
        <v>EVEN</v>
      </c>
      <c r="I1181" s="106">
        <v>0</v>
      </c>
      <c r="J1181" s="32" t="str">
        <f>UPPER(TEXT(F1181,"mmm")) &amp; " - " &amp; UPPER(TEXT(G1181,"mmm"))</f>
        <v>JUN - AUG</v>
      </c>
      <c r="K1181" s="32" t="s">
        <v>1736</v>
      </c>
      <c r="L1181" s="99" t="s">
        <v>3895</v>
      </c>
      <c r="M1181" s="32" t="str">
        <f t="shared" si="42"/>
        <v>No</v>
      </c>
      <c r="N1181" s="32">
        <f>G1181 - F1181</f>
        <v>40</v>
      </c>
      <c r="O1181">
        <v>1</v>
      </c>
    </row>
    <row r="1182" spans="1:15" x14ac:dyDescent="0.3">
      <c r="A1182" s="53" t="s">
        <v>2246</v>
      </c>
      <c r="B1182" s="61" t="s">
        <v>78</v>
      </c>
      <c r="C1182" s="61" t="s">
        <v>12</v>
      </c>
      <c r="D1182" s="53" t="s">
        <v>2247</v>
      </c>
      <c r="E1182" s="53" t="s">
        <v>2248</v>
      </c>
      <c r="F1182" s="96">
        <v>44613</v>
      </c>
      <c r="G1182" s="96">
        <v>45016</v>
      </c>
      <c r="H1182" s="58" t="str">
        <f t="shared" si="43"/>
        <v>EVEN</v>
      </c>
      <c r="I1182" s="106">
        <v>0</v>
      </c>
      <c r="J1182" s="32" t="str">
        <f>UPPER(TEXT(F1182,"mmm")) &amp; " - " &amp; UPPER(TEXT(G1182,"mmm"))</f>
        <v>FEB - MAR</v>
      </c>
      <c r="K1182" s="32" t="s">
        <v>1736</v>
      </c>
      <c r="L1182" s="99" t="s">
        <v>3895</v>
      </c>
      <c r="M1182" s="32" t="str">
        <f t="shared" si="42"/>
        <v>No</v>
      </c>
      <c r="N1182" s="32">
        <f>G1182 - F1182</f>
        <v>403</v>
      </c>
      <c r="O1182">
        <v>1</v>
      </c>
    </row>
    <row r="1183" spans="1:15" x14ac:dyDescent="0.3">
      <c r="A1183" s="53" t="s">
        <v>2249</v>
      </c>
      <c r="B1183" s="61" t="s">
        <v>78</v>
      </c>
      <c r="C1183" s="61" t="s">
        <v>12</v>
      </c>
      <c r="D1183" s="53" t="s">
        <v>2250</v>
      </c>
      <c r="E1183" s="53" t="s">
        <v>277</v>
      </c>
      <c r="F1183" s="96">
        <v>44600</v>
      </c>
      <c r="G1183" s="96">
        <v>44829</v>
      </c>
      <c r="H1183" s="58" t="str">
        <f t="shared" si="43"/>
        <v>EVEN</v>
      </c>
      <c r="I1183" s="106">
        <v>0</v>
      </c>
      <c r="J1183" s="32" t="str">
        <f>UPPER(TEXT(F1183,"mmm")) &amp; " - " &amp; UPPER(TEXT(G1183,"mmm"))</f>
        <v>FEB - SEP</v>
      </c>
      <c r="K1183" s="32" t="s">
        <v>1736</v>
      </c>
      <c r="L1183" s="61" t="s">
        <v>895</v>
      </c>
      <c r="M1183" s="32" t="str">
        <f t="shared" si="42"/>
        <v>No</v>
      </c>
      <c r="N1183" s="32">
        <f>G1183 - F1183</f>
        <v>229</v>
      </c>
      <c r="O1183">
        <v>1</v>
      </c>
    </row>
    <row r="1184" spans="1:15" x14ac:dyDescent="0.3">
      <c r="A1184" s="53" t="s">
        <v>2251</v>
      </c>
      <c r="B1184" s="61" t="s">
        <v>78</v>
      </c>
      <c r="C1184" s="61" t="s">
        <v>12</v>
      </c>
      <c r="D1184" s="53" t="s">
        <v>2252</v>
      </c>
      <c r="E1184" s="53" t="s">
        <v>2253</v>
      </c>
      <c r="F1184" s="96">
        <v>44725</v>
      </c>
      <c r="G1184" s="96">
        <v>44789</v>
      </c>
      <c r="H1184" s="58" t="str">
        <f t="shared" si="43"/>
        <v>EVEN</v>
      </c>
      <c r="I1184" s="106">
        <v>0</v>
      </c>
      <c r="J1184" s="32" t="str">
        <f>UPPER(TEXT(F1184,"mmm")) &amp; " - " &amp; UPPER(TEXT(G1184,"mmm"))</f>
        <v>JUN - AUG</v>
      </c>
      <c r="K1184" s="32" t="s">
        <v>1736</v>
      </c>
      <c r="L1184" s="99" t="s">
        <v>3895</v>
      </c>
      <c r="M1184" s="32" t="str">
        <f t="shared" si="42"/>
        <v>No</v>
      </c>
      <c r="N1184" s="32">
        <f>G1184 - F1184</f>
        <v>64</v>
      </c>
      <c r="O1184">
        <v>1</v>
      </c>
    </row>
    <row r="1185" spans="1:15" x14ac:dyDescent="0.3">
      <c r="A1185" s="53" t="s">
        <v>2254</v>
      </c>
      <c r="B1185" s="61" t="s">
        <v>78</v>
      </c>
      <c r="C1185" s="61" t="s">
        <v>12</v>
      </c>
      <c r="D1185" s="53" t="s">
        <v>2255</v>
      </c>
      <c r="E1185" s="53" t="s">
        <v>2256</v>
      </c>
      <c r="F1185" s="96">
        <v>44494</v>
      </c>
      <c r="G1185" s="96">
        <v>44681</v>
      </c>
      <c r="H1185" s="58" t="str">
        <f t="shared" si="43"/>
        <v>ODD</v>
      </c>
      <c r="I1185" s="106">
        <v>0</v>
      </c>
      <c r="J1185" s="32" t="str">
        <f>UPPER(TEXT(F1185,"mmm")) &amp; " - " &amp; UPPER(TEXT(G1185,"mmm"))</f>
        <v>OCT - APR</v>
      </c>
      <c r="K1185" s="32" t="s">
        <v>1736</v>
      </c>
      <c r="L1185" s="61" t="s">
        <v>895</v>
      </c>
      <c r="M1185" s="32" t="str">
        <f t="shared" si="42"/>
        <v>No</v>
      </c>
      <c r="N1185" s="32">
        <f>G1185 - F1185</f>
        <v>187</v>
      </c>
      <c r="O1185">
        <v>1</v>
      </c>
    </row>
    <row r="1186" spans="1:15" x14ac:dyDescent="0.3">
      <c r="A1186" s="53" t="s">
        <v>2099</v>
      </c>
      <c r="B1186" s="61" t="s">
        <v>78</v>
      </c>
      <c r="C1186" s="61" t="s">
        <v>12</v>
      </c>
      <c r="D1186" s="53" t="s">
        <v>2257</v>
      </c>
      <c r="E1186" s="53" t="s">
        <v>2258</v>
      </c>
      <c r="F1186" s="96">
        <v>44652</v>
      </c>
      <c r="G1186" s="96">
        <v>44712</v>
      </c>
      <c r="H1186" s="58" t="str">
        <f t="shared" si="43"/>
        <v>EVEN</v>
      </c>
      <c r="I1186" s="106">
        <v>0</v>
      </c>
      <c r="J1186" s="32" t="str">
        <f>UPPER(TEXT(F1186,"mmm")) &amp; " - " &amp; UPPER(TEXT(G1186,"mmm"))</f>
        <v>APR - MAY</v>
      </c>
      <c r="K1186" s="32" t="s">
        <v>1736</v>
      </c>
      <c r="L1186" s="61" t="s">
        <v>895</v>
      </c>
      <c r="M1186" s="32" t="str">
        <f t="shared" si="42"/>
        <v>No</v>
      </c>
      <c r="N1186" s="32">
        <f>G1186 - F1186</f>
        <v>60</v>
      </c>
      <c r="O1186">
        <v>1</v>
      </c>
    </row>
    <row r="1187" spans="1:15" x14ac:dyDescent="0.3">
      <c r="A1187" s="53" t="s">
        <v>2259</v>
      </c>
      <c r="B1187" s="61" t="s">
        <v>78</v>
      </c>
      <c r="C1187" s="61" t="s">
        <v>12</v>
      </c>
      <c r="D1187" s="53" t="s">
        <v>2257</v>
      </c>
      <c r="E1187" s="53" t="s">
        <v>2260</v>
      </c>
      <c r="F1187" s="96">
        <v>44652</v>
      </c>
      <c r="G1187" s="96">
        <v>44712</v>
      </c>
      <c r="H1187" s="58" t="str">
        <f t="shared" si="43"/>
        <v>EVEN</v>
      </c>
      <c r="I1187" s="106">
        <v>0</v>
      </c>
      <c r="J1187" s="32" t="str">
        <f>UPPER(TEXT(F1187,"mmm")) &amp; " - " &amp; UPPER(TEXT(G1187,"mmm"))</f>
        <v>APR - MAY</v>
      </c>
      <c r="K1187" s="32" t="s">
        <v>1736</v>
      </c>
      <c r="L1187" s="61" t="s">
        <v>895</v>
      </c>
      <c r="M1187" s="32" t="str">
        <f t="shared" si="42"/>
        <v>No</v>
      </c>
      <c r="N1187" s="32">
        <f>G1187 - F1187</f>
        <v>60</v>
      </c>
      <c r="O1187">
        <v>1</v>
      </c>
    </row>
    <row r="1188" spans="1:15" x14ac:dyDescent="0.3">
      <c r="A1188" s="53" t="s">
        <v>2261</v>
      </c>
      <c r="B1188" s="61" t="s">
        <v>78</v>
      </c>
      <c r="C1188" s="61" t="s">
        <v>12</v>
      </c>
      <c r="D1188" s="53" t="s">
        <v>2250</v>
      </c>
      <c r="E1188" s="53" t="s">
        <v>2262</v>
      </c>
      <c r="F1188" s="96">
        <v>44607</v>
      </c>
      <c r="G1188" s="96">
        <v>44773</v>
      </c>
      <c r="H1188" s="58" t="str">
        <f t="shared" si="43"/>
        <v>EVEN</v>
      </c>
      <c r="I1188" s="106">
        <v>0</v>
      </c>
      <c r="J1188" s="32" t="str">
        <f>UPPER(TEXT(F1188,"mmm")) &amp; " - " &amp; UPPER(TEXT(G1188,"mmm"))</f>
        <v>FEB - JUL</v>
      </c>
      <c r="K1188" s="32" t="s">
        <v>1736</v>
      </c>
      <c r="L1188" s="61" t="s">
        <v>895</v>
      </c>
      <c r="M1188" s="32" t="str">
        <f t="shared" si="42"/>
        <v>No</v>
      </c>
      <c r="N1188" s="32">
        <f>G1188 - F1188</f>
        <v>166</v>
      </c>
      <c r="O1188">
        <v>1</v>
      </c>
    </row>
    <row r="1189" spans="1:15" x14ac:dyDescent="0.3">
      <c r="A1189" s="53" t="s">
        <v>2206</v>
      </c>
      <c r="B1189" s="61" t="s">
        <v>78</v>
      </c>
      <c r="C1189" s="61" t="s">
        <v>12</v>
      </c>
      <c r="D1189" s="53" t="s">
        <v>2263</v>
      </c>
      <c r="E1189" s="53" t="s">
        <v>2264</v>
      </c>
      <c r="F1189" s="96">
        <v>44494</v>
      </c>
      <c r="G1189" s="96">
        <v>44681</v>
      </c>
      <c r="H1189" s="58" t="str">
        <f t="shared" si="43"/>
        <v>ODD</v>
      </c>
      <c r="I1189" s="106">
        <v>0</v>
      </c>
      <c r="J1189" s="32" t="str">
        <f>UPPER(TEXT(F1189,"mmm")) &amp; " - " &amp; UPPER(TEXT(G1189,"mmm"))</f>
        <v>OCT - APR</v>
      </c>
      <c r="K1189" s="32" t="s">
        <v>1736</v>
      </c>
      <c r="L1189" s="61" t="s">
        <v>895</v>
      </c>
      <c r="M1189" s="32" t="str">
        <f t="shared" si="42"/>
        <v>No</v>
      </c>
      <c r="N1189" s="32">
        <f>G1189 - F1189</f>
        <v>187</v>
      </c>
      <c r="O1189">
        <v>1</v>
      </c>
    </row>
    <row r="1190" spans="1:15" x14ac:dyDescent="0.3">
      <c r="A1190" s="53" t="s">
        <v>217</v>
      </c>
      <c r="B1190" s="61" t="s">
        <v>66</v>
      </c>
      <c r="C1190" s="61" t="s">
        <v>12</v>
      </c>
      <c r="D1190" s="53" t="s">
        <v>2265</v>
      </c>
      <c r="E1190" s="53" t="s">
        <v>2266</v>
      </c>
      <c r="F1190" s="96">
        <v>44721</v>
      </c>
      <c r="G1190" s="96">
        <v>44783</v>
      </c>
      <c r="H1190" s="58" t="str">
        <f t="shared" si="43"/>
        <v>EVEN</v>
      </c>
      <c r="I1190" s="106">
        <v>37000</v>
      </c>
      <c r="J1190" s="32" t="str">
        <f>UPPER(TEXT(F1190,"mmm")) &amp; " - " &amp; UPPER(TEXT(G1190,"mmm"))</f>
        <v>JUN - AUG</v>
      </c>
      <c r="K1190" s="32" t="s">
        <v>1736</v>
      </c>
      <c r="L1190" s="99" t="s">
        <v>3895</v>
      </c>
      <c r="M1190" s="32" t="str">
        <f t="shared" si="42"/>
        <v>Yes</v>
      </c>
      <c r="N1190" s="32">
        <f>G1190 - F1190</f>
        <v>62</v>
      </c>
      <c r="O1190">
        <v>1</v>
      </c>
    </row>
    <row r="1191" spans="1:15" x14ac:dyDescent="0.3">
      <c r="A1191" s="53" t="s">
        <v>1548</v>
      </c>
      <c r="B1191" s="61" t="s">
        <v>66</v>
      </c>
      <c r="C1191" s="61" t="s">
        <v>12</v>
      </c>
      <c r="D1191" s="53" t="s">
        <v>1965</v>
      </c>
      <c r="E1191" s="53" t="s">
        <v>2267</v>
      </c>
      <c r="F1191" s="96">
        <v>44717</v>
      </c>
      <c r="G1191" s="96">
        <v>44804</v>
      </c>
      <c r="H1191" s="58" t="str">
        <f t="shared" si="43"/>
        <v>EVEN</v>
      </c>
      <c r="I1191" s="106">
        <v>0</v>
      </c>
      <c r="J1191" s="32" t="str">
        <f>UPPER(TEXT(F1191,"mmm")) &amp; " - " &amp; UPPER(TEXT(G1191,"mmm"))</f>
        <v>JUN - AUG</v>
      </c>
      <c r="K1191" s="32" t="s">
        <v>1736</v>
      </c>
      <c r="L1191" s="61" t="s">
        <v>895</v>
      </c>
      <c r="M1191" s="32" t="str">
        <f t="shared" si="42"/>
        <v>No</v>
      </c>
      <c r="N1191" s="32">
        <f>G1191 - F1191</f>
        <v>87</v>
      </c>
      <c r="O1191">
        <v>1</v>
      </c>
    </row>
    <row r="1192" spans="1:15" x14ac:dyDescent="0.3">
      <c r="A1192" s="53" t="s">
        <v>1029</v>
      </c>
      <c r="B1192" s="61" t="s">
        <v>66</v>
      </c>
      <c r="C1192" s="61" t="s">
        <v>12</v>
      </c>
      <c r="D1192" s="53" t="s">
        <v>2268</v>
      </c>
      <c r="E1192" s="53" t="s">
        <v>2269</v>
      </c>
      <c r="F1192" s="96">
        <v>44725</v>
      </c>
      <c r="G1192" s="96">
        <v>44816</v>
      </c>
      <c r="H1192" s="58" t="str">
        <f t="shared" si="43"/>
        <v>EVEN</v>
      </c>
      <c r="I1192" s="106">
        <v>0</v>
      </c>
      <c r="J1192" s="32" t="str">
        <f>UPPER(TEXT(F1192,"mmm")) &amp; " - " &amp; UPPER(TEXT(G1192,"mmm"))</f>
        <v>JUN - SEP</v>
      </c>
      <c r="K1192" s="32" t="s">
        <v>1736</v>
      </c>
      <c r="L1192" s="99" t="s">
        <v>3895</v>
      </c>
      <c r="M1192" s="32" t="str">
        <f t="shared" si="42"/>
        <v>No</v>
      </c>
      <c r="N1192" s="32">
        <f>G1192 - F1192</f>
        <v>91</v>
      </c>
      <c r="O1192">
        <v>1</v>
      </c>
    </row>
    <row r="1193" spans="1:15" x14ac:dyDescent="0.3">
      <c r="A1193" s="53" t="s">
        <v>2270</v>
      </c>
      <c r="B1193" s="61" t="s">
        <v>66</v>
      </c>
      <c r="C1193" s="61" t="s">
        <v>12</v>
      </c>
      <c r="D1193" s="53" t="s">
        <v>2060</v>
      </c>
      <c r="E1193" s="53" t="s">
        <v>2271</v>
      </c>
      <c r="F1193" s="96">
        <v>44627</v>
      </c>
      <c r="G1193" s="96">
        <v>44717</v>
      </c>
      <c r="H1193" s="58" t="str">
        <f t="shared" si="43"/>
        <v>EVEN</v>
      </c>
      <c r="I1193" s="106">
        <v>0</v>
      </c>
      <c r="J1193" s="32" t="str">
        <f>UPPER(TEXT(F1193,"mmm")) &amp; " - " &amp; UPPER(TEXT(G1193,"mmm"))</f>
        <v>MAR - JUN</v>
      </c>
      <c r="K1193" s="32" t="s">
        <v>1736</v>
      </c>
      <c r="L1193" s="99" t="s">
        <v>3895</v>
      </c>
      <c r="M1193" s="32" t="str">
        <f t="shared" si="42"/>
        <v>No</v>
      </c>
      <c r="N1193" s="32">
        <f>G1193 - F1193</f>
        <v>90</v>
      </c>
      <c r="O1193">
        <v>1</v>
      </c>
    </row>
    <row r="1194" spans="1:15" x14ac:dyDescent="0.3">
      <c r="A1194" s="53" t="s">
        <v>2270</v>
      </c>
      <c r="B1194" s="61" t="s">
        <v>66</v>
      </c>
      <c r="C1194" s="61" t="s">
        <v>12</v>
      </c>
      <c r="D1194" s="53" t="s">
        <v>2272</v>
      </c>
      <c r="E1194" s="53" t="s">
        <v>2273</v>
      </c>
      <c r="F1194" s="96">
        <v>44725</v>
      </c>
      <c r="G1194" s="96">
        <v>44778</v>
      </c>
      <c r="H1194" s="58" t="str">
        <f t="shared" si="43"/>
        <v>EVEN</v>
      </c>
      <c r="I1194" s="106">
        <v>66667</v>
      </c>
      <c r="J1194" s="32" t="str">
        <f>UPPER(TEXT(F1194,"mmm")) &amp; " - " &amp; UPPER(TEXT(G1194,"mmm"))</f>
        <v>JUN - AUG</v>
      </c>
      <c r="K1194" s="32" t="s">
        <v>1736</v>
      </c>
      <c r="L1194" s="99" t="s">
        <v>3895</v>
      </c>
      <c r="M1194" s="32" t="str">
        <f t="shared" si="42"/>
        <v>Yes</v>
      </c>
      <c r="N1194" s="32">
        <f>G1194 - F1194</f>
        <v>53</v>
      </c>
      <c r="O1194">
        <v>1</v>
      </c>
    </row>
    <row r="1195" spans="1:15" x14ac:dyDescent="0.3">
      <c r="A1195" s="53" t="s">
        <v>2274</v>
      </c>
      <c r="B1195" s="61" t="s">
        <v>66</v>
      </c>
      <c r="C1195" s="61" t="s">
        <v>12</v>
      </c>
      <c r="D1195" s="53" t="s">
        <v>2275</v>
      </c>
      <c r="E1195" s="53" t="s">
        <v>2276</v>
      </c>
      <c r="F1195" s="96">
        <v>44713</v>
      </c>
      <c r="G1195" s="96">
        <v>44743</v>
      </c>
      <c r="H1195" s="58" t="str">
        <f t="shared" si="43"/>
        <v>EVEN</v>
      </c>
      <c r="I1195" s="106">
        <v>0</v>
      </c>
      <c r="J1195" s="32" t="str">
        <f>UPPER(TEXT(F1195,"mmm")) &amp; " - " &amp; UPPER(TEXT(G1195,"mmm"))</f>
        <v>JUN - JUL</v>
      </c>
      <c r="K1195" s="32" t="s">
        <v>1736</v>
      </c>
      <c r="L1195" s="99" t="s">
        <v>3895</v>
      </c>
      <c r="M1195" s="32" t="str">
        <f t="shared" si="42"/>
        <v>No</v>
      </c>
      <c r="N1195" s="32">
        <f>G1195 - F1195</f>
        <v>30</v>
      </c>
      <c r="O1195">
        <v>1</v>
      </c>
    </row>
    <row r="1196" spans="1:15" x14ac:dyDescent="0.3">
      <c r="A1196" s="53" t="s">
        <v>2277</v>
      </c>
      <c r="B1196" s="61" t="s">
        <v>66</v>
      </c>
      <c r="C1196" s="61" t="s">
        <v>12</v>
      </c>
      <c r="D1196" s="53" t="s">
        <v>2278</v>
      </c>
      <c r="E1196" s="53" t="s">
        <v>2279</v>
      </c>
      <c r="F1196" s="96">
        <v>44585</v>
      </c>
      <c r="G1196" s="96">
        <v>44666</v>
      </c>
      <c r="H1196" s="58" t="str">
        <f t="shared" si="43"/>
        <v>EVEN</v>
      </c>
      <c r="I1196" s="106">
        <v>0</v>
      </c>
      <c r="J1196" s="32" t="str">
        <f>UPPER(TEXT(F1196,"mmm")) &amp; " - " &amp; UPPER(TEXT(G1196,"mmm"))</f>
        <v>JAN - APR</v>
      </c>
      <c r="K1196" s="32" t="s">
        <v>1736</v>
      </c>
      <c r="L1196" s="61" t="s">
        <v>895</v>
      </c>
      <c r="M1196" s="32" t="str">
        <f t="shared" si="42"/>
        <v>No</v>
      </c>
      <c r="N1196" s="32">
        <f>G1196 - F1196</f>
        <v>81</v>
      </c>
      <c r="O1196">
        <v>1</v>
      </c>
    </row>
    <row r="1197" spans="1:15" x14ac:dyDescent="0.3">
      <c r="A1197" s="53" t="s">
        <v>2280</v>
      </c>
      <c r="B1197" s="61" t="s">
        <v>66</v>
      </c>
      <c r="C1197" s="61" t="s">
        <v>12</v>
      </c>
      <c r="D1197" s="53" t="s">
        <v>2281</v>
      </c>
      <c r="E1197" s="53" t="s">
        <v>998</v>
      </c>
      <c r="F1197" s="96">
        <v>44378</v>
      </c>
      <c r="G1197" s="96">
        <v>44470</v>
      </c>
      <c r="H1197" s="58" t="str">
        <f t="shared" si="43"/>
        <v>EVEN</v>
      </c>
      <c r="I1197" s="106">
        <v>0</v>
      </c>
      <c r="J1197" s="32" t="str">
        <f>UPPER(TEXT(F1197,"mmm")) &amp; " - " &amp; UPPER(TEXT(G1197,"mmm"))</f>
        <v>JUL - OCT</v>
      </c>
      <c r="K1197" s="32" t="s">
        <v>1736</v>
      </c>
      <c r="L1197" s="99" t="s">
        <v>3895</v>
      </c>
      <c r="M1197" s="32" t="str">
        <f t="shared" si="42"/>
        <v>No</v>
      </c>
      <c r="N1197" s="32">
        <f>G1197 - F1197</f>
        <v>92</v>
      </c>
      <c r="O1197">
        <v>1</v>
      </c>
    </row>
    <row r="1198" spans="1:15" x14ac:dyDescent="0.3">
      <c r="A1198" s="53" t="s">
        <v>2280</v>
      </c>
      <c r="B1198" s="61" t="s">
        <v>66</v>
      </c>
      <c r="C1198" s="61" t="s">
        <v>12</v>
      </c>
      <c r="D1198" s="53" t="s">
        <v>2282</v>
      </c>
      <c r="E1198" s="53" t="s">
        <v>2283</v>
      </c>
      <c r="F1198" s="96">
        <v>44711</v>
      </c>
      <c r="G1198" s="96">
        <v>44765</v>
      </c>
      <c r="H1198" s="58" t="str">
        <f t="shared" si="43"/>
        <v>EVEN</v>
      </c>
      <c r="I1198" s="106">
        <v>25000</v>
      </c>
      <c r="J1198" s="32" t="str">
        <f>UPPER(TEXT(F1198,"mmm")) &amp; " - " &amp; UPPER(TEXT(G1198,"mmm"))</f>
        <v>MAY - JUL</v>
      </c>
      <c r="K1198" s="32" t="s">
        <v>1736</v>
      </c>
      <c r="L1198" s="99" t="s">
        <v>3895</v>
      </c>
      <c r="M1198" s="32" t="str">
        <f t="shared" si="42"/>
        <v>Yes</v>
      </c>
      <c r="N1198" s="32">
        <f>G1198 - F1198</f>
        <v>54</v>
      </c>
      <c r="O1198">
        <v>1</v>
      </c>
    </row>
    <row r="1199" spans="1:15" x14ac:dyDescent="0.3">
      <c r="A1199" s="53" t="s">
        <v>1885</v>
      </c>
      <c r="B1199" s="61" t="s">
        <v>66</v>
      </c>
      <c r="C1199" s="61" t="s">
        <v>12</v>
      </c>
      <c r="D1199" s="53" t="s">
        <v>1925</v>
      </c>
      <c r="E1199" s="53" t="s">
        <v>1201</v>
      </c>
      <c r="F1199" s="96">
        <v>44739</v>
      </c>
      <c r="G1199" s="96">
        <v>44861</v>
      </c>
      <c r="H1199" s="58" t="str">
        <f t="shared" si="43"/>
        <v>EVEN</v>
      </c>
      <c r="I1199" s="106">
        <v>4000</v>
      </c>
      <c r="J1199" s="32" t="str">
        <f>UPPER(TEXT(F1199,"mmm")) &amp; " - " &amp; UPPER(TEXT(G1199,"mmm"))</f>
        <v>JUN - OCT</v>
      </c>
      <c r="K1199" s="32" t="s">
        <v>1736</v>
      </c>
      <c r="L1199" s="99" t="s">
        <v>3895</v>
      </c>
      <c r="M1199" s="32" t="str">
        <f t="shared" si="42"/>
        <v>Yes</v>
      </c>
      <c r="N1199" s="32">
        <f>G1199 - F1199</f>
        <v>122</v>
      </c>
      <c r="O1199">
        <v>1</v>
      </c>
    </row>
    <row r="1200" spans="1:15" x14ac:dyDescent="0.3">
      <c r="A1200" s="53" t="s">
        <v>870</v>
      </c>
      <c r="B1200" s="61" t="s">
        <v>66</v>
      </c>
      <c r="C1200" s="61" t="s">
        <v>12</v>
      </c>
      <c r="D1200" s="53" t="s">
        <v>2284</v>
      </c>
      <c r="E1200" s="53" t="s">
        <v>2285</v>
      </c>
      <c r="F1200" s="96">
        <v>44718</v>
      </c>
      <c r="G1200" s="96">
        <v>44771</v>
      </c>
      <c r="H1200" s="58" t="str">
        <f t="shared" si="43"/>
        <v>EVEN</v>
      </c>
      <c r="I1200" s="106">
        <v>50000</v>
      </c>
      <c r="J1200" s="32" t="str">
        <f>UPPER(TEXT(F1200,"mmm")) &amp; " - " &amp; UPPER(TEXT(G1200,"mmm"))</f>
        <v>JUN - JUL</v>
      </c>
      <c r="K1200" s="32" t="s">
        <v>1736</v>
      </c>
      <c r="L1200" s="99" t="s">
        <v>3895</v>
      </c>
      <c r="M1200" s="32" t="str">
        <f t="shared" si="42"/>
        <v>Yes</v>
      </c>
      <c r="N1200" s="32">
        <f>G1200 - F1200</f>
        <v>53</v>
      </c>
      <c r="O1200">
        <v>1</v>
      </c>
    </row>
    <row r="1201" spans="1:15" x14ac:dyDescent="0.3">
      <c r="A1201" s="53" t="s">
        <v>912</v>
      </c>
      <c r="B1201" s="61" t="s">
        <v>66</v>
      </c>
      <c r="C1201" s="61" t="s">
        <v>12</v>
      </c>
      <c r="D1201" s="53" t="s">
        <v>2286</v>
      </c>
      <c r="E1201" s="53" t="s">
        <v>2287</v>
      </c>
      <c r="F1201" s="96">
        <v>44718</v>
      </c>
      <c r="G1201" s="96">
        <v>44771</v>
      </c>
      <c r="H1201" s="58" t="str">
        <f t="shared" si="43"/>
        <v>EVEN</v>
      </c>
      <c r="I1201" s="106">
        <v>50000</v>
      </c>
      <c r="J1201" s="32" t="str">
        <f>UPPER(TEXT(F1201,"mmm")) &amp; " - " &amp; UPPER(TEXT(G1201,"mmm"))</f>
        <v>JUN - JUL</v>
      </c>
      <c r="K1201" s="32" t="s">
        <v>1736</v>
      </c>
      <c r="L1201" s="99" t="s">
        <v>3895</v>
      </c>
      <c r="M1201" s="32" t="str">
        <f t="shared" si="42"/>
        <v>Yes</v>
      </c>
      <c r="N1201" s="32">
        <f>G1201 - F1201</f>
        <v>53</v>
      </c>
      <c r="O1201">
        <v>1</v>
      </c>
    </row>
    <row r="1202" spans="1:15" x14ac:dyDescent="0.3">
      <c r="A1202" s="53" t="s">
        <v>1414</v>
      </c>
      <c r="B1202" s="61" t="s">
        <v>66</v>
      </c>
      <c r="C1202" s="61" t="s">
        <v>12</v>
      </c>
      <c r="D1202" s="53" t="s">
        <v>598</v>
      </c>
      <c r="E1202" s="53" t="s">
        <v>2288</v>
      </c>
      <c r="F1202" s="96">
        <v>44713</v>
      </c>
      <c r="G1202" s="96">
        <v>44783</v>
      </c>
      <c r="H1202" s="58" t="str">
        <f t="shared" si="43"/>
        <v>EVEN</v>
      </c>
      <c r="I1202" s="106">
        <v>0</v>
      </c>
      <c r="J1202" s="32" t="str">
        <f>UPPER(TEXT(F1202,"mmm")) &amp; " - " &amp; UPPER(TEXT(G1202,"mmm"))</f>
        <v>JUN - AUG</v>
      </c>
      <c r="K1202" s="32" t="s">
        <v>1736</v>
      </c>
      <c r="L1202" s="61" t="s">
        <v>895</v>
      </c>
      <c r="M1202" s="32" t="str">
        <f t="shared" si="42"/>
        <v>No</v>
      </c>
      <c r="N1202" s="32">
        <f>G1202 - F1202</f>
        <v>70</v>
      </c>
      <c r="O1202">
        <v>1</v>
      </c>
    </row>
    <row r="1203" spans="1:15" x14ac:dyDescent="0.3">
      <c r="A1203" s="53" t="s">
        <v>1587</v>
      </c>
      <c r="B1203" s="61" t="s">
        <v>66</v>
      </c>
      <c r="C1203" s="61" t="s">
        <v>12</v>
      </c>
      <c r="D1203" s="53" t="s">
        <v>2289</v>
      </c>
      <c r="E1203" s="53" t="s">
        <v>2290</v>
      </c>
      <c r="F1203" s="96">
        <v>44726</v>
      </c>
      <c r="G1203" s="96">
        <v>44757</v>
      </c>
      <c r="H1203" s="58" t="str">
        <f t="shared" si="43"/>
        <v>EVEN</v>
      </c>
      <c r="I1203" s="106">
        <v>0</v>
      </c>
      <c r="J1203" s="32" t="str">
        <f>UPPER(TEXT(F1203,"mmm")) &amp; " - " &amp; UPPER(TEXT(G1203,"mmm"))</f>
        <v>JUN - JUL</v>
      </c>
      <c r="K1203" s="32" t="s">
        <v>1736</v>
      </c>
      <c r="L1203" s="99" t="s">
        <v>3895</v>
      </c>
      <c r="M1203" s="32" t="str">
        <f t="shared" si="42"/>
        <v>No</v>
      </c>
      <c r="N1203" s="32">
        <f>G1203 - F1203</f>
        <v>31</v>
      </c>
      <c r="O1203">
        <v>1</v>
      </c>
    </row>
    <row r="1204" spans="1:15" x14ac:dyDescent="0.3">
      <c r="A1204" s="53" t="s">
        <v>1614</v>
      </c>
      <c r="B1204" s="61" t="s">
        <v>66</v>
      </c>
      <c r="C1204" s="61" t="s">
        <v>12</v>
      </c>
      <c r="D1204" s="53" t="s">
        <v>2291</v>
      </c>
      <c r="E1204" s="53" t="s">
        <v>2292</v>
      </c>
      <c r="F1204" s="96">
        <v>44720</v>
      </c>
      <c r="G1204" s="96">
        <v>44781</v>
      </c>
      <c r="H1204" s="58" t="str">
        <f t="shared" si="43"/>
        <v>EVEN</v>
      </c>
      <c r="I1204" s="106">
        <v>0</v>
      </c>
      <c r="J1204" s="32" t="str">
        <f>UPPER(TEXT(F1204,"mmm")) &amp; " - " &amp; UPPER(TEXT(G1204,"mmm"))</f>
        <v>JUN - AUG</v>
      </c>
      <c r="K1204" s="32" t="s">
        <v>1736</v>
      </c>
      <c r="L1204" s="99" t="s">
        <v>3895</v>
      </c>
      <c r="M1204" s="32" t="str">
        <f t="shared" si="42"/>
        <v>No</v>
      </c>
      <c r="N1204" s="32">
        <f>G1204 - F1204</f>
        <v>61</v>
      </c>
      <c r="O1204">
        <v>1</v>
      </c>
    </row>
    <row r="1205" spans="1:15" x14ac:dyDescent="0.3">
      <c r="A1205" s="53" t="s">
        <v>2293</v>
      </c>
      <c r="B1205" s="61" t="s">
        <v>11</v>
      </c>
      <c r="C1205" s="61" t="s">
        <v>12</v>
      </c>
      <c r="D1205" s="53" t="s">
        <v>2294</v>
      </c>
      <c r="E1205" s="53" t="s">
        <v>2295</v>
      </c>
      <c r="F1205" s="96">
        <v>44524</v>
      </c>
      <c r="G1205" s="96">
        <v>44686</v>
      </c>
      <c r="H1205" s="58" t="str">
        <f t="shared" si="43"/>
        <v>ODD</v>
      </c>
      <c r="I1205" s="106">
        <v>2500</v>
      </c>
      <c r="J1205" s="32" t="str">
        <f>UPPER(TEXT(F1205,"mmm")) &amp; " - " &amp; UPPER(TEXT(G1205,"mmm"))</f>
        <v>NOV - MAY</v>
      </c>
      <c r="K1205" s="32" t="s">
        <v>1736</v>
      </c>
      <c r="L1205" s="99" t="s">
        <v>3895</v>
      </c>
      <c r="M1205" s="32" t="str">
        <f t="shared" si="42"/>
        <v>Yes</v>
      </c>
      <c r="N1205" s="32">
        <f>G1205 - F1205</f>
        <v>162</v>
      </c>
      <c r="O1205">
        <v>1</v>
      </c>
    </row>
    <row r="1206" spans="1:15" x14ac:dyDescent="0.3">
      <c r="A1206" s="53" t="s">
        <v>2293</v>
      </c>
      <c r="B1206" s="61" t="s">
        <v>11</v>
      </c>
      <c r="C1206" s="61" t="s">
        <v>12</v>
      </c>
      <c r="D1206" s="53" t="s">
        <v>2296</v>
      </c>
      <c r="E1206" s="53" t="s">
        <v>2297</v>
      </c>
      <c r="F1206" s="96">
        <v>44694</v>
      </c>
      <c r="G1206" s="96">
        <v>44755</v>
      </c>
      <c r="H1206" s="58" t="str">
        <f t="shared" si="43"/>
        <v>EVEN</v>
      </c>
      <c r="I1206" s="106">
        <v>0</v>
      </c>
      <c r="J1206" s="32" t="str">
        <f>UPPER(TEXT(F1206,"mmm")) &amp; " - " &amp; UPPER(TEXT(G1206,"mmm"))</f>
        <v>MAY - JUL</v>
      </c>
      <c r="K1206" s="32" t="s">
        <v>1736</v>
      </c>
      <c r="L1206" s="99" t="s">
        <v>3895</v>
      </c>
      <c r="M1206" s="32" t="str">
        <f t="shared" si="42"/>
        <v>No</v>
      </c>
      <c r="N1206" s="32">
        <f>G1206 - F1206</f>
        <v>61</v>
      </c>
      <c r="O1206">
        <v>1</v>
      </c>
    </row>
    <row r="1207" spans="1:15" x14ac:dyDescent="0.3">
      <c r="A1207" s="53" t="s">
        <v>2298</v>
      </c>
      <c r="B1207" s="61" t="s">
        <v>11</v>
      </c>
      <c r="C1207" s="61" t="s">
        <v>12</v>
      </c>
      <c r="D1207" s="53" t="s">
        <v>2296</v>
      </c>
      <c r="E1207" s="53" t="s">
        <v>2299</v>
      </c>
      <c r="F1207" s="96">
        <v>44694</v>
      </c>
      <c r="G1207" s="96">
        <v>44866</v>
      </c>
      <c r="H1207" s="58" t="str">
        <f t="shared" si="43"/>
        <v>EVEN</v>
      </c>
      <c r="I1207" s="106">
        <v>0</v>
      </c>
      <c r="J1207" s="32" t="str">
        <f>UPPER(TEXT(F1207,"mmm")) &amp; " - " &amp; UPPER(TEXT(G1207,"mmm"))</f>
        <v>MAY - NOV</v>
      </c>
      <c r="K1207" s="32" t="s">
        <v>1736</v>
      </c>
      <c r="L1207" s="99" t="s">
        <v>3895</v>
      </c>
      <c r="M1207" s="32" t="str">
        <f t="shared" si="42"/>
        <v>No</v>
      </c>
      <c r="N1207" s="32">
        <f>G1207 - F1207</f>
        <v>172</v>
      </c>
      <c r="O1207">
        <v>1</v>
      </c>
    </row>
    <row r="1208" spans="1:15" x14ac:dyDescent="0.3">
      <c r="A1208" s="53" t="s">
        <v>2293</v>
      </c>
      <c r="B1208" s="61" t="s">
        <v>11</v>
      </c>
      <c r="C1208" s="61" t="s">
        <v>12</v>
      </c>
      <c r="D1208" s="53" t="s">
        <v>2300</v>
      </c>
      <c r="E1208" s="53" t="s">
        <v>2301</v>
      </c>
      <c r="F1208" s="96">
        <v>44532</v>
      </c>
      <c r="G1208" s="96">
        <v>44900</v>
      </c>
      <c r="H1208" s="58" t="str">
        <f t="shared" si="43"/>
        <v>ODD</v>
      </c>
      <c r="I1208" s="106">
        <v>0</v>
      </c>
      <c r="J1208" s="32" t="str">
        <f>UPPER(TEXT(F1208,"mmm")) &amp; " - " &amp; UPPER(TEXT(G1208,"mmm"))</f>
        <v>DEC - DEC</v>
      </c>
      <c r="K1208" s="32" t="s">
        <v>1736</v>
      </c>
      <c r="L1208" s="61" t="s">
        <v>895</v>
      </c>
      <c r="M1208" s="32" t="str">
        <f t="shared" si="42"/>
        <v>No</v>
      </c>
      <c r="N1208" s="32">
        <f>G1208 - F1208</f>
        <v>368</v>
      </c>
      <c r="O1208">
        <v>1</v>
      </c>
    </row>
    <row r="1209" spans="1:15" x14ac:dyDescent="0.3">
      <c r="A1209" s="53" t="s">
        <v>2302</v>
      </c>
      <c r="B1209" s="61" t="s">
        <v>11</v>
      </c>
      <c r="C1209" s="61" t="s">
        <v>12</v>
      </c>
      <c r="D1209" s="53" t="s">
        <v>2300</v>
      </c>
      <c r="E1209" s="53" t="s">
        <v>2303</v>
      </c>
      <c r="F1209" s="96">
        <v>44531</v>
      </c>
      <c r="G1209" s="96">
        <v>44910</v>
      </c>
      <c r="H1209" s="58" t="str">
        <f t="shared" si="43"/>
        <v>ODD</v>
      </c>
      <c r="I1209" s="106">
        <v>0</v>
      </c>
      <c r="J1209" s="32" t="str">
        <f>UPPER(TEXT(F1209,"mmm")) &amp; " - " &amp; UPPER(TEXT(G1209,"mmm"))</f>
        <v>DEC - DEC</v>
      </c>
      <c r="K1209" s="32" t="s">
        <v>1736</v>
      </c>
      <c r="L1209" s="61" t="s">
        <v>895</v>
      </c>
      <c r="M1209" s="32" t="str">
        <f t="shared" si="42"/>
        <v>No</v>
      </c>
      <c r="N1209" s="32">
        <f>G1209 - F1209</f>
        <v>379</v>
      </c>
      <c r="O1209">
        <v>1</v>
      </c>
    </row>
    <row r="1210" spans="1:15" x14ac:dyDescent="0.3">
      <c r="A1210" s="53" t="s">
        <v>2298</v>
      </c>
      <c r="B1210" s="61" t="s">
        <v>11</v>
      </c>
      <c r="C1210" s="61" t="s">
        <v>12</v>
      </c>
      <c r="D1210" s="53" t="s">
        <v>2300</v>
      </c>
      <c r="E1210" s="53" t="s">
        <v>2304</v>
      </c>
      <c r="F1210" s="96">
        <v>44532</v>
      </c>
      <c r="G1210" s="96">
        <v>44899</v>
      </c>
      <c r="H1210" s="58" t="str">
        <f t="shared" si="43"/>
        <v>ODD</v>
      </c>
      <c r="I1210" s="106">
        <v>0</v>
      </c>
      <c r="J1210" s="32" t="str">
        <f>UPPER(TEXT(F1210,"mmm")) &amp; " - " &amp; UPPER(TEXT(G1210,"mmm"))</f>
        <v>DEC - DEC</v>
      </c>
      <c r="K1210" s="32" t="s">
        <v>1736</v>
      </c>
      <c r="L1210" s="61" t="s">
        <v>895</v>
      </c>
      <c r="M1210" s="32" t="str">
        <f t="shared" si="42"/>
        <v>No</v>
      </c>
      <c r="N1210" s="32">
        <f>G1210 - F1210</f>
        <v>367</v>
      </c>
      <c r="O1210">
        <v>1</v>
      </c>
    </row>
    <row r="1211" spans="1:15" x14ac:dyDescent="0.3">
      <c r="A1211" s="53" t="s">
        <v>2305</v>
      </c>
      <c r="B1211" s="61" t="s">
        <v>78</v>
      </c>
      <c r="C1211" s="61" t="s">
        <v>12</v>
      </c>
      <c r="D1211" s="53" t="s">
        <v>780</v>
      </c>
      <c r="E1211" s="53" t="s">
        <v>2306</v>
      </c>
      <c r="F1211" s="96">
        <v>44568</v>
      </c>
      <c r="G1211" s="96">
        <v>44630</v>
      </c>
      <c r="H1211" s="58" t="str">
        <f t="shared" si="43"/>
        <v>EVEN</v>
      </c>
      <c r="I1211" s="106">
        <v>0</v>
      </c>
      <c r="J1211" s="32" t="str">
        <f>UPPER(TEXT(F1211,"mmm")) &amp; " - " &amp; UPPER(TEXT(G1211,"mmm"))</f>
        <v>JAN - MAR</v>
      </c>
      <c r="K1211" s="32" t="s">
        <v>1736</v>
      </c>
      <c r="L1211" s="99" t="s">
        <v>3895</v>
      </c>
      <c r="M1211" s="32" t="str">
        <f t="shared" si="42"/>
        <v>No</v>
      </c>
      <c r="N1211" s="32">
        <f>G1211 - F1211</f>
        <v>62</v>
      </c>
      <c r="O1211">
        <v>1</v>
      </c>
    </row>
    <row r="1212" spans="1:15" x14ac:dyDescent="0.3">
      <c r="A1212" s="53" t="s">
        <v>2307</v>
      </c>
      <c r="B1212" s="61" t="s">
        <v>78</v>
      </c>
      <c r="C1212" s="61" t="s">
        <v>12</v>
      </c>
      <c r="D1212" s="53" t="s">
        <v>2308</v>
      </c>
      <c r="E1212" s="53" t="s">
        <v>2309</v>
      </c>
      <c r="F1212" s="96">
        <v>44742</v>
      </c>
      <c r="G1212" s="96">
        <v>44777</v>
      </c>
      <c r="H1212" s="58" t="str">
        <f t="shared" si="43"/>
        <v>EVEN</v>
      </c>
      <c r="I1212" s="106">
        <v>0</v>
      </c>
      <c r="J1212" s="32" t="str">
        <f>UPPER(TEXT(F1212,"mmm")) &amp; " - " &amp; UPPER(TEXT(G1212,"mmm"))</f>
        <v>JUN - AUG</v>
      </c>
      <c r="K1212" s="32" t="s">
        <v>1736</v>
      </c>
      <c r="L1212" s="99" t="s">
        <v>3895</v>
      </c>
      <c r="M1212" s="32" t="str">
        <f t="shared" si="42"/>
        <v>No</v>
      </c>
      <c r="N1212" s="32">
        <f>G1212 - F1212</f>
        <v>35</v>
      </c>
      <c r="O1212">
        <v>1</v>
      </c>
    </row>
    <row r="1213" spans="1:15" x14ac:dyDescent="0.3">
      <c r="A1213" s="53" t="s">
        <v>1826</v>
      </c>
      <c r="B1213" s="61" t="s">
        <v>78</v>
      </c>
      <c r="C1213" s="61" t="s">
        <v>12</v>
      </c>
      <c r="D1213" s="53" t="s">
        <v>2310</v>
      </c>
      <c r="E1213" s="53" t="s">
        <v>2311</v>
      </c>
      <c r="F1213" s="96">
        <v>44720</v>
      </c>
      <c r="G1213" s="96">
        <v>44781</v>
      </c>
      <c r="H1213" s="58" t="str">
        <f t="shared" si="43"/>
        <v>EVEN</v>
      </c>
      <c r="I1213" s="106">
        <v>0</v>
      </c>
      <c r="J1213" s="32" t="str">
        <f>UPPER(TEXT(F1213,"mmm")) &amp; " - " &amp; UPPER(TEXT(G1213,"mmm"))</f>
        <v>JUN - AUG</v>
      </c>
      <c r="K1213" s="32" t="s">
        <v>1736</v>
      </c>
      <c r="L1213" s="99" t="s">
        <v>3895</v>
      </c>
      <c r="M1213" s="32" t="str">
        <f t="shared" si="42"/>
        <v>No</v>
      </c>
      <c r="N1213" s="32">
        <f>G1213 - F1213</f>
        <v>61</v>
      </c>
      <c r="O1213">
        <v>1</v>
      </c>
    </row>
    <row r="1214" spans="1:15" x14ac:dyDescent="0.3">
      <c r="A1214" s="53" t="s">
        <v>1996</v>
      </c>
      <c r="B1214" s="61" t="s">
        <v>78</v>
      </c>
      <c r="C1214" s="61" t="s">
        <v>12</v>
      </c>
      <c r="D1214" s="53" t="s">
        <v>2312</v>
      </c>
      <c r="E1214" s="53" t="s">
        <v>1271</v>
      </c>
      <c r="F1214" s="96">
        <v>44713</v>
      </c>
      <c r="G1214" s="96">
        <v>44787</v>
      </c>
      <c r="H1214" s="58" t="str">
        <f t="shared" si="43"/>
        <v>EVEN</v>
      </c>
      <c r="I1214" s="106">
        <v>0</v>
      </c>
      <c r="J1214" s="32" t="str">
        <f>UPPER(TEXT(F1214,"mmm")) &amp; " - " &amp; UPPER(TEXT(G1214,"mmm"))</f>
        <v>JUN - AUG</v>
      </c>
      <c r="K1214" s="32" t="s">
        <v>1736</v>
      </c>
      <c r="L1214" s="99" t="s">
        <v>3895</v>
      </c>
      <c r="M1214" s="32" t="str">
        <f t="shared" si="42"/>
        <v>No</v>
      </c>
      <c r="N1214" s="32">
        <f>G1214 - F1214</f>
        <v>74</v>
      </c>
      <c r="O1214">
        <v>1</v>
      </c>
    </row>
    <row r="1215" spans="1:15" x14ac:dyDescent="0.3">
      <c r="A1215" s="53" t="s">
        <v>2313</v>
      </c>
      <c r="B1215" s="61" t="s">
        <v>78</v>
      </c>
      <c r="C1215" s="61" t="s">
        <v>12</v>
      </c>
      <c r="D1215" s="53" t="s">
        <v>842</v>
      </c>
      <c r="E1215" s="53" t="s">
        <v>2314</v>
      </c>
      <c r="F1215" s="96">
        <v>44396</v>
      </c>
      <c r="G1215" s="96">
        <v>44681</v>
      </c>
      <c r="H1215" s="58" t="str">
        <f t="shared" si="43"/>
        <v>ODD</v>
      </c>
      <c r="I1215" s="106">
        <v>0</v>
      </c>
      <c r="J1215" s="32" t="str">
        <f>UPPER(TEXT(F1215,"mmm")) &amp; " - " &amp; UPPER(TEXT(G1215,"mmm"))</f>
        <v>JUL - APR</v>
      </c>
      <c r="K1215" s="32" t="s">
        <v>1736</v>
      </c>
      <c r="L1215" s="61" t="s">
        <v>895</v>
      </c>
      <c r="M1215" s="32" t="str">
        <f t="shared" si="42"/>
        <v>No</v>
      </c>
      <c r="N1215" s="32">
        <f>G1215 - F1215</f>
        <v>285</v>
      </c>
      <c r="O1215">
        <v>1</v>
      </c>
    </row>
    <row r="1216" spans="1:15" x14ac:dyDescent="0.3">
      <c r="A1216" s="53" t="s">
        <v>2315</v>
      </c>
      <c r="B1216" s="61" t="s">
        <v>78</v>
      </c>
      <c r="C1216" s="61" t="s">
        <v>12</v>
      </c>
      <c r="D1216" s="53" t="s">
        <v>842</v>
      </c>
      <c r="E1216" s="53" t="s">
        <v>1597</v>
      </c>
      <c r="F1216" s="96">
        <v>44396</v>
      </c>
      <c r="G1216" s="96">
        <v>44681</v>
      </c>
      <c r="H1216" s="58" t="str">
        <f t="shared" si="43"/>
        <v>ODD</v>
      </c>
      <c r="I1216" s="106">
        <v>0</v>
      </c>
      <c r="J1216" s="32" t="str">
        <f>UPPER(TEXT(F1216,"mmm")) &amp; " - " &amp; UPPER(TEXT(G1216,"mmm"))</f>
        <v>JUL - APR</v>
      </c>
      <c r="K1216" s="32" t="s">
        <v>1736</v>
      </c>
      <c r="L1216" s="61" t="s">
        <v>895</v>
      </c>
      <c r="M1216" s="32" t="str">
        <f t="shared" si="42"/>
        <v>No</v>
      </c>
      <c r="N1216" s="32">
        <f>G1216 - F1216</f>
        <v>285</v>
      </c>
      <c r="O1216">
        <v>1</v>
      </c>
    </row>
    <row r="1217" spans="1:15" x14ac:dyDescent="0.3">
      <c r="A1217" s="53" t="s">
        <v>2316</v>
      </c>
      <c r="B1217" s="61" t="s">
        <v>78</v>
      </c>
      <c r="C1217" s="61" t="s">
        <v>12</v>
      </c>
      <c r="D1217" s="53" t="s">
        <v>842</v>
      </c>
      <c r="E1217" s="53" t="s">
        <v>2317</v>
      </c>
      <c r="F1217" s="96">
        <v>44396</v>
      </c>
      <c r="G1217" s="96">
        <v>44681</v>
      </c>
      <c r="H1217" s="58" t="str">
        <f t="shared" si="43"/>
        <v>ODD</v>
      </c>
      <c r="I1217" s="106">
        <v>0</v>
      </c>
      <c r="J1217" s="32" t="str">
        <f>UPPER(TEXT(F1217,"mmm")) &amp; " - " &amp; UPPER(TEXT(G1217,"mmm"))</f>
        <v>JUL - APR</v>
      </c>
      <c r="K1217" s="32" t="s">
        <v>1736</v>
      </c>
      <c r="L1217" s="61" t="s">
        <v>895</v>
      </c>
      <c r="M1217" s="32" t="str">
        <f t="shared" si="42"/>
        <v>No</v>
      </c>
      <c r="N1217" s="32">
        <f>G1217 - F1217</f>
        <v>285</v>
      </c>
      <c r="O1217">
        <v>1</v>
      </c>
    </row>
    <row r="1218" spans="1:15" x14ac:dyDescent="0.3">
      <c r="A1218" s="53" t="s">
        <v>2318</v>
      </c>
      <c r="B1218" s="61" t="s">
        <v>78</v>
      </c>
      <c r="C1218" s="61" t="s">
        <v>12</v>
      </c>
      <c r="D1218" s="53" t="s">
        <v>842</v>
      </c>
      <c r="E1218" s="53" t="s">
        <v>2319</v>
      </c>
      <c r="F1218" s="96">
        <v>44396</v>
      </c>
      <c r="G1218" s="96">
        <v>44681</v>
      </c>
      <c r="H1218" s="58" t="str">
        <f t="shared" si="43"/>
        <v>ODD</v>
      </c>
      <c r="I1218" s="106">
        <v>0</v>
      </c>
      <c r="J1218" s="32" t="str">
        <f>UPPER(TEXT(F1218,"mmm")) &amp; " - " &amp; UPPER(TEXT(G1218,"mmm"))</f>
        <v>JUL - APR</v>
      </c>
      <c r="K1218" s="32" t="s">
        <v>1736</v>
      </c>
      <c r="L1218" s="61" t="s">
        <v>895</v>
      </c>
      <c r="M1218" s="32" t="str">
        <f t="shared" ref="M1218:M1281" si="44">IF(I1218 &gt; 0, "Yes", "No")</f>
        <v>No</v>
      </c>
      <c r="N1218" s="32">
        <f>G1218 - F1218</f>
        <v>285</v>
      </c>
      <c r="O1218">
        <v>1</v>
      </c>
    </row>
    <row r="1219" spans="1:15" x14ac:dyDescent="0.3">
      <c r="A1219" s="53" t="s">
        <v>2320</v>
      </c>
      <c r="B1219" s="61" t="s">
        <v>78</v>
      </c>
      <c r="C1219" s="61" t="s">
        <v>12</v>
      </c>
      <c r="D1219" s="53" t="s">
        <v>842</v>
      </c>
      <c r="E1219" s="53" t="s">
        <v>2321</v>
      </c>
      <c r="F1219" s="96">
        <v>44541</v>
      </c>
      <c r="G1219" s="96">
        <v>44624</v>
      </c>
      <c r="H1219" s="58" t="str">
        <f t="shared" si="43"/>
        <v>ODD</v>
      </c>
      <c r="I1219" s="106">
        <v>0</v>
      </c>
      <c r="J1219" s="32" t="str">
        <f>UPPER(TEXT(F1219,"mmm")) &amp; " - " &amp; UPPER(TEXT(G1219,"mmm"))</f>
        <v>DEC - MAR</v>
      </c>
      <c r="K1219" s="32" t="s">
        <v>1736</v>
      </c>
      <c r="L1219" s="61" t="s">
        <v>895</v>
      </c>
      <c r="M1219" s="32" t="str">
        <f t="shared" si="44"/>
        <v>No</v>
      </c>
      <c r="N1219" s="32">
        <f>G1219 - F1219</f>
        <v>83</v>
      </c>
      <c r="O1219">
        <v>1</v>
      </c>
    </row>
    <row r="1220" spans="1:15" x14ac:dyDescent="0.3">
      <c r="A1220" s="53" t="s">
        <v>1665</v>
      </c>
      <c r="B1220" s="61" t="s">
        <v>78</v>
      </c>
      <c r="C1220" s="61" t="s">
        <v>12</v>
      </c>
      <c r="D1220" s="53" t="s">
        <v>842</v>
      </c>
      <c r="E1220" s="53" t="s">
        <v>2322</v>
      </c>
      <c r="F1220" s="96">
        <v>44512</v>
      </c>
      <c r="G1220" s="96">
        <v>44681</v>
      </c>
      <c r="H1220" s="58" t="str">
        <f t="shared" si="43"/>
        <v>ODD</v>
      </c>
      <c r="I1220" s="106">
        <v>0</v>
      </c>
      <c r="J1220" s="32" t="str">
        <f>UPPER(TEXT(F1220,"mmm")) &amp; " - " &amp; UPPER(TEXT(G1220,"mmm"))</f>
        <v>NOV - APR</v>
      </c>
      <c r="K1220" s="32" t="s">
        <v>1736</v>
      </c>
      <c r="L1220" s="61" t="s">
        <v>895</v>
      </c>
      <c r="M1220" s="32" t="str">
        <f t="shared" si="44"/>
        <v>No</v>
      </c>
      <c r="N1220" s="32">
        <f>G1220 - F1220</f>
        <v>169</v>
      </c>
      <c r="O1220">
        <v>1</v>
      </c>
    </row>
    <row r="1221" spans="1:15" x14ac:dyDescent="0.3">
      <c r="A1221" s="53" t="s">
        <v>1350</v>
      </c>
      <c r="B1221" s="61" t="s">
        <v>78</v>
      </c>
      <c r="C1221" s="61" t="s">
        <v>12</v>
      </c>
      <c r="D1221" s="53" t="s">
        <v>842</v>
      </c>
      <c r="E1221" s="53" t="s">
        <v>2323</v>
      </c>
      <c r="F1221" s="96">
        <v>44512</v>
      </c>
      <c r="G1221" s="96">
        <v>44681</v>
      </c>
      <c r="H1221" s="58" t="str">
        <f t="shared" si="43"/>
        <v>ODD</v>
      </c>
      <c r="I1221" s="106">
        <v>0</v>
      </c>
      <c r="J1221" s="32" t="str">
        <f>UPPER(TEXT(F1221,"mmm")) &amp; " - " &amp; UPPER(TEXT(G1221,"mmm"))</f>
        <v>NOV - APR</v>
      </c>
      <c r="K1221" s="32" t="s">
        <v>1736</v>
      </c>
      <c r="L1221" s="61" t="s">
        <v>895</v>
      </c>
      <c r="M1221" s="32" t="str">
        <f t="shared" si="44"/>
        <v>No</v>
      </c>
      <c r="N1221" s="32">
        <f>G1221 - F1221</f>
        <v>169</v>
      </c>
      <c r="O1221">
        <v>1</v>
      </c>
    </row>
    <row r="1222" spans="1:15" x14ac:dyDescent="0.3">
      <c r="A1222" s="53" t="s">
        <v>1265</v>
      </c>
      <c r="B1222" s="61" t="s">
        <v>66</v>
      </c>
      <c r="C1222" s="61" t="s">
        <v>12</v>
      </c>
      <c r="D1222" s="53" t="s">
        <v>2324</v>
      </c>
      <c r="E1222" s="53" t="s">
        <v>2325</v>
      </c>
      <c r="F1222" s="96">
        <v>44713</v>
      </c>
      <c r="G1222" s="96">
        <v>44786</v>
      </c>
      <c r="H1222" s="58" t="str">
        <f t="shared" si="43"/>
        <v>EVEN</v>
      </c>
      <c r="I1222" s="106">
        <v>0</v>
      </c>
      <c r="J1222" s="32" t="str">
        <f>UPPER(TEXT(F1222,"mmm")) &amp; " - " &amp; UPPER(TEXT(G1222,"mmm"))</f>
        <v>JUN - AUG</v>
      </c>
      <c r="K1222" s="32" t="s">
        <v>1736</v>
      </c>
      <c r="L1222" s="99" t="s">
        <v>3895</v>
      </c>
      <c r="M1222" s="32" t="str">
        <f t="shared" si="44"/>
        <v>No</v>
      </c>
      <c r="N1222" s="32">
        <f>G1222 - F1222</f>
        <v>73</v>
      </c>
      <c r="O1222">
        <v>1</v>
      </c>
    </row>
    <row r="1223" spans="1:15" x14ac:dyDescent="0.3">
      <c r="A1223" s="53" t="s">
        <v>898</v>
      </c>
      <c r="B1223" s="61" t="s">
        <v>66</v>
      </c>
      <c r="C1223" s="61" t="s">
        <v>12</v>
      </c>
      <c r="D1223" s="53" t="s">
        <v>2326</v>
      </c>
      <c r="E1223" s="53" t="s">
        <v>2327</v>
      </c>
      <c r="F1223" s="96">
        <v>44713</v>
      </c>
      <c r="G1223" s="96">
        <v>44764</v>
      </c>
      <c r="H1223" s="58" t="str">
        <f t="shared" si="43"/>
        <v>EVEN</v>
      </c>
      <c r="I1223" s="106">
        <v>30000</v>
      </c>
      <c r="J1223" s="32" t="str">
        <f>UPPER(TEXT(F1223,"mmm")) &amp; " - " &amp; UPPER(TEXT(G1223,"mmm"))</f>
        <v>JUN - JUL</v>
      </c>
      <c r="K1223" s="32" t="s">
        <v>1736</v>
      </c>
      <c r="L1223" s="99" t="s">
        <v>3895</v>
      </c>
      <c r="M1223" s="32" t="str">
        <f t="shared" si="44"/>
        <v>Yes</v>
      </c>
      <c r="N1223" s="32">
        <f>G1223 - F1223</f>
        <v>51</v>
      </c>
      <c r="O1223">
        <v>1</v>
      </c>
    </row>
    <row r="1224" spans="1:15" x14ac:dyDescent="0.3">
      <c r="A1224" s="53" t="s">
        <v>1952</v>
      </c>
      <c r="B1224" s="61" t="s">
        <v>66</v>
      </c>
      <c r="C1224" s="61" t="s">
        <v>12</v>
      </c>
      <c r="D1224" s="53" t="s">
        <v>2328</v>
      </c>
      <c r="E1224" s="53" t="s">
        <v>1413</v>
      </c>
      <c r="F1224" s="96">
        <v>44713</v>
      </c>
      <c r="G1224" s="96">
        <v>44804</v>
      </c>
      <c r="H1224" s="58" t="str">
        <f t="shared" si="43"/>
        <v>EVEN</v>
      </c>
      <c r="I1224" s="106">
        <v>10000</v>
      </c>
      <c r="J1224" s="32" t="str">
        <f>UPPER(TEXT(F1224,"mmm")) &amp; " - " &amp; UPPER(TEXT(G1224,"mmm"))</f>
        <v>JUN - AUG</v>
      </c>
      <c r="K1224" s="32" t="s">
        <v>1736</v>
      </c>
      <c r="L1224" s="99" t="s">
        <v>3895</v>
      </c>
      <c r="M1224" s="32" t="str">
        <f t="shared" si="44"/>
        <v>Yes</v>
      </c>
      <c r="N1224" s="32">
        <f>G1224 - F1224</f>
        <v>91</v>
      </c>
      <c r="O1224">
        <v>1</v>
      </c>
    </row>
    <row r="1225" spans="1:15" x14ac:dyDescent="0.3">
      <c r="A1225" s="53" t="s">
        <v>2329</v>
      </c>
      <c r="B1225" s="61" t="s">
        <v>66</v>
      </c>
      <c r="C1225" s="61" t="s">
        <v>12</v>
      </c>
      <c r="D1225" s="53" t="s">
        <v>2330</v>
      </c>
      <c r="E1225" s="53" t="s">
        <v>2331</v>
      </c>
      <c r="F1225" s="96">
        <v>44711</v>
      </c>
      <c r="G1225" s="96">
        <v>44764</v>
      </c>
      <c r="H1225" s="58" t="str">
        <f t="shared" si="43"/>
        <v>EVEN</v>
      </c>
      <c r="I1225" s="106">
        <v>25000</v>
      </c>
      <c r="J1225" s="32" t="str">
        <f>UPPER(TEXT(F1225,"mmm")) &amp; " - " &amp; UPPER(TEXT(G1225,"mmm"))</f>
        <v>MAY - JUL</v>
      </c>
      <c r="K1225" s="32" t="s">
        <v>1736</v>
      </c>
      <c r="L1225" s="99" t="s">
        <v>3895</v>
      </c>
      <c r="M1225" s="32" t="str">
        <f t="shared" si="44"/>
        <v>Yes</v>
      </c>
      <c r="N1225" s="32">
        <f>G1225 - F1225</f>
        <v>53</v>
      </c>
      <c r="O1225">
        <v>1</v>
      </c>
    </row>
    <row r="1226" spans="1:15" x14ac:dyDescent="0.3">
      <c r="A1226" s="53" t="s">
        <v>2332</v>
      </c>
      <c r="B1226" s="61" t="s">
        <v>11</v>
      </c>
      <c r="C1226" s="61" t="s">
        <v>12</v>
      </c>
      <c r="D1226" s="53" t="s">
        <v>2300</v>
      </c>
      <c r="E1226" s="53" t="s">
        <v>2333</v>
      </c>
      <c r="F1226" s="96">
        <v>44515</v>
      </c>
      <c r="G1226" s="96">
        <v>44849</v>
      </c>
      <c r="H1226" s="58" t="str">
        <f t="shared" si="43"/>
        <v>ODD</v>
      </c>
      <c r="I1226" s="106">
        <v>0</v>
      </c>
      <c r="J1226" s="32" t="str">
        <f>UPPER(TEXT(F1226,"mmm")) &amp; " - " &amp; UPPER(TEXT(G1226,"mmm"))</f>
        <v>NOV - OCT</v>
      </c>
      <c r="K1226" s="32" t="s">
        <v>1736</v>
      </c>
      <c r="L1226" s="61" t="s">
        <v>895</v>
      </c>
      <c r="M1226" s="32" t="str">
        <f t="shared" si="44"/>
        <v>No</v>
      </c>
      <c r="N1226" s="32">
        <f>G1226 - F1226</f>
        <v>334</v>
      </c>
      <c r="O1226">
        <v>1</v>
      </c>
    </row>
    <row r="1227" spans="1:15" x14ac:dyDescent="0.3">
      <c r="A1227" s="53" t="s">
        <v>2334</v>
      </c>
      <c r="B1227" s="61" t="s">
        <v>78</v>
      </c>
      <c r="C1227" s="61" t="s">
        <v>12</v>
      </c>
      <c r="D1227" s="53" t="s">
        <v>2335</v>
      </c>
      <c r="E1227" s="53" t="s">
        <v>2336</v>
      </c>
      <c r="F1227" s="96">
        <v>44726</v>
      </c>
      <c r="G1227" s="96">
        <v>44787</v>
      </c>
      <c r="H1227" s="58" t="str">
        <f t="shared" si="43"/>
        <v>EVEN</v>
      </c>
      <c r="I1227" s="106">
        <v>10000</v>
      </c>
      <c r="J1227" s="32" t="str">
        <f>UPPER(TEXT(F1227,"mmm")) &amp; " - " &amp; UPPER(TEXT(G1227,"mmm"))</f>
        <v>JUN - AUG</v>
      </c>
      <c r="K1227" s="32" t="s">
        <v>1736</v>
      </c>
      <c r="L1227" s="99" t="s">
        <v>3895</v>
      </c>
      <c r="M1227" s="32" t="str">
        <f t="shared" si="44"/>
        <v>Yes</v>
      </c>
      <c r="N1227" s="32">
        <f>G1227 - F1227</f>
        <v>61</v>
      </c>
      <c r="O1227">
        <v>1</v>
      </c>
    </row>
    <row r="1228" spans="1:15" x14ac:dyDescent="0.3">
      <c r="A1228" s="53" t="s">
        <v>2337</v>
      </c>
      <c r="B1228" s="61" t="s">
        <v>78</v>
      </c>
      <c r="C1228" s="61" t="s">
        <v>12</v>
      </c>
      <c r="D1228" s="53" t="s">
        <v>842</v>
      </c>
      <c r="E1228" s="53" t="s">
        <v>2338</v>
      </c>
      <c r="F1228" s="96">
        <v>44541</v>
      </c>
      <c r="G1228" s="96">
        <v>44624</v>
      </c>
      <c r="H1228" s="58" t="str">
        <f t="shared" si="43"/>
        <v>ODD</v>
      </c>
      <c r="I1228" s="106">
        <v>0</v>
      </c>
      <c r="J1228" s="32" t="str">
        <f>UPPER(TEXT(F1228,"mmm")) &amp; " - " &amp; UPPER(TEXT(G1228,"mmm"))</f>
        <v>DEC - MAR</v>
      </c>
      <c r="K1228" s="32" t="s">
        <v>1736</v>
      </c>
      <c r="L1228" s="61" t="s">
        <v>895</v>
      </c>
      <c r="M1228" s="32" t="str">
        <f t="shared" si="44"/>
        <v>No</v>
      </c>
      <c r="N1228" s="32">
        <f>G1228 - F1228</f>
        <v>83</v>
      </c>
      <c r="O1228">
        <v>1</v>
      </c>
    </row>
    <row r="1229" spans="1:15" x14ac:dyDescent="0.3">
      <c r="A1229" s="53" t="s">
        <v>867</v>
      </c>
      <c r="B1229" s="61" t="s">
        <v>66</v>
      </c>
      <c r="C1229" s="61" t="s">
        <v>12</v>
      </c>
      <c r="D1229" s="53" t="s">
        <v>2339</v>
      </c>
      <c r="E1229" s="53" t="s">
        <v>2262</v>
      </c>
      <c r="F1229" s="96">
        <v>44713</v>
      </c>
      <c r="G1229" s="96">
        <v>44772</v>
      </c>
      <c r="H1229" s="58" t="str">
        <f t="shared" si="43"/>
        <v>EVEN</v>
      </c>
      <c r="I1229" s="106">
        <v>0</v>
      </c>
      <c r="J1229" s="32" t="str">
        <f>UPPER(TEXT(F1229,"mmm")) &amp; " - " &amp; UPPER(TEXT(G1229,"mmm"))</f>
        <v>JUN - JUL</v>
      </c>
      <c r="K1229" s="32" t="s">
        <v>1736</v>
      </c>
      <c r="L1229" s="99" t="s">
        <v>3895</v>
      </c>
      <c r="M1229" s="32" t="str">
        <f t="shared" si="44"/>
        <v>No</v>
      </c>
      <c r="N1229" s="32">
        <f>G1229 - F1229</f>
        <v>59</v>
      </c>
      <c r="O1229">
        <v>1</v>
      </c>
    </row>
    <row r="1230" spans="1:15" x14ac:dyDescent="0.3">
      <c r="A1230" s="53" t="s">
        <v>1341</v>
      </c>
      <c r="B1230" s="61" t="s">
        <v>66</v>
      </c>
      <c r="C1230" s="61" t="s">
        <v>12</v>
      </c>
      <c r="D1230" s="53" t="s">
        <v>2124</v>
      </c>
      <c r="E1230" s="53" t="s">
        <v>2340</v>
      </c>
      <c r="F1230" s="96">
        <v>44378</v>
      </c>
      <c r="G1230" s="96">
        <v>44742</v>
      </c>
      <c r="H1230" s="58" t="str">
        <f t="shared" si="43"/>
        <v>EVEN</v>
      </c>
      <c r="I1230" s="106">
        <v>0</v>
      </c>
      <c r="J1230" s="32" t="str">
        <f>UPPER(TEXT(F1230,"mmm")) &amp; " - " &amp; UPPER(TEXT(G1230,"mmm"))</f>
        <v>JUL - JUN</v>
      </c>
      <c r="K1230" s="32" t="s">
        <v>1736</v>
      </c>
      <c r="L1230" s="61" t="s">
        <v>895</v>
      </c>
      <c r="M1230" s="32" t="str">
        <f t="shared" si="44"/>
        <v>No</v>
      </c>
      <c r="N1230" s="32">
        <f>G1230 - F1230</f>
        <v>364</v>
      </c>
      <c r="O1230">
        <v>1</v>
      </c>
    </row>
    <row r="1231" spans="1:15" x14ac:dyDescent="0.3">
      <c r="A1231" s="53" t="s">
        <v>250</v>
      </c>
      <c r="B1231" s="61" t="s">
        <v>66</v>
      </c>
      <c r="C1231" s="61" t="s">
        <v>12</v>
      </c>
      <c r="D1231" s="53" t="s">
        <v>2341</v>
      </c>
      <c r="E1231" s="53" t="s">
        <v>2342</v>
      </c>
      <c r="F1231" s="96">
        <v>44718</v>
      </c>
      <c r="G1231" s="96">
        <v>44771</v>
      </c>
      <c r="H1231" s="58" t="str">
        <f t="shared" si="43"/>
        <v>EVEN</v>
      </c>
      <c r="I1231" s="106">
        <v>50000</v>
      </c>
      <c r="J1231" s="32" t="str">
        <f>UPPER(TEXT(F1231,"mmm")) &amp; " - " &amp; UPPER(TEXT(G1231,"mmm"))</f>
        <v>JUN - JUL</v>
      </c>
      <c r="K1231" s="32" t="s">
        <v>1736</v>
      </c>
      <c r="L1231" s="99" t="s">
        <v>3895</v>
      </c>
      <c r="M1231" s="32" t="str">
        <f t="shared" si="44"/>
        <v>Yes</v>
      </c>
      <c r="N1231" s="32">
        <f>G1231 - F1231</f>
        <v>53</v>
      </c>
      <c r="O1231">
        <v>1</v>
      </c>
    </row>
    <row r="1232" spans="1:15" x14ac:dyDescent="0.3">
      <c r="A1232" s="53" t="s">
        <v>1717</v>
      </c>
      <c r="B1232" s="61" t="s">
        <v>66</v>
      </c>
      <c r="C1232" s="61" t="s">
        <v>12</v>
      </c>
      <c r="D1232" s="53" t="s">
        <v>2343</v>
      </c>
      <c r="E1232" s="53" t="s">
        <v>2344</v>
      </c>
      <c r="F1232" s="96">
        <v>44479</v>
      </c>
      <c r="G1232" s="96">
        <v>45036</v>
      </c>
      <c r="H1232" s="58" t="str">
        <f t="shared" si="43"/>
        <v>ODD</v>
      </c>
      <c r="I1232" s="106">
        <v>0</v>
      </c>
      <c r="J1232" s="32" t="str">
        <f>UPPER(TEXT(F1232,"mmm")) &amp; " - " &amp; UPPER(TEXT(G1232,"mmm"))</f>
        <v>OCT - APR</v>
      </c>
      <c r="K1232" s="32" t="s">
        <v>1736</v>
      </c>
      <c r="L1232" s="99" t="s">
        <v>3895</v>
      </c>
      <c r="M1232" s="32" t="str">
        <f t="shared" si="44"/>
        <v>No</v>
      </c>
      <c r="N1232" s="32">
        <f>G1232 - F1232</f>
        <v>557</v>
      </c>
      <c r="O1232">
        <v>1</v>
      </c>
    </row>
    <row r="1233" spans="1:15" x14ac:dyDescent="0.3">
      <c r="A1233" s="53" t="s">
        <v>2345</v>
      </c>
      <c r="B1233" s="61" t="s">
        <v>66</v>
      </c>
      <c r="C1233" s="61" t="s">
        <v>12</v>
      </c>
      <c r="D1233" s="53" t="s">
        <v>2160</v>
      </c>
      <c r="E1233" s="53" t="s">
        <v>552</v>
      </c>
      <c r="F1233" s="96">
        <v>44713</v>
      </c>
      <c r="G1233" s="96">
        <v>44790</v>
      </c>
      <c r="H1233" s="58" t="str">
        <f t="shared" si="43"/>
        <v>EVEN</v>
      </c>
      <c r="I1233" s="106">
        <v>0</v>
      </c>
      <c r="J1233" s="32" t="str">
        <f>UPPER(TEXT(F1233,"mmm")) &amp; " - " &amp; UPPER(TEXT(G1233,"mmm"))</f>
        <v>JUN - AUG</v>
      </c>
      <c r="K1233" s="32" t="s">
        <v>1736</v>
      </c>
      <c r="L1233" s="99" t="s">
        <v>3895</v>
      </c>
      <c r="M1233" s="32" t="str">
        <f t="shared" si="44"/>
        <v>No</v>
      </c>
      <c r="N1233" s="32">
        <f>G1233 - F1233</f>
        <v>77</v>
      </c>
      <c r="O1233">
        <v>1</v>
      </c>
    </row>
    <row r="1234" spans="1:15" x14ac:dyDescent="0.3">
      <c r="A1234" s="53" t="s">
        <v>2346</v>
      </c>
      <c r="B1234" s="61" t="s">
        <v>11</v>
      </c>
      <c r="C1234" s="61" t="s">
        <v>12</v>
      </c>
      <c r="D1234" s="53" t="s">
        <v>2347</v>
      </c>
      <c r="E1234" s="53" t="s">
        <v>2348</v>
      </c>
      <c r="F1234" s="96">
        <v>44607</v>
      </c>
      <c r="G1234" s="96">
        <v>44713</v>
      </c>
      <c r="H1234" s="58" t="str">
        <f t="shared" si="43"/>
        <v>EVEN</v>
      </c>
      <c r="I1234" s="106">
        <v>0</v>
      </c>
      <c r="J1234" s="32" t="str">
        <f>UPPER(TEXT(F1234,"mmm")) &amp; " - " &amp; UPPER(TEXT(G1234,"mmm"))</f>
        <v>FEB - JUN</v>
      </c>
      <c r="K1234" s="32" t="s">
        <v>1736</v>
      </c>
      <c r="L1234" s="61" t="s">
        <v>895</v>
      </c>
      <c r="M1234" s="32" t="str">
        <f t="shared" si="44"/>
        <v>No</v>
      </c>
      <c r="N1234" s="32">
        <f>G1234 - F1234</f>
        <v>106</v>
      </c>
      <c r="O1234">
        <v>1</v>
      </c>
    </row>
    <row r="1235" spans="1:15" x14ac:dyDescent="0.3">
      <c r="A1235" s="53" t="s">
        <v>2349</v>
      </c>
      <c r="B1235" s="61" t="s">
        <v>78</v>
      </c>
      <c r="C1235" s="61" t="s">
        <v>12</v>
      </c>
      <c r="D1235" s="53" t="s">
        <v>2350</v>
      </c>
      <c r="E1235" s="53" t="s">
        <v>2351</v>
      </c>
      <c r="F1235" s="96">
        <v>44739</v>
      </c>
      <c r="G1235" s="96">
        <v>45155</v>
      </c>
      <c r="H1235" s="58" t="str">
        <f t="shared" si="43"/>
        <v>EVEN</v>
      </c>
      <c r="I1235" s="106">
        <v>0</v>
      </c>
      <c r="J1235" s="32" t="str">
        <f>UPPER(TEXT(F1235,"mmm")) &amp; " - " &amp; UPPER(TEXT(G1235,"mmm"))</f>
        <v>JUN - AUG</v>
      </c>
      <c r="K1235" s="32" t="s">
        <v>1736</v>
      </c>
      <c r="L1235" s="99" t="s">
        <v>3895</v>
      </c>
      <c r="M1235" s="32" t="str">
        <f t="shared" si="44"/>
        <v>No</v>
      </c>
      <c r="N1235" s="32">
        <f>G1235 - F1235</f>
        <v>416</v>
      </c>
      <c r="O1235">
        <v>1</v>
      </c>
    </row>
    <row r="1236" spans="1:15" x14ac:dyDescent="0.3">
      <c r="A1236" s="53" t="s">
        <v>2305</v>
      </c>
      <c r="B1236" s="61" t="s">
        <v>78</v>
      </c>
      <c r="C1236" s="61" t="s">
        <v>12</v>
      </c>
      <c r="D1236" s="53" t="s">
        <v>408</v>
      </c>
      <c r="E1236" s="53" t="s">
        <v>2352</v>
      </c>
      <c r="F1236" s="96">
        <v>44722</v>
      </c>
      <c r="G1236" s="96">
        <v>44783</v>
      </c>
      <c r="H1236" s="58" t="str">
        <f t="shared" si="43"/>
        <v>EVEN</v>
      </c>
      <c r="I1236" s="106">
        <v>0</v>
      </c>
      <c r="J1236" s="32" t="str">
        <f>UPPER(TEXT(F1236,"mmm")) &amp; " - " &amp; UPPER(TEXT(G1236,"mmm"))</f>
        <v>JUN - AUG</v>
      </c>
      <c r="K1236" s="32" t="s">
        <v>1736</v>
      </c>
      <c r="L1236" s="99" t="s">
        <v>3895</v>
      </c>
      <c r="M1236" s="32" t="str">
        <f t="shared" si="44"/>
        <v>No</v>
      </c>
      <c r="N1236" s="32">
        <f>G1236 - F1236</f>
        <v>61</v>
      </c>
      <c r="O1236">
        <v>1</v>
      </c>
    </row>
    <row r="1237" spans="1:15" x14ac:dyDescent="0.3">
      <c r="A1237" s="53" t="s">
        <v>2353</v>
      </c>
      <c r="B1237" s="61" t="s">
        <v>78</v>
      </c>
      <c r="C1237" s="61" t="s">
        <v>12</v>
      </c>
      <c r="D1237" s="53" t="s">
        <v>2354</v>
      </c>
      <c r="E1237" s="53" t="s">
        <v>552</v>
      </c>
      <c r="F1237" s="96">
        <v>44734</v>
      </c>
      <c r="G1237" s="96">
        <v>45191</v>
      </c>
      <c r="H1237" s="58" t="str">
        <f t="shared" si="43"/>
        <v>EVEN</v>
      </c>
      <c r="I1237" s="106">
        <v>0</v>
      </c>
      <c r="J1237" s="32" t="str">
        <f>UPPER(TEXT(F1237,"mmm")) &amp; " - " &amp; UPPER(TEXT(G1237,"mmm"))</f>
        <v>JUN - SEP</v>
      </c>
      <c r="K1237" s="32" t="s">
        <v>1736</v>
      </c>
      <c r="L1237" s="99" t="s">
        <v>3895</v>
      </c>
      <c r="M1237" s="32" t="str">
        <f t="shared" si="44"/>
        <v>No</v>
      </c>
      <c r="N1237" s="32">
        <f>G1237 - F1237</f>
        <v>457</v>
      </c>
      <c r="O1237">
        <v>1</v>
      </c>
    </row>
    <row r="1238" spans="1:15" x14ac:dyDescent="0.3">
      <c r="A1238" s="53" t="s">
        <v>2355</v>
      </c>
      <c r="B1238" s="61" t="s">
        <v>78</v>
      </c>
      <c r="C1238" s="61" t="s">
        <v>12</v>
      </c>
      <c r="D1238" s="53" t="s">
        <v>2312</v>
      </c>
      <c r="E1238" s="53" t="s">
        <v>2356</v>
      </c>
      <c r="F1238" s="96">
        <v>44713</v>
      </c>
      <c r="G1238" s="96">
        <v>44742</v>
      </c>
      <c r="H1238" s="58" t="str">
        <f t="shared" si="43"/>
        <v>EVEN</v>
      </c>
      <c r="I1238" s="106">
        <v>0</v>
      </c>
      <c r="J1238" s="32" t="str">
        <f>UPPER(TEXT(F1238,"mmm")) &amp; " - " &amp; UPPER(TEXT(G1238,"mmm"))</f>
        <v>JUN - JUN</v>
      </c>
      <c r="K1238" s="32" t="s">
        <v>1736</v>
      </c>
      <c r="L1238" s="99" t="s">
        <v>3895</v>
      </c>
      <c r="M1238" s="32" t="str">
        <f t="shared" si="44"/>
        <v>No</v>
      </c>
      <c r="N1238" s="32">
        <f>G1238 - F1238</f>
        <v>29</v>
      </c>
      <c r="O1238">
        <v>1</v>
      </c>
    </row>
    <row r="1239" spans="1:15" x14ac:dyDescent="0.3">
      <c r="A1239" s="53" t="s">
        <v>2357</v>
      </c>
      <c r="B1239" s="61" t="s">
        <v>78</v>
      </c>
      <c r="C1239" s="61" t="s">
        <v>12</v>
      </c>
      <c r="D1239" s="53" t="s">
        <v>1616</v>
      </c>
      <c r="E1239" s="53" t="s">
        <v>2358</v>
      </c>
      <c r="F1239" s="96">
        <v>44718</v>
      </c>
      <c r="G1239" s="96">
        <v>44779</v>
      </c>
      <c r="H1239" s="58" t="str">
        <f t="shared" ref="H1239:H1300" si="45">IF(AND(F1239&gt;=DATE(2021,7,15), F1239&lt;=DATE(2021,12,31)), "ODD", "EVEN")</f>
        <v>EVEN</v>
      </c>
      <c r="I1239" s="106">
        <v>0</v>
      </c>
      <c r="J1239" s="32" t="str">
        <f>UPPER(TEXT(F1239,"mmm")) &amp; " - " &amp; UPPER(TEXT(G1239,"mmm"))</f>
        <v>JUN - AUG</v>
      </c>
      <c r="K1239" s="32" t="s">
        <v>1736</v>
      </c>
      <c r="L1239" s="61" t="s">
        <v>895</v>
      </c>
      <c r="M1239" s="32" t="str">
        <f t="shared" si="44"/>
        <v>No</v>
      </c>
      <c r="N1239" s="32">
        <f>G1239 - F1239</f>
        <v>61</v>
      </c>
      <c r="O1239">
        <v>1</v>
      </c>
    </row>
    <row r="1240" spans="1:15" x14ac:dyDescent="0.3">
      <c r="A1240" s="53" t="s">
        <v>2359</v>
      </c>
      <c r="B1240" s="61" t="s">
        <v>66</v>
      </c>
      <c r="C1240" s="61" t="s">
        <v>12</v>
      </c>
      <c r="D1240" s="53" t="s">
        <v>2360</v>
      </c>
      <c r="E1240" s="53" t="s">
        <v>393</v>
      </c>
      <c r="F1240" s="96">
        <v>44713</v>
      </c>
      <c r="G1240" s="96">
        <v>44834</v>
      </c>
      <c r="H1240" s="58" t="str">
        <f t="shared" si="45"/>
        <v>EVEN</v>
      </c>
      <c r="I1240" s="106">
        <v>0</v>
      </c>
      <c r="J1240" s="32" t="str">
        <f>UPPER(TEXT(F1240,"mmm")) &amp; " - " &amp; UPPER(TEXT(G1240,"mmm"))</f>
        <v>JUN - SEP</v>
      </c>
      <c r="K1240" s="32" t="s">
        <v>1736</v>
      </c>
      <c r="L1240" s="99" t="s">
        <v>3895</v>
      </c>
      <c r="M1240" s="32" t="str">
        <f t="shared" si="44"/>
        <v>No</v>
      </c>
      <c r="N1240" s="32">
        <f>G1240 - F1240</f>
        <v>121</v>
      </c>
      <c r="O1240">
        <v>1</v>
      </c>
    </row>
    <row r="1241" spans="1:15" x14ac:dyDescent="0.3">
      <c r="A1241" s="53" t="s">
        <v>2361</v>
      </c>
      <c r="B1241" s="61" t="s">
        <v>66</v>
      </c>
      <c r="C1241" s="61" t="s">
        <v>12</v>
      </c>
      <c r="D1241" s="53" t="s">
        <v>2362</v>
      </c>
      <c r="E1241" s="53" t="s">
        <v>1789</v>
      </c>
      <c r="F1241" s="96">
        <v>44715</v>
      </c>
      <c r="G1241" s="96">
        <v>44895</v>
      </c>
      <c r="H1241" s="58" t="str">
        <f t="shared" si="45"/>
        <v>EVEN</v>
      </c>
      <c r="I1241" s="106">
        <v>6000</v>
      </c>
      <c r="J1241" s="32" t="str">
        <f>UPPER(TEXT(F1241,"mmm")) &amp; " - " &amp; UPPER(TEXT(G1241,"mmm"))</f>
        <v>JUN - NOV</v>
      </c>
      <c r="K1241" s="32" t="s">
        <v>1736</v>
      </c>
      <c r="L1241" s="99" t="s">
        <v>3895</v>
      </c>
      <c r="M1241" s="32" t="str">
        <f t="shared" si="44"/>
        <v>Yes</v>
      </c>
      <c r="N1241" s="32">
        <f>G1241 - F1241</f>
        <v>180</v>
      </c>
      <c r="O1241">
        <v>1</v>
      </c>
    </row>
    <row r="1242" spans="1:15" x14ac:dyDescent="0.3">
      <c r="A1242" s="53" t="s">
        <v>1622</v>
      </c>
      <c r="B1242" s="61" t="s">
        <v>66</v>
      </c>
      <c r="C1242" s="61" t="s">
        <v>12</v>
      </c>
      <c r="D1242" s="53" t="s">
        <v>2363</v>
      </c>
      <c r="E1242" s="53" t="s">
        <v>2364</v>
      </c>
      <c r="F1242" s="96">
        <v>44725</v>
      </c>
      <c r="G1242" s="96">
        <v>44778</v>
      </c>
      <c r="H1242" s="58" t="str">
        <f t="shared" si="45"/>
        <v>EVEN</v>
      </c>
      <c r="I1242" s="106">
        <v>66667</v>
      </c>
      <c r="J1242" s="32" t="str">
        <f>UPPER(TEXT(F1242,"mmm")) &amp; " - " &amp; UPPER(TEXT(G1242,"mmm"))</f>
        <v>JUN - AUG</v>
      </c>
      <c r="K1242" s="32" t="s">
        <v>1736</v>
      </c>
      <c r="L1242" s="99" t="s">
        <v>3895</v>
      </c>
      <c r="M1242" s="32" t="str">
        <f t="shared" si="44"/>
        <v>Yes</v>
      </c>
      <c r="N1242" s="32">
        <f>G1242 - F1242</f>
        <v>53</v>
      </c>
      <c r="O1242">
        <v>1</v>
      </c>
    </row>
    <row r="1243" spans="1:15" x14ac:dyDescent="0.3">
      <c r="A1243" s="53" t="s">
        <v>1775</v>
      </c>
      <c r="B1243" s="61" t="s">
        <v>66</v>
      </c>
      <c r="C1243" s="61" t="s">
        <v>12</v>
      </c>
      <c r="D1243" s="53" t="s">
        <v>2365</v>
      </c>
      <c r="E1243" s="53" t="s">
        <v>2366</v>
      </c>
      <c r="F1243" s="96">
        <v>44718</v>
      </c>
      <c r="G1243" s="96">
        <v>44901</v>
      </c>
      <c r="H1243" s="58" t="str">
        <f t="shared" si="45"/>
        <v>EVEN</v>
      </c>
      <c r="I1243" s="106">
        <v>25000</v>
      </c>
      <c r="J1243" s="32" t="str">
        <f>UPPER(TEXT(F1243,"mmm")) &amp; " - " &amp; UPPER(TEXT(G1243,"mmm"))</f>
        <v>JUN - DEC</v>
      </c>
      <c r="K1243" s="32" t="s">
        <v>1736</v>
      </c>
      <c r="L1243" s="99" t="s">
        <v>3895</v>
      </c>
      <c r="M1243" s="32" t="str">
        <f t="shared" si="44"/>
        <v>Yes</v>
      </c>
      <c r="N1243" s="32">
        <f>G1243 - F1243</f>
        <v>183</v>
      </c>
      <c r="O1243">
        <v>1</v>
      </c>
    </row>
    <row r="1244" spans="1:15" x14ac:dyDescent="0.3">
      <c r="A1244" s="53" t="s">
        <v>1845</v>
      </c>
      <c r="B1244" s="61" t="s">
        <v>66</v>
      </c>
      <c r="C1244" s="61" t="s">
        <v>12</v>
      </c>
      <c r="D1244" s="53" t="s">
        <v>2367</v>
      </c>
      <c r="E1244" s="53" t="s">
        <v>1478</v>
      </c>
      <c r="F1244" s="96">
        <v>44713</v>
      </c>
      <c r="G1244" s="96">
        <v>44865</v>
      </c>
      <c r="H1244" s="58" t="str">
        <f t="shared" si="45"/>
        <v>EVEN</v>
      </c>
      <c r="I1244" s="106">
        <v>0</v>
      </c>
      <c r="J1244" s="32" t="str">
        <f>UPPER(TEXT(F1244,"mmm")) &amp; " - " &amp; UPPER(TEXT(G1244,"mmm"))</f>
        <v>JUN - OCT</v>
      </c>
      <c r="K1244" s="32" t="s">
        <v>1736</v>
      </c>
      <c r="L1244" s="99" t="s">
        <v>3895</v>
      </c>
      <c r="M1244" s="32" t="str">
        <f t="shared" si="44"/>
        <v>No</v>
      </c>
      <c r="N1244" s="32">
        <f>G1244 - F1244</f>
        <v>152</v>
      </c>
      <c r="O1244">
        <v>1</v>
      </c>
    </row>
    <row r="1245" spans="1:15" x14ac:dyDescent="0.3">
      <c r="A1245" s="53" t="s">
        <v>2368</v>
      </c>
      <c r="B1245" s="61" t="s">
        <v>78</v>
      </c>
      <c r="C1245" s="61" t="s">
        <v>12</v>
      </c>
      <c r="D1245" s="53" t="s">
        <v>2369</v>
      </c>
      <c r="E1245" s="53" t="s">
        <v>998</v>
      </c>
      <c r="F1245" s="96">
        <v>44718</v>
      </c>
      <c r="G1245" s="96">
        <v>44779</v>
      </c>
      <c r="H1245" s="58" t="str">
        <f t="shared" si="45"/>
        <v>EVEN</v>
      </c>
      <c r="I1245" s="106">
        <v>5000</v>
      </c>
      <c r="J1245" s="32" t="str">
        <f>UPPER(TEXT(F1245,"mmm")) &amp; " - " &amp; UPPER(TEXT(G1245,"mmm"))</f>
        <v>JUN - AUG</v>
      </c>
      <c r="K1245" s="32" t="s">
        <v>1736</v>
      </c>
      <c r="L1245" s="99" t="s">
        <v>3895</v>
      </c>
      <c r="M1245" s="32" t="str">
        <f t="shared" si="44"/>
        <v>Yes</v>
      </c>
      <c r="N1245" s="32">
        <f>G1245 - F1245</f>
        <v>61</v>
      </c>
      <c r="O1245">
        <v>1</v>
      </c>
    </row>
    <row r="1246" spans="1:15" x14ac:dyDescent="0.3">
      <c r="A1246" s="53" t="s">
        <v>1830</v>
      </c>
      <c r="B1246" s="61" t="s">
        <v>78</v>
      </c>
      <c r="C1246" s="61" t="s">
        <v>12</v>
      </c>
      <c r="D1246" s="53" t="s">
        <v>2370</v>
      </c>
      <c r="E1246" s="53" t="s">
        <v>2371</v>
      </c>
      <c r="F1246" s="96">
        <v>44531</v>
      </c>
      <c r="G1246" s="96">
        <v>44592</v>
      </c>
      <c r="H1246" s="58" t="str">
        <f t="shared" si="45"/>
        <v>ODD</v>
      </c>
      <c r="I1246" s="106">
        <v>0</v>
      </c>
      <c r="J1246" s="32" t="str">
        <f>UPPER(TEXT(F1246,"mmm")) &amp; " - " &amp; UPPER(TEXT(G1246,"mmm"))</f>
        <v>DEC - JAN</v>
      </c>
      <c r="K1246" s="32" t="s">
        <v>1736</v>
      </c>
      <c r="L1246" s="99" t="s">
        <v>3895</v>
      </c>
      <c r="M1246" s="32" t="str">
        <f t="shared" si="44"/>
        <v>No</v>
      </c>
      <c r="N1246" s="32">
        <f>G1246 - F1246</f>
        <v>61</v>
      </c>
      <c r="O1246">
        <v>1</v>
      </c>
    </row>
    <row r="1247" spans="1:15" x14ac:dyDescent="0.3">
      <c r="A1247" s="53" t="s">
        <v>1830</v>
      </c>
      <c r="B1247" s="61" t="s">
        <v>78</v>
      </c>
      <c r="C1247" s="61" t="s">
        <v>12</v>
      </c>
      <c r="D1247" s="53" t="s">
        <v>1225</v>
      </c>
      <c r="E1247" s="53" t="s">
        <v>2372</v>
      </c>
      <c r="F1247" s="96">
        <v>44349</v>
      </c>
      <c r="G1247" s="96">
        <v>44712</v>
      </c>
      <c r="H1247" s="58" t="str">
        <f t="shared" si="45"/>
        <v>EVEN</v>
      </c>
      <c r="I1247" s="106">
        <v>0</v>
      </c>
      <c r="J1247" s="32" t="str">
        <f>UPPER(TEXT(F1247,"mmm")) &amp; " - " &amp; UPPER(TEXT(G1247,"mmm"))</f>
        <v>JUN - MAY</v>
      </c>
      <c r="K1247" s="32" t="s">
        <v>1736</v>
      </c>
      <c r="L1247" s="61" t="s">
        <v>895</v>
      </c>
      <c r="M1247" s="32" t="str">
        <f t="shared" si="44"/>
        <v>No</v>
      </c>
      <c r="N1247" s="32">
        <f>G1247 - F1247</f>
        <v>363</v>
      </c>
      <c r="O1247">
        <v>1</v>
      </c>
    </row>
    <row r="1248" spans="1:15" x14ac:dyDescent="0.3">
      <c r="A1248" s="53" t="s">
        <v>2373</v>
      </c>
      <c r="B1248" s="61" t="s">
        <v>66</v>
      </c>
      <c r="C1248" s="61" t="s">
        <v>12</v>
      </c>
      <c r="D1248" s="53" t="s">
        <v>2374</v>
      </c>
      <c r="E1248" s="53" t="s">
        <v>556</v>
      </c>
      <c r="F1248" s="96">
        <v>44725</v>
      </c>
      <c r="G1248" s="96">
        <v>44778</v>
      </c>
      <c r="H1248" s="58" t="str">
        <f t="shared" si="45"/>
        <v>EVEN</v>
      </c>
      <c r="I1248" s="106">
        <v>66667</v>
      </c>
      <c r="J1248" s="32" t="str">
        <f>UPPER(TEXT(F1248,"mmm")) &amp; " - " &amp; UPPER(TEXT(G1248,"mmm"))</f>
        <v>JUN - AUG</v>
      </c>
      <c r="K1248" s="32" t="s">
        <v>1736</v>
      </c>
      <c r="L1248" s="99" t="s">
        <v>3895</v>
      </c>
      <c r="M1248" s="32" t="str">
        <f t="shared" si="44"/>
        <v>Yes</v>
      </c>
      <c r="N1248" s="32">
        <f>G1248 - F1248</f>
        <v>53</v>
      </c>
      <c r="O1248">
        <v>1</v>
      </c>
    </row>
    <row r="1249" spans="1:15" x14ac:dyDescent="0.3">
      <c r="A1249" s="53" t="s">
        <v>2002</v>
      </c>
      <c r="B1249" s="61" t="s">
        <v>11</v>
      </c>
      <c r="C1249" s="61" t="s">
        <v>12</v>
      </c>
      <c r="D1249" s="53" t="s">
        <v>2375</v>
      </c>
      <c r="E1249" s="53" t="s">
        <v>2376</v>
      </c>
      <c r="F1249" s="96">
        <v>44652</v>
      </c>
      <c r="G1249" s="96">
        <v>44804</v>
      </c>
      <c r="H1249" s="58" t="str">
        <f t="shared" si="45"/>
        <v>EVEN</v>
      </c>
      <c r="I1249" s="106">
        <v>0</v>
      </c>
      <c r="J1249" s="32" t="str">
        <f>UPPER(TEXT(F1249,"mmm")) &amp; " - " &amp; UPPER(TEXT(G1249,"mmm"))</f>
        <v>APR - AUG</v>
      </c>
      <c r="K1249" s="32" t="s">
        <v>1736</v>
      </c>
      <c r="L1249" s="61" t="s">
        <v>895</v>
      </c>
      <c r="M1249" s="32" t="str">
        <f t="shared" si="44"/>
        <v>No</v>
      </c>
      <c r="N1249" s="32">
        <f>G1249 - F1249</f>
        <v>152</v>
      </c>
      <c r="O1249">
        <v>1</v>
      </c>
    </row>
    <row r="1250" spans="1:15" x14ac:dyDescent="0.3">
      <c r="A1250" s="53" t="s">
        <v>1354</v>
      </c>
      <c r="B1250" s="61" t="s">
        <v>78</v>
      </c>
      <c r="C1250" s="61" t="s">
        <v>12</v>
      </c>
      <c r="D1250" s="53" t="s">
        <v>2124</v>
      </c>
      <c r="E1250" s="53" t="s">
        <v>2377</v>
      </c>
      <c r="F1250" s="96">
        <v>44385</v>
      </c>
      <c r="G1250" s="96">
        <v>45126</v>
      </c>
      <c r="H1250" s="58" t="str">
        <f t="shared" si="45"/>
        <v>EVEN</v>
      </c>
      <c r="I1250" s="106">
        <v>0</v>
      </c>
      <c r="J1250" s="32" t="str">
        <f>UPPER(TEXT(F1250,"mmm")) &amp; " - " &amp; UPPER(TEXT(G1250,"mmm"))</f>
        <v>JUL - JUL</v>
      </c>
      <c r="K1250" s="32" t="s">
        <v>1736</v>
      </c>
      <c r="L1250" s="61" t="s">
        <v>895</v>
      </c>
      <c r="M1250" s="32" t="str">
        <f t="shared" si="44"/>
        <v>No</v>
      </c>
      <c r="N1250" s="32">
        <f>G1250 - F1250</f>
        <v>741</v>
      </c>
      <c r="O1250">
        <v>1</v>
      </c>
    </row>
    <row r="1251" spans="1:15" x14ac:dyDescent="0.3">
      <c r="A1251" s="53" t="s">
        <v>2378</v>
      </c>
      <c r="B1251" s="61" t="s">
        <v>11</v>
      </c>
      <c r="C1251" s="61" t="s">
        <v>12</v>
      </c>
      <c r="D1251" s="53" t="s">
        <v>2379</v>
      </c>
      <c r="E1251" s="53" t="s">
        <v>2380</v>
      </c>
      <c r="F1251" s="96">
        <v>44652</v>
      </c>
      <c r="G1251" s="96">
        <v>44780</v>
      </c>
      <c r="H1251" s="58" t="str">
        <f t="shared" si="45"/>
        <v>EVEN</v>
      </c>
      <c r="I1251" s="106">
        <v>0</v>
      </c>
      <c r="J1251" s="32" t="str">
        <f>UPPER(TEXT(F1251,"mmm")) &amp; " - " &amp; UPPER(TEXT(G1251,"mmm"))</f>
        <v>APR - AUG</v>
      </c>
      <c r="K1251" s="32" t="s">
        <v>1736</v>
      </c>
      <c r="L1251" s="61" t="s">
        <v>895</v>
      </c>
      <c r="M1251" s="32" t="str">
        <f t="shared" si="44"/>
        <v>No</v>
      </c>
      <c r="N1251" s="32">
        <f>G1251 - F1251</f>
        <v>128</v>
      </c>
      <c r="O1251">
        <v>1</v>
      </c>
    </row>
    <row r="1252" spans="1:15" x14ac:dyDescent="0.3">
      <c r="A1252" s="53" t="s">
        <v>2246</v>
      </c>
      <c r="B1252" s="61" t="s">
        <v>78</v>
      </c>
      <c r="C1252" s="61" t="s">
        <v>12</v>
      </c>
      <c r="D1252" s="53" t="s">
        <v>2381</v>
      </c>
      <c r="E1252" s="53" t="s">
        <v>2382</v>
      </c>
      <c r="F1252" s="96">
        <v>44713</v>
      </c>
      <c r="G1252" s="96">
        <v>44774</v>
      </c>
      <c r="H1252" s="58" t="str">
        <f t="shared" si="45"/>
        <v>EVEN</v>
      </c>
      <c r="I1252" s="106">
        <v>4000</v>
      </c>
      <c r="J1252" s="32" t="str">
        <f>UPPER(TEXT(F1252,"mmm")) &amp; " - " &amp; UPPER(TEXT(G1252,"mmm"))</f>
        <v>JUN - AUG</v>
      </c>
      <c r="K1252" s="32" t="s">
        <v>1736</v>
      </c>
      <c r="L1252" s="99" t="s">
        <v>3895</v>
      </c>
      <c r="M1252" s="32" t="str">
        <f t="shared" si="44"/>
        <v>Yes</v>
      </c>
      <c r="N1252" s="32">
        <f>G1252 - F1252</f>
        <v>61</v>
      </c>
      <c r="O1252">
        <v>1</v>
      </c>
    </row>
    <row r="1253" spans="1:15" x14ac:dyDescent="0.3">
      <c r="A1253" s="53" t="s">
        <v>2383</v>
      </c>
      <c r="B1253" s="61" t="s">
        <v>78</v>
      </c>
      <c r="C1253" s="61" t="s">
        <v>12</v>
      </c>
      <c r="D1253" s="53" t="s">
        <v>2384</v>
      </c>
      <c r="E1253" s="53" t="s">
        <v>2385</v>
      </c>
      <c r="F1253" s="96">
        <v>44713</v>
      </c>
      <c r="G1253" s="96">
        <v>44773</v>
      </c>
      <c r="H1253" s="58" t="str">
        <f t="shared" si="45"/>
        <v>EVEN</v>
      </c>
      <c r="I1253" s="106">
        <v>6000</v>
      </c>
      <c r="J1253" s="32" t="str">
        <f>UPPER(TEXT(F1253,"mmm")) &amp; " - " &amp; UPPER(TEXT(G1253,"mmm"))</f>
        <v>JUN - JUL</v>
      </c>
      <c r="K1253" s="32" t="s">
        <v>1736</v>
      </c>
      <c r="L1253" s="99" t="s">
        <v>3895</v>
      </c>
      <c r="M1253" s="32" t="str">
        <f t="shared" si="44"/>
        <v>Yes</v>
      </c>
      <c r="N1253" s="32">
        <f>G1253 - F1253</f>
        <v>60</v>
      </c>
      <c r="O1253">
        <v>1</v>
      </c>
    </row>
    <row r="1254" spans="1:15" x14ac:dyDescent="0.3">
      <c r="A1254" s="53" t="s">
        <v>2386</v>
      </c>
      <c r="B1254" s="61" t="s">
        <v>11</v>
      </c>
      <c r="C1254" s="61" t="s">
        <v>12</v>
      </c>
      <c r="D1254" s="53" t="s">
        <v>2387</v>
      </c>
      <c r="E1254" s="53" t="s">
        <v>2388</v>
      </c>
      <c r="F1254" s="96">
        <v>44621</v>
      </c>
      <c r="G1254" s="96">
        <v>44651</v>
      </c>
      <c r="H1254" s="58" t="str">
        <f t="shared" si="45"/>
        <v>EVEN</v>
      </c>
      <c r="I1254" s="106">
        <v>0</v>
      </c>
      <c r="J1254" s="32" t="str">
        <f>UPPER(TEXT(F1254,"mmm")) &amp; " - " &amp; UPPER(TEXT(G1254,"mmm"))</f>
        <v>MAR - MAR</v>
      </c>
      <c r="K1254" s="32" t="s">
        <v>1736</v>
      </c>
      <c r="L1254" s="99" t="s">
        <v>3895</v>
      </c>
      <c r="M1254" s="32" t="str">
        <f t="shared" si="44"/>
        <v>No</v>
      </c>
      <c r="N1254" s="32">
        <f>G1254 - F1254</f>
        <v>30</v>
      </c>
      <c r="O1254">
        <v>1</v>
      </c>
    </row>
    <row r="1255" spans="1:15" x14ac:dyDescent="0.3">
      <c r="A1255" s="53" t="s">
        <v>2389</v>
      </c>
      <c r="B1255" s="61" t="s">
        <v>11</v>
      </c>
      <c r="C1255" s="61" t="s">
        <v>12</v>
      </c>
      <c r="D1255" s="53" t="s">
        <v>2390</v>
      </c>
      <c r="E1255" s="53" t="s">
        <v>2391</v>
      </c>
      <c r="F1255" s="96">
        <v>44621</v>
      </c>
      <c r="G1255" s="96">
        <v>44645</v>
      </c>
      <c r="H1255" s="58" t="str">
        <f t="shared" si="45"/>
        <v>EVEN</v>
      </c>
      <c r="I1255" s="106">
        <v>0</v>
      </c>
      <c r="J1255" s="32" t="str">
        <f>UPPER(TEXT(F1255,"mmm")) &amp; " - " &amp; UPPER(TEXT(G1255,"mmm"))</f>
        <v>MAR - MAR</v>
      </c>
      <c r="K1255" s="32" t="s">
        <v>1736</v>
      </c>
      <c r="L1255" s="99" t="s">
        <v>3895</v>
      </c>
      <c r="M1255" s="32" t="str">
        <f t="shared" si="44"/>
        <v>No</v>
      </c>
      <c r="N1255" s="32">
        <f>G1255 - F1255</f>
        <v>24</v>
      </c>
      <c r="O1255">
        <v>1</v>
      </c>
    </row>
    <row r="1256" spans="1:15" x14ac:dyDescent="0.3">
      <c r="A1256" s="53" t="s">
        <v>2392</v>
      </c>
      <c r="B1256" s="61" t="s">
        <v>11</v>
      </c>
      <c r="C1256" s="61" t="s">
        <v>12</v>
      </c>
      <c r="D1256" s="53" t="s">
        <v>2393</v>
      </c>
      <c r="E1256" s="53" t="s">
        <v>2394</v>
      </c>
      <c r="F1256" s="96">
        <v>44531</v>
      </c>
      <c r="G1256" s="96">
        <v>44592</v>
      </c>
      <c r="H1256" s="58" t="str">
        <f t="shared" si="45"/>
        <v>ODD</v>
      </c>
      <c r="I1256" s="106">
        <v>0</v>
      </c>
      <c r="J1256" s="32" t="str">
        <f>UPPER(TEXT(F1256,"mmm")) &amp; " - " &amp; UPPER(TEXT(G1256,"mmm"))</f>
        <v>DEC - JAN</v>
      </c>
      <c r="K1256" s="32" t="s">
        <v>1736</v>
      </c>
      <c r="L1256" s="61" t="s">
        <v>895</v>
      </c>
      <c r="M1256" s="32" t="str">
        <f t="shared" si="44"/>
        <v>No</v>
      </c>
      <c r="N1256" s="32">
        <f>G1256 - F1256</f>
        <v>61</v>
      </c>
      <c r="O1256">
        <v>1</v>
      </c>
    </row>
    <row r="1257" spans="1:15" x14ac:dyDescent="0.3">
      <c r="A1257" s="53" t="s">
        <v>2395</v>
      </c>
      <c r="B1257" s="61" t="s">
        <v>11</v>
      </c>
      <c r="C1257" s="61" t="s">
        <v>12</v>
      </c>
      <c r="D1257" s="53" t="s">
        <v>2396</v>
      </c>
      <c r="E1257" s="53" t="s">
        <v>2397</v>
      </c>
      <c r="F1257" s="96">
        <v>44534</v>
      </c>
      <c r="G1257" s="96">
        <v>44946</v>
      </c>
      <c r="H1257" s="58" t="str">
        <f t="shared" si="45"/>
        <v>ODD</v>
      </c>
      <c r="I1257" s="106">
        <v>0</v>
      </c>
      <c r="J1257" s="32" t="str">
        <f>UPPER(TEXT(F1257,"mmm")) &amp; " - " &amp; UPPER(TEXT(G1257,"mmm"))</f>
        <v>DEC - JAN</v>
      </c>
      <c r="K1257" s="32" t="s">
        <v>1736</v>
      </c>
      <c r="L1257" s="61" t="s">
        <v>895</v>
      </c>
      <c r="M1257" s="32" t="str">
        <f t="shared" si="44"/>
        <v>No</v>
      </c>
      <c r="N1257" s="32">
        <f>G1257 - F1257</f>
        <v>412</v>
      </c>
      <c r="O1257">
        <v>1</v>
      </c>
    </row>
    <row r="1258" spans="1:15" x14ac:dyDescent="0.3">
      <c r="A1258" s="53" t="s">
        <v>2398</v>
      </c>
      <c r="B1258" s="61" t="s">
        <v>11</v>
      </c>
      <c r="C1258" s="61" t="s">
        <v>12</v>
      </c>
      <c r="D1258" s="53" t="s">
        <v>2399</v>
      </c>
      <c r="E1258" s="53" t="s">
        <v>2400</v>
      </c>
      <c r="F1258" s="96">
        <v>44652</v>
      </c>
      <c r="G1258" s="96">
        <v>44803</v>
      </c>
      <c r="H1258" s="58" t="str">
        <f t="shared" si="45"/>
        <v>EVEN</v>
      </c>
      <c r="I1258" s="106">
        <v>0</v>
      </c>
      <c r="J1258" s="32" t="str">
        <f>UPPER(TEXT(F1258,"mmm")) &amp; " - " &amp; UPPER(TEXT(G1258,"mmm"))</f>
        <v>APR - AUG</v>
      </c>
      <c r="K1258" s="32" t="s">
        <v>1736</v>
      </c>
      <c r="L1258" s="61" t="s">
        <v>895</v>
      </c>
      <c r="M1258" s="32" t="str">
        <f t="shared" si="44"/>
        <v>No</v>
      </c>
      <c r="N1258" s="32">
        <f>G1258 - F1258</f>
        <v>151</v>
      </c>
      <c r="O1258">
        <v>1</v>
      </c>
    </row>
    <row r="1259" spans="1:15" x14ac:dyDescent="0.3">
      <c r="A1259" s="53" t="s">
        <v>2401</v>
      </c>
      <c r="B1259" s="61" t="s">
        <v>78</v>
      </c>
      <c r="C1259" s="61" t="s">
        <v>12</v>
      </c>
      <c r="D1259" s="53" t="s">
        <v>2402</v>
      </c>
      <c r="E1259" s="53" t="s">
        <v>2403</v>
      </c>
      <c r="F1259" s="96">
        <v>44378</v>
      </c>
      <c r="G1259" s="96">
        <v>44957</v>
      </c>
      <c r="H1259" s="58" t="str">
        <f t="shared" si="45"/>
        <v>EVEN</v>
      </c>
      <c r="I1259" s="106">
        <v>0</v>
      </c>
      <c r="J1259" s="32" t="str">
        <f>UPPER(TEXT(F1259,"mmm")) &amp; " - " &amp; UPPER(TEXT(G1259,"mmm"))</f>
        <v>JUL - JAN</v>
      </c>
      <c r="K1259" s="32" t="s">
        <v>1736</v>
      </c>
      <c r="L1259" s="99" t="s">
        <v>3895</v>
      </c>
      <c r="M1259" s="32" t="str">
        <f t="shared" si="44"/>
        <v>No</v>
      </c>
      <c r="N1259" s="32">
        <f>G1259 - F1259</f>
        <v>579</v>
      </c>
      <c r="O1259">
        <v>1</v>
      </c>
    </row>
    <row r="1260" spans="1:15" x14ac:dyDescent="0.3">
      <c r="A1260" s="53" t="s">
        <v>2404</v>
      </c>
      <c r="B1260" s="61" t="s">
        <v>78</v>
      </c>
      <c r="C1260" s="61" t="s">
        <v>12</v>
      </c>
      <c r="D1260" s="53" t="s">
        <v>2405</v>
      </c>
      <c r="E1260" s="53" t="s">
        <v>2406</v>
      </c>
      <c r="F1260" s="96">
        <v>44378</v>
      </c>
      <c r="G1260" s="96">
        <v>44743</v>
      </c>
      <c r="H1260" s="58" t="str">
        <f t="shared" si="45"/>
        <v>EVEN</v>
      </c>
      <c r="I1260" s="106">
        <v>15000</v>
      </c>
      <c r="J1260" s="32" t="str">
        <f>UPPER(TEXT(F1260,"mmm")) &amp; " - " &amp; UPPER(TEXT(G1260,"mmm"))</f>
        <v>JUL - JUL</v>
      </c>
      <c r="K1260" s="32" t="s">
        <v>1736</v>
      </c>
      <c r="L1260" s="99" t="s">
        <v>3895</v>
      </c>
      <c r="M1260" s="32" t="str">
        <f t="shared" si="44"/>
        <v>Yes</v>
      </c>
      <c r="N1260" s="32">
        <f>G1260 - F1260</f>
        <v>365</v>
      </c>
      <c r="O1260">
        <v>1</v>
      </c>
    </row>
    <row r="1261" spans="1:15" x14ac:dyDescent="0.3">
      <c r="A1261" s="53" t="s">
        <v>2407</v>
      </c>
      <c r="B1261" s="61" t="s">
        <v>78</v>
      </c>
      <c r="C1261" s="61" t="s">
        <v>12</v>
      </c>
      <c r="D1261" s="53" t="s">
        <v>1911</v>
      </c>
      <c r="E1261" s="53" t="s">
        <v>2408</v>
      </c>
      <c r="F1261" s="96">
        <v>44470</v>
      </c>
      <c r="G1261" s="96">
        <v>44581</v>
      </c>
      <c r="H1261" s="58" t="str">
        <f t="shared" si="45"/>
        <v>ODD</v>
      </c>
      <c r="I1261" s="106">
        <v>0</v>
      </c>
      <c r="J1261" s="32" t="str">
        <f>UPPER(TEXT(F1261,"mmm")) &amp; " - " &amp; UPPER(TEXT(G1261,"mmm"))</f>
        <v>OCT - JAN</v>
      </c>
      <c r="K1261" s="32" t="s">
        <v>1736</v>
      </c>
      <c r="L1261" s="99" t="s">
        <v>3895</v>
      </c>
      <c r="M1261" s="32" t="str">
        <f t="shared" si="44"/>
        <v>No</v>
      </c>
      <c r="N1261" s="32">
        <f>G1261 - F1261</f>
        <v>111</v>
      </c>
      <c r="O1261">
        <v>1</v>
      </c>
    </row>
    <row r="1262" spans="1:15" x14ac:dyDescent="0.3">
      <c r="A1262" s="53" t="s">
        <v>2409</v>
      </c>
      <c r="B1262" s="61" t="s">
        <v>78</v>
      </c>
      <c r="C1262" s="61" t="s">
        <v>12</v>
      </c>
      <c r="D1262" s="53" t="s">
        <v>2410</v>
      </c>
      <c r="E1262" s="53" t="s">
        <v>2411</v>
      </c>
      <c r="F1262" s="96">
        <v>44732</v>
      </c>
      <c r="G1262" s="96">
        <v>44866</v>
      </c>
      <c r="H1262" s="58" t="str">
        <f t="shared" si="45"/>
        <v>EVEN</v>
      </c>
      <c r="I1262" s="106">
        <v>5000</v>
      </c>
      <c r="J1262" s="32" t="str">
        <f>UPPER(TEXT(F1262,"mmm")) &amp; " - " &amp; UPPER(TEXT(G1262,"mmm"))</f>
        <v>JUN - NOV</v>
      </c>
      <c r="K1262" s="32" t="s">
        <v>1736</v>
      </c>
      <c r="L1262" s="99" t="s">
        <v>3895</v>
      </c>
      <c r="M1262" s="32" t="str">
        <f t="shared" si="44"/>
        <v>Yes</v>
      </c>
      <c r="N1262" s="32">
        <f>G1262 - F1262</f>
        <v>134</v>
      </c>
      <c r="O1262">
        <v>1</v>
      </c>
    </row>
    <row r="1263" spans="1:15" x14ac:dyDescent="0.3">
      <c r="A1263" s="53" t="s">
        <v>2412</v>
      </c>
      <c r="B1263" s="61" t="s">
        <v>78</v>
      </c>
      <c r="C1263" s="61" t="s">
        <v>12</v>
      </c>
      <c r="D1263" s="53" t="s">
        <v>842</v>
      </c>
      <c r="E1263" s="53" t="s">
        <v>2413</v>
      </c>
      <c r="F1263" s="96">
        <v>44396</v>
      </c>
      <c r="G1263" s="96">
        <v>44681</v>
      </c>
      <c r="H1263" s="58" t="str">
        <f t="shared" si="45"/>
        <v>ODD</v>
      </c>
      <c r="I1263" s="106">
        <v>0</v>
      </c>
      <c r="J1263" s="32" t="str">
        <f>UPPER(TEXT(F1263,"mmm")) &amp; " - " &amp; UPPER(TEXT(G1263,"mmm"))</f>
        <v>JUL - APR</v>
      </c>
      <c r="K1263" s="32" t="s">
        <v>1736</v>
      </c>
      <c r="L1263" s="61" t="s">
        <v>895</v>
      </c>
      <c r="M1263" s="32" t="str">
        <f t="shared" si="44"/>
        <v>No</v>
      </c>
      <c r="N1263" s="32">
        <f>G1263 - F1263</f>
        <v>285</v>
      </c>
      <c r="O1263">
        <v>1</v>
      </c>
    </row>
    <row r="1264" spans="1:15" x14ac:dyDescent="0.3">
      <c r="A1264" s="53" t="s">
        <v>2409</v>
      </c>
      <c r="B1264" s="61" t="s">
        <v>78</v>
      </c>
      <c r="C1264" s="61" t="s">
        <v>12</v>
      </c>
      <c r="D1264" s="53" t="s">
        <v>2244</v>
      </c>
      <c r="E1264" s="53" t="s">
        <v>2414</v>
      </c>
      <c r="F1264" s="96">
        <v>44732</v>
      </c>
      <c r="G1264" s="96">
        <v>44782</v>
      </c>
      <c r="H1264" s="58" t="str">
        <f t="shared" si="45"/>
        <v>EVEN</v>
      </c>
      <c r="I1264" s="106">
        <v>0</v>
      </c>
      <c r="J1264" s="32" t="str">
        <f>UPPER(TEXT(F1264,"mmm")) &amp; " - " &amp; UPPER(TEXT(G1264,"mmm"))</f>
        <v>JUN - AUG</v>
      </c>
      <c r="K1264" s="32" t="s">
        <v>1736</v>
      </c>
      <c r="L1264" s="61" t="s">
        <v>895</v>
      </c>
      <c r="M1264" s="32" t="str">
        <f t="shared" si="44"/>
        <v>No</v>
      </c>
      <c r="N1264" s="32">
        <f>G1264 - F1264</f>
        <v>50</v>
      </c>
      <c r="O1264">
        <v>1</v>
      </c>
    </row>
    <row r="1265" spans="1:15" x14ac:dyDescent="0.3">
      <c r="A1265" s="53" t="s">
        <v>2415</v>
      </c>
      <c r="B1265" s="61" t="s">
        <v>78</v>
      </c>
      <c r="C1265" s="61" t="s">
        <v>12</v>
      </c>
      <c r="D1265" s="53" t="s">
        <v>2416</v>
      </c>
      <c r="E1265" s="53" t="s">
        <v>927</v>
      </c>
      <c r="F1265" s="96">
        <v>44494</v>
      </c>
      <c r="G1265" s="96">
        <v>44681</v>
      </c>
      <c r="H1265" s="58" t="str">
        <f t="shared" si="45"/>
        <v>ODD</v>
      </c>
      <c r="I1265" s="106">
        <v>0</v>
      </c>
      <c r="J1265" s="32" t="str">
        <f>UPPER(TEXT(F1265,"mmm")) &amp; " - " &amp; UPPER(TEXT(G1265,"mmm"))</f>
        <v>OCT - APR</v>
      </c>
      <c r="K1265" s="32" t="s">
        <v>1736</v>
      </c>
      <c r="L1265" s="61" t="s">
        <v>895</v>
      </c>
      <c r="M1265" s="32" t="str">
        <f t="shared" si="44"/>
        <v>No</v>
      </c>
      <c r="N1265" s="32">
        <f>G1265 - F1265</f>
        <v>187</v>
      </c>
      <c r="O1265">
        <v>1</v>
      </c>
    </row>
    <row r="1266" spans="1:15" x14ac:dyDescent="0.3">
      <c r="A1266" s="53" t="s">
        <v>2417</v>
      </c>
      <c r="B1266" s="61" t="s">
        <v>78</v>
      </c>
      <c r="C1266" s="61" t="s">
        <v>12</v>
      </c>
      <c r="D1266" s="53" t="s">
        <v>2418</v>
      </c>
      <c r="E1266" s="53" t="s">
        <v>2419</v>
      </c>
      <c r="F1266" s="96">
        <v>44562</v>
      </c>
      <c r="G1266" s="96">
        <v>44742</v>
      </c>
      <c r="H1266" s="58" t="str">
        <f t="shared" si="45"/>
        <v>EVEN</v>
      </c>
      <c r="I1266" s="106">
        <v>15000</v>
      </c>
      <c r="J1266" s="32" t="str">
        <f>UPPER(TEXT(F1266,"mmm")) &amp; " - " &amp; UPPER(TEXT(G1266,"mmm"))</f>
        <v>JAN - JUN</v>
      </c>
      <c r="K1266" s="32" t="s">
        <v>1736</v>
      </c>
      <c r="L1266" s="99" t="s">
        <v>3895</v>
      </c>
      <c r="M1266" s="32" t="str">
        <f t="shared" si="44"/>
        <v>Yes</v>
      </c>
      <c r="N1266" s="32">
        <f>G1266 - F1266</f>
        <v>180</v>
      </c>
      <c r="O1266">
        <v>1</v>
      </c>
    </row>
    <row r="1267" spans="1:15" x14ac:dyDescent="0.3">
      <c r="A1267" s="53" t="s">
        <v>2420</v>
      </c>
      <c r="B1267" s="61" t="s">
        <v>11</v>
      </c>
      <c r="C1267" s="61" t="s">
        <v>12</v>
      </c>
      <c r="D1267" s="53" t="s">
        <v>159</v>
      </c>
      <c r="E1267" s="53" t="s">
        <v>2421</v>
      </c>
      <c r="F1267" s="96">
        <v>44586</v>
      </c>
      <c r="G1267" s="96">
        <v>44812</v>
      </c>
      <c r="H1267" s="58" t="str">
        <f t="shared" si="45"/>
        <v>EVEN</v>
      </c>
      <c r="I1267" s="106">
        <v>0</v>
      </c>
      <c r="J1267" s="32" t="str">
        <f>UPPER(TEXT(F1267,"mmm")) &amp; " - " &amp; UPPER(TEXT(G1267,"mmm"))</f>
        <v>JAN - SEP</v>
      </c>
      <c r="K1267" s="32" t="s">
        <v>1736</v>
      </c>
      <c r="L1267" s="61" t="s">
        <v>895</v>
      </c>
      <c r="M1267" s="32" t="str">
        <f t="shared" si="44"/>
        <v>No</v>
      </c>
      <c r="N1267" s="32">
        <f>G1267 - F1267</f>
        <v>226</v>
      </c>
      <c r="O1267">
        <v>1</v>
      </c>
    </row>
    <row r="1268" spans="1:15" x14ac:dyDescent="0.3">
      <c r="A1268" s="53" t="s">
        <v>2422</v>
      </c>
      <c r="B1268" s="61" t="s">
        <v>11</v>
      </c>
      <c r="C1268" s="61" t="s">
        <v>12</v>
      </c>
      <c r="D1268" s="53" t="s">
        <v>2423</v>
      </c>
      <c r="E1268" s="53" t="s">
        <v>2424</v>
      </c>
      <c r="F1268" s="96">
        <v>44509</v>
      </c>
      <c r="G1268" s="96">
        <v>44815</v>
      </c>
      <c r="H1268" s="58" t="str">
        <f t="shared" si="45"/>
        <v>ODD</v>
      </c>
      <c r="I1268" s="106">
        <v>0</v>
      </c>
      <c r="J1268" s="32" t="str">
        <f>UPPER(TEXT(F1268,"mmm")) &amp; " - " &amp; UPPER(TEXT(G1268,"mmm"))</f>
        <v>NOV - SEP</v>
      </c>
      <c r="K1268" s="32" t="s">
        <v>1736</v>
      </c>
      <c r="L1268" s="61" t="s">
        <v>895</v>
      </c>
      <c r="M1268" s="32" t="str">
        <f t="shared" si="44"/>
        <v>No</v>
      </c>
      <c r="N1268" s="32">
        <f>G1268 - F1268</f>
        <v>306</v>
      </c>
      <c r="O1268">
        <v>1</v>
      </c>
    </row>
    <row r="1269" spans="1:15" x14ac:dyDescent="0.3">
      <c r="A1269" s="53" t="s">
        <v>2425</v>
      </c>
      <c r="B1269" s="61" t="s">
        <v>78</v>
      </c>
      <c r="C1269" s="61" t="s">
        <v>12</v>
      </c>
      <c r="D1269" s="53" t="s">
        <v>2426</v>
      </c>
      <c r="E1269" s="53" t="s">
        <v>2427</v>
      </c>
      <c r="F1269" s="96">
        <v>44380</v>
      </c>
      <c r="G1269" s="96">
        <v>44712</v>
      </c>
      <c r="H1269" s="58" t="str">
        <f t="shared" si="45"/>
        <v>EVEN</v>
      </c>
      <c r="I1269" s="106">
        <v>0</v>
      </c>
      <c r="J1269" s="32" t="str">
        <f>UPPER(TEXT(F1269,"mmm")) &amp; " - " &amp; UPPER(TEXT(G1269,"mmm"))</f>
        <v>JUL - MAY</v>
      </c>
      <c r="K1269" s="32" t="s">
        <v>1736</v>
      </c>
      <c r="L1269" s="61" t="s">
        <v>895</v>
      </c>
      <c r="M1269" s="32" t="str">
        <f t="shared" si="44"/>
        <v>No</v>
      </c>
      <c r="N1269" s="32">
        <f>G1269 - F1269</f>
        <v>332</v>
      </c>
      <c r="O1269">
        <v>1</v>
      </c>
    </row>
    <row r="1270" spans="1:15" x14ac:dyDescent="0.3">
      <c r="A1270" s="53" t="s">
        <v>2428</v>
      </c>
      <c r="B1270" s="61" t="s">
        <v>78</v>
      </c>
      <c r="C1270" s="61" t="s">
        <v>12</v>
      </c>
      <c r="D1270" s="53" t="s">
        <v>2429</v>
      </c>
      <c r="E1270" s="53" t="s">
        <v>2430</v>
      </c>
      <c r="F1270" s="96">
        <v>44380</v>
      </c>
      <c r="G1270" s="96">
        <v>44753</v>
      </c>
      <c r="H1270" s="58" t="str">
        <f t="shared" si="45"/>
        <v>EVEN</v>
      </c>
      <c r="I1270" s="106">
        <v>0</v>
      </c>
      <c r="J1270" s="32" t="str">
        <f>UPPER(TEXT(F1270,"mmm")) &amp; " - " &amp; UPPER(TEXT(G1270,"mmm"))</f>
        <v>JUL - JUL</v>
      </c>
      <c r="K1270" s="32" t="s">
        <v>1736</v>
      </c>
      <c r="L1270" s="61" t="s">
        <v>895</v>
      </c>
      <c r="M1270" s="32" t="str">
        <f t="shared" si="44"/>
        <v>No</v>
      </c>
      <c r="N1270" s="32">
        <f>G1270 - F1270</f>
        <v>373</v>
      </c>
      <c r="O1270">
        <v>1</v>
      </c>
    </row>
    <row r="1271" spans="1:15" x14ac:dyDescent="0.3">
      <c r="A1271" s="53" t="s">
        <v>2431</v>
      </c>
      <c r="B1271" s="61" t="s">
        <v>78</v>
      </c>
      <c r="C1271" s="61" t="s">
        <v>12</v>
      </c>
      <c r="D1271" s="53" t="s">
        <v>2432</v>
      </c>
      <c r="E1271" s="53" t="s">
        <v>2433</v>
      </c>
      <c r="F1271" s="96">
        <v>44419</v>
      </c>
      <c r="G1271" s="96">
        <v>44828</v>
      </c>
      <c r="H1271" s="58" t="str">
        <f t="shared" si="45"/>
        <v>ODD</v>
      </c>
      <c r="I1271" s="106">
        <v>0</v>
      </c>
      <c r="J1271" s="32" t="str">
        <f>UPPER(TEXT(F1271,"mmm")) &amp; " - " &amp; UPPER(TEXT(G1271,"mmm"))</f>
        <v>AUG - SEP</v>
      </c>
      <c r="K1271" s="32" t="s">
        <v>1736</v>
      </c>
      <c r="L1271" s="61" t="s">
        <v>895</v>
      </c>
      <c r="M1271" s="32" t="str">
        <f t="shared" si="44"/>
        <v>No</v>
      </c>
      <c r="N1271" s="32">
        <f>G1271 - F1271</f>
        <v>409</v>
      </c>
      <c r="O1271">
        <v>1</v>
      </c>
    </row>
    <row r="1272" spans="1:15" x14ac:dyDescent="0.3">
      <c r="A1272" s="53" t="s">
        <v>2415</v>
      </c>
      <c r="B1272" s="61" t="s">
        <v>78</v>
      </c>
      <c r="C1272" s="61" t="s">
        <v>12</v>
      </c>
      <c r="D1272" s="53" t="s">
        <v>2416</v>
      </c>
      <c r="E1272" s="53" t="s">
        <v>927</v>
      </c>
      <c r="F1272" s="96">
        <v>44494</v>
      </c>
      <c r="G1272" s="96">
        <v>44681</v>
      </c>
      <c r="H1272" s="58" t="str">
        <f t="shared" si="45"/>
        <v>ODD</v>
      </c>
      <c r="I1272" s="106">
        <v>0</v>
      </c>
      <c r="J1272" s="32" t="str">
        <f>UPPER(TEXT(F1272,"mmm")) &amp; " - " &amp; UPPER(TEXT(G1272,"mmm"))</f>
        <v>OCT - APR</v>
      </c>
      <c r="K1272" s="32" t="s">
        <v>1736</v>
      </c>
      <c r="L1272" s="61" t="s">
        <v>895</v>
      </c>
      <c r="M1272" s="32" t="str">
        <f t="shared" si="44"/>
        <v>No</v>
      </c>
      <c r="N1272" s="32">
        <f>G1272 - F1272</f>
        <v>187</v>
      </c>
      <c r="O1272">
        <v>1</v>
      </c>
    </row>
    <row r="1273" spans="1:15" x14ac:dyDescent="0.3">
      <c r="A1273" s="53" t="s">
        <v>2434</v>
      </c>
      <c r="B1273" s="61" t="s">
        <v>78</v>
      </c>
      <c r="C1273" s="61" t="s">
        <v>12</v>
      </c>
      <c r="D1273" s="53" t="s">
        <v>2370</v>
      </c>
      <c r="E1273" s="53" t="s">
        <v>391</v>
      </c>
      <c r="F1273" s="96">
        <v>44541</v>
      </c>
      <c r="G1273" s="96">
        <v>44603</v>
      </c>
      <c r="H1273" s="58" t="str">
        <f t="shared" si="45"/>
        <v>ODD</v>
      </c>
      <c r="I1273" s="106">
        <v>0</v>
      </c>
      <c r="J1273" s="32" t="str">
        <f>UPPER(TEXT(F1273,"mmm")) &amp; " - " &amp; UPPER(TEXT(G1273,"mmm"))</f>
        <v>DEC - FEB</v>
      </c>
      <c r="K1273" s="32" t="s">
        <v>1736</v>
      </c>
      <c r="L1273" s="99" t="s">
        <v>3895</v>
      </c>
      <c r="M1273" s="32" t="str">
        <f t="shared" si="44"/>
        <v>No</v>
      </c>
      <c r="N1273" s="32">
        <f>G1273 - F1273</f>
        <v>62</v>
      </c>
      <c r="O1273">
        <v>1</v>
      </c>
    </row>
    <row r="1274" spans="1:15" x14ac:dyDescent="0.3">
      <c r="A1274" s="53" t="s">
        <v>2435</v>
      </c>
      <c r="B1274" s="61" t="s">
        <v>78</v>
      </c>
      <c r="C1274" s="61" t="s">
        <v>12</v>
      </c>
      <c r="D1274" s="53" t="s">
        <v>2436</v>
      </c>
      <c r="E1274" s="53" t="s">
        <v>1107</v>
      </c>
      <c r="F1274" s="96">
        <v>44571</v>
      </c>
      <c r="G1274" s="96">
        <v>44628</v>
      </c>
      <c r="H1274" s="58" t="str">
        <f t="shared" si="45"/>
        <v>EVEN</v>
      </c>
      <c r="I1274" s="106">
        <v>0</v>
      </c>
      <c r="J1274" s="32" t="str">
        <f>UPPER(TEXT(F1274,"mmm")) &amp; " - " &amp; UPPER(TEXT(G1274,"mmm"))</f>
        <v>JAN - MAR</v>
      </c>
      <c r="K1274" s="32" t="s">
        <v>1736</v>
      </c>
      <c r="L1274" s="99" t="s">
        <v>3895</v>
      </c>
      <c r="M1274" s="32" t="str">
        <f t="shared" si="44"/>
        <v>No</v>
      </c>
      <c r="N1274" s="32">
        <f>G1274 - F1274</f>
        <v>57</v>
      </c>
      <c r="O1274">
        <v>1</v>
      </c>
    </row>
    <row r="1275" spans="1:15" x14ac:dyDescent="0.3">
      <c r="A1275" s="53" t="s">
        <v>2437</v>
      </c>
      <c r="B1275" s="61" t="s">
        <v>78</v>
      </c>
      <c r="C1275" s="61" t="s">
        <v>12</v>
      </c>
      <c r="D1275" s="53" t="s">
        <v>2438</v>
      </c>
      <c r="E1275" s="53" t="s">
        <v>393</v>
      </c>
      <c r="F1275" s="96">
        <v>44713</v>
      </c>
      <c r="G1275" s="96">
        <v>44776</v>
      </c>
      <c r="H1275" s="58" t="str">
        <f t="shared" si="45"/>
        <v>EVEN</v>
      </c>
      <c r="I1275" s="106">
        <v>0</v>
      </c>
      <c r="J1275" s="32" t="str">
        <f>UPPER(TEXT(F1275,"mmm")) &amp; " - " &amp; UPPER(TEXT(G1275,"mmm"))</f>
        <v>JUN - AUG</v>
      </c>
      <c r="K1275" s="32" t="s">
        <v>1736</v>
      </c>
      <c r="L1275" s="99" t="s">
        <v>3895</v>
      </c>
      <c r="M1275" s="32" t="str">
        <f t="shared" si="44"/>
        <v>No</v>
      </c>
      <c r="N1275" s="32">
        <f>G1275 - F1275</f>
        <v>63</v>
      </c>
      <c r="O1275">
        <v>1</v>
      </c>
    </row>
    <row r="1276" spans="1:15" x14ac:dyDescent="0.3">
      <c r="A1276" s="53" t="s">
        <v>360</v>
      </c>
      <c r="B1276" s="61" t="s">
        <v>78</v>
      </c>
      <c r="C1276" s="61" t="s">
        <v>12</v>
      </c>
      <c r="D1276" s="53" t="s">
        <v>838</v>
      </c>
      <c r="E1276" s="53" t="s">
        <v>2439</v>
      </c>
      <c r="F1276" s="96">
        <v>44380</v>
      </c>
      <c r="G1276" s="96">
        <v>44711</v>
      </c>
      <c r="H1276" s="58" t="str">
        <f t="shared" si="45"/>
        <v>EVEN</v>
      </c>
      <c r="I1276" s="107">
        <v>0</v>
      </c>
      <c r="J1276" s="32" t="str">
        <f>UPPER(TEXT(F1276,"mmm")) &amp; " - " &amp; UPPER(TEXT(G1276,"mmm"))</f>
        <v>JUL - MAY</v>
      </c>
      <c r="K1276" s="32" t="s">
        <v>1736</v>
      </c>
      <c r="L1276" s="61" t="s">
        <v>895</v>
      </c>
      <c r="M1276" s="32" t="str">
        <f t="shared" si="44"/>
        <v>No</v>
      </c>
      <c r="N1276" s="32">
        <f>G1276 - F1276</f>
        <v>331</v>
      </c>
      <c r="O1276">
        <v>1</v>
      </c>
    </row>
    <row r="1277" spans="1:15" x14ac:dyDescent="0.3">
      <c r="A1277" s="53" t="s">
        <v>2440</v>
      </c>
      <c r="B1277" s="61" t="s">
        <v>78</v>
      </c>
      <c r="C1277" s="61" t="s">
        <v>12</v>
      </c>
      <c r="D1277" s="53" t="s">
        <v>2441</v>
      </c>
      <c r="E1277" s="53" t="s">
        <v>2442</v>
      </c>
      <c r="F1277" s="96">
        <v>44635</v>
      </c>
      <c r="G1277" s="96">
        <v>44895</v>
      </c>
      <c r="H1277" s="58" t="str">
        <f t="shared" si="45"/>
        <v>EVEN</v>
      </c>
      <c r="I1277" s="107">
        <v>2500</v>
      </c>
      <c r="J1277" s="32" t="str">
        <f>UPPER(TEXT(F1277,"mmm")) &amp; " - " &amp; UPPER(TEXT(G1277,"mmm"))</f>
        <v>MAR - NOV</v>
      </c>
      <c r="K1277" s="32" t="s">
        <v>1736</v>
      </c>
      <c r="L1277" s="99" t="s">
        <v>3895</v>
      </c>
      <c r="M1277" s="32" t="str">
        <f t="shared" si="44"/>
        <v>Yes</v>
      </c>
      <c r="N1277" s="32">
        <f>G1277 - F1277</f>
        <v>260</v>
      </c>
      <c r="O1277">
        <v>1</v>
      </c>
    </row>
    <row r="1278" spans="1:15" x14ac:dyDescent="0.3">
      <c r="A1278" s="53" t="s">
        <v>2443</v>
      </c>
      <c r="B1278" s="61" t="s">
        <v>78</v>
      </c>
      <c r="C1278" s="61" t="s">
        <v>12</v>
      </c>
      <c r="D1278" s="53" t="s">
        <v>2444</v>
      </c>
      <c r="E1278" s="53" t="s">
        <v>2351</v>
      </c>
      <c r="F1278" s="96">
        <v>44713</v>
      </c>
      <c r="G1278" s="96">
        <v>44789</v>
      </c>
      <c r="H1278" s="58" t="str">
        <f t="shared" si="45"/>
        <v>EVEN</v>
      </c>
      <c r="I1278" s="107">
        <v>0</v>
      </c>
      <c r="J1278" s="32" t="str">
        <f>UPPER(TEXT(F1278,"mmm")) &amp; " - " &amp; UPPER(TEXT(G1278,"mmm"))</f>
        <v>JUN - AUG</v>
      </c>
      <c r="K1278" s="32" t="s">
        <v>1736</v>
      </c>
      <c r="L1278" s="99" t="s">
        <v>3895</v>
      </c>
      <c r="M1278" s="32" t="str">
        <f t="shared" si="44"/>
        <v>No</v>
      </c>
      <c r="N1278" s="32">
        <f>G1278 - F1278</f>
        <v>76</v>
      </c>
      <c r="O1278">
        <v>1</v>
      </c>
    </row>
    <row r="1279" spans="1:15" x14ac:dyDescent="0.3">
      <c r="A1279" s="53" t="s">
        <v>2445</v>
      </c>
      <c r="B1279" s="61" t="s">
        <v>11</v>
      </c>
      <c r="C1279" s="61" t="s">
        <v>12</v>
      </c>
      <c r="D1279" s="53" t="s">
        <v>2446</v>
      </c>
      <c r="E1279" s="53" t="s">
        <v>2447</v>
      </c>
      <c r="F1279" s="96">
        <v>44727</v>
      </c>
      <c r="G1279" s="96">
        <v>45000</v>
      </c>
      <c r="H1279" s="58" t="str">
        <f t="shared" si="45"/>
        <v>EVEN</v>
      </c>
      <c r="I1279" s="107">
        <v>0</v>
      </c>
      <c r="J1279" s="32" t="str">
        <f>UPPER(TEXT(F1279,"mmm")) &amp; " - " &amp; UPPER(TEXT(G1279,"mmm"))</f>
        <v>JUN - MAR</v>
      </c>
      <c r="K1279" s="32" t="s">
        <v>1736</v>
      </c>
      <c r="L1279" s="61" t="s">
        <v>895</v>
      </c>
      <c r="M1279" s="32" t="str">
        <f t="shared" si="44"/>
        <v>No</v>
      </c>
      <c r="N1279" s="32">
        <f>G1279 - F1279</f>
        <v>273</v>
      </c>
      <c r="O1279">
        <v>1</v>
      </c>
    </row>
    <row r="1280" spans="1:15" x14ac:dyDescent="0.3">
      <c r="A1280" s="53" t="s">
        <v>2398</v>
      </c>
      <c r="B1280" s="61" t="s">
        <v>11</v>
      </c>
      <c r="C1280" s="61" t="s">
        <v>12</v>
      </c>
      <c r="D1280" s="53" t="s">
        <v>2448</v>
      </c>
      <c r="E1280" s="53" t="s">
        <v>2449</v>
      </c>
      <c r="F1280" s="96">
        <v>44727</v>
      </c>
      <c r="G1280" s="96">
        <v>45000</v>
      </c>
      <c r="H1280" s="58" t="str">
        <f t="shared" si="45"/>
        <v>EVEN</v>
      </c>
      <c r="I1280" s="107">
        <v>0</v>
      </c>
      <c r="J1280" s="32" t="str">
        <f>UPPER(TEXT(F1280,"mmm")) &amp; " - " &amp; UPPER(TEXT(G1280,"mmm"))</f>
        <v>JUN - MAR</v>
      </c>
      <c r="K1280" s="32" t="s">
        <v>1736</v>
      </c>
      <c r="L1280" s="61" t="s">
        <v>895</v>
      </c>
      <c r="M1280" s="32" t="str">
        <f t="shared" si="44"/>
        <v>No</v>
      </c>
      <c r="N1280" s="32">
        <f>G1280 - F1280</f>
        <v>273</v>
      </c>
      <c r="O1280">
        <v>1</v>
      </c>
    </row>
    <row r="1281" spans="1:15" x14ac:dyDescent="0.3">
      <c r="A1281" s="53" t="s">
        <v>2450</v>
      </c>
      <c r="B1281" s="61" t="s">
        <v>11</v>
      </c>
      <c r="C1281" s="61" t="s">
        <v>12</v>
      </c>
      <c r="D1281" s="53" t="s">
        <v>2451</v>
      </c>
      <c r="E1281" s="53" t="s">
        <v>2452</v>
      </c>
      <c r="F1281" s="96">
        <v>44356</v>
      </c>
      <c r="G1281" s="96">
        <v>44716</v>
      </c>
      <c r="H1281" s="58" t="str">
        <f t="shared" si="45"/>
        <v>EVEN</v>
      </c>
      <c r="I1281" s="107">
        <v>0</v>
      </c>
      <c r="J1281" s="32" t="str">
        <f>UPPER(TEXT(F1281,"mmm")) &amp; " - " &amp; UPPER(TEXT(G1281,"mmm"))</f>
        <v>JUN - JUN</v>
      </c>
      <c r="K1281" s="32" t="s">
        <v>1736</v>
      </c>
      <c r="L1281" s="61" t="s">
        <v>895</v>
      </c>
      <c r="M1281" s="32" t="str">
        <f t="shared" si="44"/>
        <v>No</v>
      </c>
      <c r="N1281" s="32">
        <f>G1281 - F1281</f>
        <v>360</v>
      </c>
      <c r="O1281">
        <v>1</v>
      </c>
    </row>
    <row r="1282" spans="1:15" x14ac:dyDescent="0.3">
      <c r="A1282" s="53" t="s">
        <v>2254</v>
      </c>
      <c r="B1282" s="61" t="s">
        <v>11</v>
      </c>
      <c r="C1282" s="61" t="s">
        <v>12</v>
      </c>
      <c r="D1282" s="53" t="s">
        <v>2453</v>
      </c>
      <c r="E1282" s="53" t="s">
        <v>2454</v>
      </c>
      <c r="F1282" s="96">
        <v>44337</v>
      </c>
      <c r="G1282" s="96">
        <v>44717</v>
      </c>
      <c r="H1282" s="58" t="str">
        <f t="shared" si="45"/>
        <v>EVEN</v>
      </c>
      <c r="I1282" s="107">
        <v>0</v>
      </c>
      <c r="J1282" s="32" t="str">
        <f>UPPER(TEXT(F1282,"mmm")) &amp; " - " &amp; UPPER(TEXT(G1282,"mmm"))</f>
        <v>MAY - JUN</v>
      </c>
      <c r="K1282" s="32" t="s">
        <v>1736</v>
      </c>
      <c r="L1282" s="61" t="s">
        <v>895</v>
      </c>
      <c r="M1282" s="32" t="str">
        <f t="shared" ref="M1282:M1345" si="46">IF(I1282 &gt; 0, "Yes", "No")</f>
        <v>No</v>
      </c>
      <c r="N1282" s="32">
        <f>G1282 - F1282</f>
        <v>380</v>
      </c>
      <c r="O1282">
        <v>1</v>
      </c>
    </row>
    <row r="1283" spans="1:15" x14ac:dyDescent="0.3">
      <c r="A1283" s="53" t="s">
        <v>2455</v>
      </c>
      <c r="B1283" s="61" t="s">
        <v>11</v>
      </c>
      <c r="C1283" s="61" t="s">
        <v>12</v>
      </c>
      <c r="D1283" s="53" t="s">
        <v>2456</v>
      </c>
      <c r="E1283" s="53" t="s">
        <v>2457</v>
      </c>
      <c r="F1283" s="96">
        <v>44728</v>
      </c>
      <c r="G1283" s="96">
        <v>45002</v>
      </c>
      <c r="H1283" s="58" t="str">
        <f t="shared" si="45"/>
        <v>EVEN</v>
      </c>
      <c r="I1283" s="107">
        <v>0</v>
      </c>
      <c r="J1283" s="32" t="str">
        <f>UPPER(TEXT(F1283,"mmm")) &amp; " - " &amp; UPPER(TEXT(G1283,"mmm"))</f>
        <v>JUN - MAR</v>
      </c>
      <c r="K1283" s="32" t="s">
        <v>1736</v>
      </c>
      <c r="L1283" s="61" t="s">
        <v>895</v>
      </c>
      <c r="M1283" s="32" t="str">
        <f t="shared" si="46"/>
        <v>No</v>
      </c>
      <c r="N1283" s="32">
        <f>G1283 - F1283</f>
        <v>274</v>
      </c>
      <c r="O1283">
        <v>1</v>
      </c>
    </row>
    <row r="1284" spans="1:15" x14ac:dyDescent="0.3">
      <c r="A1284" s="53" t="s">
        <v>2445</v>
      </c>
      <c r="B1284" s="61" t="s">
        <v>11</v>
      </c>
      <c r="C1284" s="61" t="s">
        <v>12</v>
      </c>
      <c r="D1284" s="53" t="s">
        <v>2446</v>
      </c>
      <c r="E1284" s="53" t="s">
        <v>2458</v>
      </c>
      <c r="F1284" s="96">
        <v>44727</v>
      </c>
      <c r="G1284" s="96">
        <v>45000</v>
      </c>
      <c r="H1284" s="58" t="str">
        <f t="shared" si="45"/>
        <v>EVEN</v>
      </c>
      <c r="I1284" s="107">
        <v>0</v>
      </c>
      <c r="J1284" s="32" t="str">
        <f>UPPER(TEXT(F1284,"mmm")) &amp; " - " &amp; UPPER(TEXT(G1284,"mmm"))</f>
        <v>JUN - MAR</v>
      </c>
      <c r="K1284" s="32" t="s">
        <v>1736</v>
      </c>
      <c r="L1284" s="61" t="s">
        <v>895</v>
      </c>
      <c r="M1284" s="32" t="str">
        <f t="shared" si="46"/>
        <v>No</v>
      </c>
      <c r="N1284" s="32">
        <f>G1284 - F1284</f>
        <v>273</v>
      </c>
      <c r="O1284">
        <v>1</v>
      </c>
    </row>
    <row r="1285" spans="1:15" x14ac:dyDescent="0.3">
      <c r="A1285" s="53" t="s">
        <v>2459</v>
      </c>
      <c r="B1285" s="61" t="s">
        <v>11</v>
      </c>
      <c r="C1285" s="61" t="s">
        <v>12</v>
      </c>
      <c r="D1285" s="53" t="s">
        <v>2460</v>
      </c>
      <c r="E1285" s="53" t="s">
        <v>2461</v>
      </c>
      <c r="F1285" s="96">
        <v>44727</v>
      </c>
      <c r="G1285" s="96">
        <v>44997</v>
      </c>
      <c r="H1285" s="58" t="str">
        <f t="shared" si="45"/>
        <v>EVEN</v>
      </c>
      <c r="I1285" s="107">
        <v>0</v>
      </c>
      <c r="J1285" s="32" t="str">
        <f>UPPER(TEXT(F1285,"mmm")) &amp; " - " &amp; UPPER(TEXT(G1285,"mmm"))</f>
        <v>JUN - MAR</v>
      </c>
      <c r="K1285" s="32" t="s">
        <v>1736</v>
      </c>
      <c r="L1285" s="61" t="s">
        <v>895</v>
      </c>
      <c r="M1285" s="32" t="str">
        <f t="shared" si="46"/>
        <v>No</v>
      </c>
      <c r="N1285" s="32">
        <f>G1285 - F1285</f>
        <v>270</v>
      </c>
      <c r="O1285">
        <v>1</v>
      </c>
    </row>
    <row r="1286" spans="1:15" x14ac:dyDescent="0.3">
      <c r="A1286" s="53" t="s">
        <v>2462</v>
      </c>
      <c r="B1286" s="61" t="s">
        <v>78</v>
      </c>
      <c r="C1286" s="61" t="s">
        <v>12</v>
      </c>
      <c r="D1286" s="53" t="s">
        <v>2463</v>
      </c>
      <c r="E1286" s="53" t="s">
        <v>2464</v>
      </c>
      <c r="F1286" s="96">
        <v>44378</v>
      </c>
      <c r="G1286" s="96">
        <v>44428</v>
      </c>
      <c r="H1286" s="58" t="str">
        <f t="shared" si="45"/>
        <v>EVEN</v>
      </c>
      <c r="I1286" s="107">
        <v>0</v>
      </c>
      <c r="J1286" s="32" t="str">
        <f>UPPER(TEXT(F1286,"mmm")) &amp; " - " &amp; UPPER(TEXT(G1286,"mmm"))</f>
        <v>JUL - AUG</v>
      </c>
      <c r="K1286" s="32" t="s">
        <v>1736</v>
      </c>
      <c r="L1286" s="99" t="s">
        <v>3895</v>
      </c>
      <c r="M1286" s="32" t="str">
        <f t="shared" si="46"/>
        <v>No</v>
      </c>
      <c r="N1286" s="32">
        <f>G1286 - F1286</f>
        <v>50</v>
      </c>
      <c r="O1286">
        <v>1</v>
      </c>
    </row>
    <row r="1287" spans="1:15" x14ac:dyDescent="0.3">
      <c r="A1287" s="53" t="s">
        <v>2465</v>
      </c>
      <c r="B1287" s="61" t="s">
        <v>78</v>
      </c>
      <c r="C1287" s="61" t="s">
        <v>12</v>
      </c>
      <c r="D1287" s="53" t="s">
        <v>2466</v>
      </c>
      <c r="E1287" s="53" t="s">
        <v>2467</v>
      </c>
      <c r="F1287" s="96">
        <v>44431</v>
      </c>
      <c r="G1287" s="96">
        <v>44663</v>
      </c>
      <c r="H1287" s="58" t="str">
        <f t="shared" si="45"/>
        <v>ODD</v>
      </c>
      <c r="I1287" s="107">
        <v>0</v>
      </c>
      <c r="J1287" s="32" t="str">
        <f>UPPER(TEXT(F1287,"mmm")) &amp; " - " &amp; UPPER(TEXT(G1287,"mmm"))</f>
        <v>AUG - APR</v>
      </c>
      <c r="K1287" s="32" t="s">
        <v>1736</v>
      </c>
      <c r="L1287" s="99" t="s">
        <v>3895</v>
      </c>
      <c r="M1287" s="32" t="str">
        <f t="shared" si="46"/>
        <v>No</v>
      </c>
      <c r="N1287" s="32">
        <f>G1287 - F1287</f>
        <v>232</v>
      </c>
      <c r="O1287">
        <v>1</v>
      </c>
    </row>
    <row r="1288" spans="1:15" x14ac:dyDescent="0.3">
      <c r="A1288" s="53" t="s">
        <v>2465</v>
      </c>
      <c r="B1288" s="61" t="s">
        <v>78</v>
      </c>
      <c r="C1288" s="61" t="s">
        <v>12</v>
      </c>
      <c r="D1288" s="53" t="s">
        <v>2468</v>
      </c>
      <c r="E1288" s="53" t="s">
        <v>2469</v>
      </c>
      <c r="F1288" s="96">
        <v>44510</v>
      </c>
      <c r="G1288" s="96">
        <v>44661</v>
      </c>
      <c r="H1288" s="58" t="str">
        <f t="shared" si="45"/>
        <v>ODD</v>
      </c>
      <c r="I1288" s="107">
        <v>5000</v>
      </c>
      <c r="J1288" s="32" t="str">
        <f>UPPER(TEXT(F1288,"mmm")) &amp; " - " &amp; UPPER(TEXT(G1288,"mmm"))</f>
        <v>NOV - APR</v>
      </c>
      <c r="K1288" s="32" t="s">
        <v>1736</v>
      </c>
      <c r="L1288" s="99" t="s">
        <v>3895</v>
      </c>
      <c r="M1288" s="32" t="str">
        <f t="shared" si="46"/>
        <v>Yes</v>
      </c>
      <c r="N1288" s="32">
        <f>G1288 - F1288</f>
        <v>151</v>
      </c>
      <c r="O1288">
        <v>1</v>
      </c>
    </row>
    <row r="1289" spans="1:15" x14ac:dyDescent="0.3">
      <c r="A1289" s="53" t="s">
        <v>2445</v>
      </c>
      <c r="B1289" s="61" t="s">
        <v>78</v>
      </c>
      <c r="C1289" s="61" t="s">
        <v>12</v>
      </c>
      <c r="D1289" s="53" t="s">
        <v>2446</v>
      </c>
      <c r="E1289" s="53" t="s">
        <v>2470</v>
      </c>
      <c r="F1289" s="96">
        <v>44727</v>
      </c>
      <c r="G1289" s="96">
        <v>45000</v>
      </c>
      <c r="H1289" s="58" t="str">
        <f t="shared" si="45"/>
        <v>EVEN</v>
      </c>
      <c r="I1289" s="107">
        <v>0</v>
      </c>
      <c r="J1289" s="32" t="str">
        <f>UPPER(TEXT(F1289,"mmm")) &amp; " - " &amp; UPPER(TEXT(G1289,"mmm"))</f>
        <v>JUN - MAR</v>
      </c>
      <c r="K1289" s="32" t="s">
        <v>1736</v>
      </c>
      <c r="L1289" s="61" t="s">
        <v>895</v>
      </c>
      <c r="M1289" s="32" t="str">
        <f t="shared" si="46"/>
        <v>No</v>
      </c>
      <c r="N1289" s="32">
        <f>G1289 - F1289</f>
        <v>273</v>
      </c>
      <c r="O1289">
        <v>1</v>
      </c>
    </row>
    <row r="1290" spans="1:15" x14ac:dyDescent="0.3">
      <c r="A1290" s="53" t="s">
        <v>1182</v>
      </c>
      <c r="B1290" s="61" t="s">
        <v>78</v>
      </c>
      <c r="C1290" s="61" t="s">
        <v>12</v>
      </c>
      <c r="D1290" s="53" t="s">
        <v>2471</v>
      </c>
      <c r="E1290" s="53" t="s">
        <v>2472</v>
      </c>
      <c r="F1290" s="96">
        <v>44739</v>
      </c>
      <c r="G1290" s="96">
        <v>44790</v>
      </c>
      <c r="H1290" s="58" t="str">
        <f t="shared" si="45"/>
        <v>EVEN</v>
      </c>
      <c r="I1290" s="107">
        <v>0</v>
      </c>
      <c r="J1290" s="32" t="str">
        <f>UPPER(TEXT(F1290,"mmm")) &amp; " - " &amp; UPPER(TEXT(G1290,"mmm"))</f>
        <v>JUN - AUG</v>
      </c>
      <c r="K1290" s="32" t="s">
        <v>1736</v>
      </c>
      <c r="L1290" s="99" t="s">
        <v>3895</v>
      </c>
      <c r="M1290" s="32" t="str">
        <f t="shared" si="46"/>
        <v>No</v>
      </c>
      <c r="N1290" s="32">
        <f>G1290 - F1290</f>
        <v>51</v>
      </c>
      <c r="O1290">
        <v>1</v>
      </c>
    </row>
    <row r="1291" spans="1:15" x14ac:dyDescent="0.3">
      <c r="A1291" s="53" t="s">
        <v>2473</v>
      </c>
      <c r="B1291" s="61" t="s">
        <v>78</v>
      </c>
      <c r="C1291" s="61" t="s">
        <v>12</v>
      </c>
      <c r="D1291" s="53" t="s">
        <v>2474</v>
      </c>
      <c r="E1291" s="53" t="s">
        <v>2475</v>
      </c>
      <c r="F1291" s="96">
        <v>44740</v>
      </c>
      <c r="G1291" s="96">
        <v>44771</v>
      </c>
      <c r="H1291" s="58" t="str">
        <f t="shared" si="45"/>
        <v>EVEN</v>
      </c>
      <c r="I1291" s="107">
        <v>0</v>
      </c>
      <c r="J1291" s="32" t="str">
        <f>UPPER(TEXT(F1291,"mmm")) &amp; " - " &amp; UPPER(TEXT(G1291,"mmm"))</f>
        <v>JUN - JUL</v>
      </c>
      <c r="K1291" s="32" t="s">
        <v>1736</v>
      </c>
      <c r="L1291" s="99" t="s">
        <v>3895</v>
      </c>
      <c r="M1291" s="32" t="str">
        <f t="shared" si="46"/>
        <v>No</v>
      </c>
      <c r="N1291" s="32">
        <f>G1291 - F1291</f>
        <v>31</v>
      </c>
      <c r="O1291">
        <v>1</v>
      </c>
    </row>
    <row r="1292" spans="1:15" x14ac:dyDescent="0.3">
      <c r="A1292" s="53" t="s">
        <v>2476</v>
      </c>
      <c r="B1292" s="61" t="s">
        <v>78</v>
      </c>
      <c r="C1292" s="61" t="s">
        <v>12</v>
      </c>
      <c r="D1292" s="53" t="s">
        <v>2477</v>
      </c>
      <c r="E1292" s="53" t="s">
        <v>2475</v>
      </c>
      <c r="F1292" s="96">
        <v>44740</v>
      </c>
      <c r="G1292" s="96">
        <v>44771</v>
      </c>
      <c r="H1292" s="58" t="str">
        <f t="shared" si="45"/>
        <v>EVEN</v>
      </c>
      <c r="I1292" s="107">
        <v>0</v>
      </c>
      <c r="J1292" s="32" t="str">
        <f>UPPER(TEXT(F1292,"mmm")) &amp; " - " &amp; UPPER(TEXT(G1292,"mmm"))</f>
        <v>JUN - JUL</v>
      </c>
      <c r="K1292" s="32" t="s">
        <v>1736</v>
      </c>
      <c r="L1292" s="99" t="s">
        <v>3895</v>
      </c>
      <c r="M1292" s="32" t="str">
        <f t="shared" si="46"/>
        <v>No</v>
      </c>
      <c r="N1292" s="32">
        <f>G1292 - F1292</f>
        <v>31</v>
      </c>
      <c r="O1292">
        <v>1</v>
      </c>
    </row>
    <row r="1293" spans="1:15" x14ac:dyDescent="0.3">
      <c r="A1293" s="53" t="s">
        <v>2478</v>
      </c>
      <c r="B1293" s="61" t="s">
        <v>78</v>
      </c>
      <c r="C1293" s="61" t="s">
        <v>12</v>
      </c>
      <c r="D1293" s="53" t="s">
        <v>2479</v>
      </c>
      <c r="E1293" s="53" t="s">
        <v>2480</v>
      </c>
      <c r="F1293" s="96">
        <v>44713</v>
      </c>
      <c r="G1293" s="96">
        <v>45229</v>
      </c>
      <c r="H1293" s="58" t="str">
        <f t="shared" si="45"/>
        <v>EVEN</v>
      </c>
      <c r="I1293" s="107">
        <v>0</v>
      </c>
      <c r="J1293" s="32" t="str">
        <f>UPPER(TEXT(F1293,"mmm")) &amp; " - " &amp; UPPER(TEXT(G1293,"mmm"))</f>
        <v>JUN - OCT</v>
      </c>
      <c r="K1293" s="32" t="s">
        <v>1736</v>
      </c>
      <c r="L1293" s="99" t="s">
        <v>3895</v>
      </c>
      <c r="M1293" s="32" t="str">
        <f t="shared" si="46"/>
        <v>No</v>
      </c>
      <c r="N1293" s="32">
        <f>G1293 - F1293</f>
        <v>516</v>
      </c>
      <c r="O1293">
        <v>1</v>
      </c>
    </row>
    <row r="1294" spans="1:15" x14ac:dyDescent="0.3">
      <c r="A1294" s="53" t="s">
        <v>2481</v>
      </c>
      <c r="B1294" s="61" t="s">
        <v>78</v>
      </c>
      <c r="C1294" s="61" t="s">
        <v>12</v>
      </c>
      <c r="D1294" s="53" t="s">
        <v>1225</v>
      </c>
      <c r="E1294" s="53" t="s">
        <v>2482</v>
      </c>
      <c r="F1294" s="96">
        <v>44379</v>
      </c>
      <c r="G1294" s="96">
        <v>44712</v>
      </c>
      <c r="H1294" s="58" t="str">
        <f t="shared" si="45"/>
        <v>EVEN</v>
      </c>
      <c r="I1294" s="107">
        <v>0</v>
      </c>
      <c r="J1294" s="32" t="str">
        <f>UPPER(TEXT(F1294,"mmm")) &amp; " - " &amp; UPPER(TEXT(G1294,"mmm"))</f>
        <v>JUL - MAY</v>
      </c>
      <c r="K1294" s="32" t="s">
        <v>1736</v>
      </c>
      <c r="L1294" s="61" t="s">
        <v>895</v>
      </c>
      <c r="M1294" s="32" t="str">
        <f t="shared" si="46"/>
        <v>No</v>
      </c>
      <c r="N1294" s="32">
        <f>G1294 - F1294</f>
        <v>333</v>
      </c>
      <c r="O1294">
        <v>1</v>
      </c>
    </row>
    <row r="1295" spans="1:15" x14ac:dyDescent="0.3">
      <c r="A1295" s="53" t="s">
        <v>2483</v>
      </c>
      <c r="B1295" s="61" t="s">
        <v>11</v>
      </c>
      <c r="C1295" s="61" t="s">
        <v>12</v>
      </c>
      <c r="D1295" s="53" t="s">
        <v>604</v>
      </c>
      <c r="E1295" s="53" t="s">
        <v>2484</v>
      </c>
      <c r="F1295" s="96">
        <v>44633</v>
      </c>
      <c r="G1295" s="96">
        <v>44709</v>
      </c>
      <c r="H1295" s="58" t="str">
        <f t="shared" si="45"/>
        <v>EVEN</v>
      </c>
      <c r="I1295" s="107">
        <v>0</v>
      </c>
      <c r="J1295" s="32" t="str">
        <f>UPPER(TEXT(F1295,"mmm")) &amp; " - " &amp; UPPER(TEXT(G1295,"mmm"))</f>
        <v>MAR - MAY</v>
      </c>
      <c r="K1295" s="32" t="s">
        <v>1736</v>
      </c>
      <c r="L1295" s="99" t="s">
        <v>3895</v>
      </c>
      <c r="M1295" s="32" t="str">
        <f t="shared" si="46"/>
        <v>No</v>
      </c>
      <c r="N1295" s="32">
        <f>G1295 - F1295</f>
        <v>76</v>
      </c>
      <c r="O1295">
        <v>1</v>
      </c>
    </row>
    <row r="1296" spans="1:15" x14ac:dyDescent="0.3">
      <c r="A1296" s="53" t="s">
        <v>2485</v>
      </c>
      <c r="B1296" s="61" t="s">
        <v>78</v>
      </c>
      <c r="C1296" s="61" t="s">
        <v>12</v>
      </c>
      <c r="D1296" s="53" t="s">
        <v>2486</v>
      </c>
      <c r="E1296" s="53" t="s">
        <v>2487</v>
      </c>
      <c r="F1296" s="97">
        <v>44541</v>
      </c>
      <c r="G1296" s="96">
        <v>44603</v>
      </c>
      <c r="H1296" s="58" t="str">
        <f t="shared" si="45"/>
        <v>ODD</v>
      </c>
      <c r="I1296" s="107">
        <v>0</v>
      </c>
      <c r="J1296" s="32" t="str">
        <f>UPPER(TEXT(F1296,"mmm")) &amp; " - " &amp; UPPER(TEXT(G1296,"mmm"))</f>
        <v>DEC - FEB</v>
      </c>
      <c r="K1296" s="32" t="s">
        <v>1736</v>
      </c>
      <c r="L1296" s="99" t="s">
        <v>3895</v>
      </c>
      <c r="M1296" s="32" t="str">
        <f t="shared" si="46"/>
        <v>No</v>
      </c>
      <c r="N1296" s="32">
        <f>G1296 - F1296</f>
        <v>62</v>
      </c>
      <c r="O1296">
        <v>1</v>
      </c>
    </row>
    <row r="1297" spans="1:15" x14ac:dyDescent="0.3">
      <c r="A1297" s="53" t="s">
        <v>2488</v>
      </c>
      <c r="B1297" s="61" t="s">
        <v>78</v>
      </c>
      <c r="C1297" s="61" t="s">
        <v>12</v>
      </c>
      <c r="D1297" s="53" t="s">
        <v>2124</v>
      </c>
      <c r="E1297" s="53" t="s">
        <v>2489</v>
      </c>
      <c r="F1297" s="96">
        <v>44713</v>
      </c>
      <c r="G1297" s="96">
        <v>45295</v>
      </c>
      <c r="H1297" s="58" t="str">
        <f t="shared" si="45"/>
        <v>EVEN</v>
      </c>
      <c r="I1297" s="107">
        <v>0</v>
      </c>
      <c r="J1297" s="32" t="str">
        <f>UPPER(TEXT(F1297,"mmm")) &amp; " - " &amp; UPPER(TEXT(G1297,"mmm"))</f>
        <v>JUN - JAN</v>
      </c>
      <c r="K1297" s="32" t="s">
        <v>1736</v>
      </c>
      <c r="L1297" s="61" t="s">
        <v>895</v>
      </c>
      <c r="M1297" s="32" t="str">
        <f t="shared" si="46"/>
        <v>No</v>
      </c>
      <c r="N1297" s="32">
        <f>G1297 - F1297</f>
        <v>582</v>
      </c>
      <c r="O1297">
        <v>1</v>
      </c>
    </row>
    <row r="1298" spans="1:15" x14ac:dyDescent="0.3">
      <c r="A1298" s="53" t="s">
        <v>2478</v>
      </c>
      <c r="B1298" s="61" t="s">
        <v>78</v>
      </c>
      <c r="C1298" s="61" t="s">
        <v>12</v>
      </c>
      <c r="D1298" s="53" t="s">
        <v>2479</v>
      </c>
      <c r="E1298" s="53" t="s">
        <v>2480</v>
      </c>
      <c r="F1298" s="96">
        <v>44713</v>
      </c>
      <c r="G1298" s="96">
        <v>44742</v>
      </c>
      <c r="H1298" s="58" t="str">
        <f t="shared" si="45"/>
        <v>EVEN</v>
      </c>
      <c r="I1298" s="107">
        <v>0</v>
      </c>
      <c r="J1298" s="32" t="str">
        <f>UPPER(TEXT(F1298,"mmm")) &amp; " - " &amp; UPPER(TEXT(G1298,"mmm"))</f>
        <v>JUN - JUN</v>
      </c>
      <c r="K1298" s="32" t="s">
        <v>1736</v>
      </c>
      <c r="L1298" s="99" t="s">
        <v>3895</v>
      </c>
      <c r="M1298" s="32" t="str">
        <f t="shared" si="46"/>
        <v>No</v>
      </c>
      <c r="N1298" s="32">
        <f>G1298 - F1298</f>
        <v>29</v>
      </c>
      <c r="O1298">
        <v>1</v>
      </c>
    </row>
    <row r="1299" spans="1:15" x14ac:dyDescent="0.3">
      <c r="A1299" s="55" t="s">
        <v>2490</v>
      </c>
      <c r="B1299" s="76" t="s">
        <v>11</v>
      </c>
      <c r="C1299" s="76" t="s">
        <v>12</v>
      </c>
      <c r="D1299" s="56" t="s">
        <v>2491</v>
      </c>
      <c r="E1299" s="55" t="s">
        <v>2492</v>
      </c>
      <c r="F1299" s="98">
        <v>44610</v>
      </c>
      <c r="G1299" s="98">
        <v>44638</v>
      </c>
      <c r="H1299" s="58" t="str">
        <f t="shared" si="45"/>
        <v>EVEN</v>
      </c>
      <c r="I1299" s="107">
        <v>0</v>
      </c>
      <c r="J1299" s="32" t="str">
        <f>UPPER(TEXT(F1299,"mmm")) &amp; " - " &amp; UPPER(TEXT(G1299,"mmm"))</f>
        <v>FEB - MAR</v>
      </c>
      <c r="K1299" s="32" t="s">
        <v>1736</v>
      </c>
      <c r="L1299" s="99" t="s">
        <v>3895</v>
      </c>
      <c r="M1299" s="32" t="str">
        <f t="shared" si="46"/>
        <v>No</v>
      </c>
      <c r="N1299" s="32">
        <f>G1299 - F1299</f>
        <v>28</v>
      </c>
      <c r="O1299">
        <v>1</v>
      </c>
    </row>
    <row r="1300" spans="1:15" x14ac:dyDescent="0.3">
      <c r="A1300" s="55" t="s">
        <v>2493</v>
      </c>
      <c r="B1300" s="76" t="s">
        <v>11</v>
      </c>
      <c r="C1300" s="76" t="s">
        <v>12</v>
      </c>
      <c r="D1300" s="56" t="s">
        <v>2494</v>
      </c>
      <c r="E1300" s="55" t="s">
        <v>2495</v>
      </c>
      <c r="F1300" s="98">
        <v>44652</v>
      </c>
      <c r="G1300" s="98">
        <v>44712</v>
      </c>
      <c r="H1300" s="58" t="str">
        <f t="shared" si="45"/>
        <v>EVEN</v>
      </c>
      <c r="I1300" s="107">
        <v>0</v>
      </c>
      <c r="J1300" s="32" t="str">
        <f>UPPER(TEXT(F1300,"mmm")) &amp; " - " &amp; UPPER(TEXT(G1300,"mmm"))</f>
        <v>APR - MAY</v>
      </c>
      <c r="K1300" s="32" t="s">
        <v>1736</v>
      </c>
      <c r="L1300" s="99" t="s">
        <v>3895</v>
      </c>
      <c r="M1300" s="32" t="str">
        <f t="shared" si="46"/>
        <v>No</v>
      </c>
      <c r="N1300" s="32">
        <f>G1300 - F1300</f>
        <v>60</v>
      </c>
      <c r="O1300">
        <v>1</v>
      </c>
    </row>
    <row r="1301" spans="1:15" x14ac:dyDescent="0.3">
      <c r="A1301" s="55" t="s">
        <v>2496</v>
      </c>
      <c r="B1301" s="76" t="s">
        <v>66</v>
      </c>
      <c r="C1301" s="76" t="s">
        <v>12</v>
      </c>
      <c r="D1301" s="56" t="s">
        <v>2497</v>
      </c>
      <c r="E1301" s="55" t="s">
        <v>395</v>
      </c>
      <c r="F1301" s="98">
        <v>44737</v>
      </c>
      <c r="G1301" s="98">
        <v>44772</v>
      </c>
      <c r="H1301" s="58" t="str">
        <f>IF(AND(F1301&gt;=DATE(2021,7,15), F1301&lt;=DATE(2021,12,31)), "ODD", "EVEN")</f>
        <v>EVEN</v>
      </c>
      <c r="I1301" s="107">
        <v>0</v>
      </c>
      <c r="J1301" s="32" t="str">
        <f>UPPER(TEXT(F1301,"mmm")) &amp; " - " &amp; UPPER(TEXT(G1301,"mmm"))</f>
        <v>JUN - JUL</v>
      </c>
      <c r="K1301" s="32" t="s">
        <v>1736</v>
      </c>
      <c r="L1301" s="99" t="s">
        <v>3895</v>
      </c>
      <c r="M1301" s="32" t="str">
        <f t="shared" si="46"/>
        <v>No</v>
      </c>
      <c r="N1301" s="32">
        <f>G1301 - F1301</f>
        <v>35</v>
      </c>
      <c r="O1301">
        <v>1</v>
      </c>
    </row>
    <row r="1302" spans="1:15" x14ac:dyDescent="0.3">
      <c r="A1302" s="51" t="s">
        <v>2122</v>
      </c>
      <c r="B1302" s="60" t="s">
        <v>70</v>
      </c>
      <c r="C1302" s="60" t="s">
        <v>12</v>
      </c>
      <c r="D1302" s="51" t="s">
        <v>1735</v>
      </c>
      <c r="E1302" s="51" t="s">
        <v>2498</v>
      </c>
      <c r="F1302" s="75">
        <v>44746</v>
      </c>
      <c r="G1302" s="75">
        <v>44799</v>
      </c>
      <c r="H1302" s="32" t="str">
        <f>IF(AND(F1302&gt;=DATE(2022,7,15), F1302&lt;=DATE(2022,12,31)), "ODD", "EVEN")</f>
        <v>EVEN</v>
      </c>
      <c r="I1302" s="105">
        <v>100000</v>
      </c>
      <c r="J1302" s="60" t="str">
        <f>UPPER(TEXT(F1302,"mmm")) &amp; " - " &amp; UPPER(TEXT(G1302,"mmm"))</f>
        <v>JUL - AUG</v>
      </c>
      <c r="K1302" s="60" t="s">
        <v>3133</v>
      </c>
      <c r="L1302" s="99" t="s">
        <v>3895</v>
      </c>
      <c r="M1302" s="32" t="str">
        <f t="shared" si="46"/>
        <v>Yes</v>
      </c>
      <c r="N1302" s="32">
        <f>G1302 - F1302</f>
        <v>53</v>
      </c>
      <c r="O1302">
        <v>1</v>
      </c>
    </row>
    <row r="1303" spans="1:15" x14ac:dyDescent="0.3">
      <c r="A1303" s="51" t="s">
        <v>2088</v>
      </c>
      <c r="B1303" s="60" t="s">
        <v>66</v>
      </c>
      <c r="C1303" s="60" t="s">
        <v>12</v>
      </c>
      <c r="D1303" s="51" t="s">
        <v>2499</v>
      </c>
      <c r="E1303" s="51" t="s">
        <v>2500</v>
      </c>
      <c r="F1303" s="75">
        <v>44743</v>
      </c>
      <c r="G1303" s="75">
        <v>44804</v>
      </c>
      <c r="H1303" s="32" t="str">
        <f t="shared" ref="H1303:H1366" si="47">IF(AND(F1303&gt;=DATE(2022,7,15), F1303&lt;=DATE(2022,12,31)), "ODD", "EVEN")</f>
        <v>EVEN</v>
      </c>
      <c r="I1303" s="105">
        <v>0</v>
      </c>
      <c r="J1303" s="60" t="str">
        <f>UPPER(TEXT(F1303,"mmm")) &amp; " - " &amp; UPPER(TEXT(G1303,"mmm"))</f>
        <v>JUL - AUG</v>
      </c>
      <c r="K1303" s="60" t="s">
        <v>3133</v>
      </c>
      <c r="L1303" s="99" t="s">
        <v>3895</v>
      </c>
      <c r="M1303" s="32" t="str">
        <f t="shared" si="46"/>
        <v>No</v>
      </c>
      <c r="N1303" s="32">
        <f>G1303 - F1303</f>
        <v>61</v>
      </c>
      <c r="O1303">
        <v>1</v>
      </c>
    </row>
    <row r="1304" spans="1:15" x14ac:dyDescent="0.3">
      <c r="A1304" s="51" t="s">
        <v>2501</v>
      </c>
      <c r="B1304" s="60" t="s">
        <v>66</v>
      </c>
      <c r="C1304" s="60" t="s">
        <v>12</v>
      </c>
      <c r="D1304" s="51" t="s">
        <v>2502</v>
      </c>
      <c r="E1304" s="51" t="s">
        <v>2503</v>
      </c>
      <c r="F1304" s="75">
        <v>44743</v>
      </c>
      <c r="G1304" s="75">
        <v>44769</v>
      </c>
      <c r="H1304" s="32" t="str">
        <f t="shared" si="47"/>
        <v>EVEN</v>
      </c>
      <c r="I1304" s="105">
        <v>0</v>
      </c>
      <c r="J1304" s="60" t="str">
        <f>UPPER(TEXT(F1304,"mmm")) &amp; " - " &amp; UPPER(TEXT(G1304,"mmm"))</f>
        <v>JUL - JUL</v>
      </c>
      <c r="K1304" s="60" t="s">
        <v>3133</v>
      </c>
      <c r="L1304" s="99" t="s">
        <v>3895</v>
      </c>
      <c r="M1304" s="32" t="str">
        <f t="shared" si="46"/>
        <v>No</v>
      </c>
      <c r="N1304" s="32">
        <f>G1304 - F1304</f>
        <v>26</v>
      </c>
      <c r="O1304">
        <v>1</v>
      </c>
    </row>
    <row r="1305" spans="1:15" x14ac:dyDescent="0.3">
      <c r="A1305" s="51" t="s">
        <v>2504</v>
      </c>
      <c r="B1305" s="60" t="s">
        <v>66</v>
      </c>
      <c r="C1305" s="60" t="s">
        <v>12</v>
      </c>
      <c r="D1305" s="51" t="s">
        <v>2505</v>
      </c>
      <c r="E1305" s="51" t="s">
        <v>408</v>
      </c>
      <c r="F1305" s="75">
        <v>44762</v>
      </c>
      <c r="G1305" s="75">
        <v>44790</v>
      </c>
      <c r="H1305" s="32" t="str">
        <f t="shared" si="47"/>
        <v>ODD</v>
      </c>
      <c r="I1305" s="105">
        <v>2000</v>
      </c>
      <c r="J1305" s="60" t="str">
        <f>UPPER(TEXT(F1305,"mmm")) &amp; " - " &amp; UPPER(TEXT(G1305,"mmm"))</f>
        <v>JUL - AUG</v>
      </c>
      <c r="K1305" s="60" t="s">
        <v>3133</v>
      </c>
      <c r="L1305" s="99" t="s">
        <v>3895</v>
      </c>
      <c r="M1305" s="32" t="str">
        <f t="shared" si="46"/>
        <v>Yes</v>
      </c>
      <c r="N1305" s="32">
        <f>G1305 - F1305</f>
        <v>28</v>
      </c>
      <c r="O1305">
        <v>1</v>
      </c>
    </row>
    <row r="1306" spans="1:15" x14ac:dyDescent="0.3">
      <c r="A1306" s="51" t="s">
        <v>2050</v>
      </c>
      <c r="B1306" s="60" t="s">
        <v>66</v>
      </c>
      <c r="C1306" s="60" t="s">
        <v>12</v>
      </c>
      <c r="D1306" s="51" t="s">
        <v>2506</v>
      </c>
      <c r="E1306" s="51" t="s">
        <v>408</v>
      </c>
      <c r="F1306" s="75">
        <v>44750</v>
      </c>
      <c r="G1306" s="75">
        <v>44781</v>
      </c>
      <c r="H1306" s="32" t="str">
        <f t="shared" si="47"/>
        <v>EVEN</v>
      </c>
      <c r="I1306" s="105">
        <v>0</v>
      </c>
      <c r="J1306" s="60" t="str">
        <f>UPPER(TEXT(F1306,"mmm")) &amp; " - " &amp; UPPER(TEXT(G1306,"mmm"))</f>
        <v>JUL - AUG</v>
      </c>
      <c r="K1306" s="60" t="s">
        <v>3133</v>
      </c>
      <c r="L1306" s="99" t="s">
        <v>3895</v>
      </c>
      <c r="M1306" s="32" t="str">
        <f t="shared" si="46"/>
        <v>No</v>
      </c>
      <c r="N1306" s="32">
        <f>G1306 - F1306</f>
        <v>31</v>
      </c>
      <c r="O1306">
        <v>1</v>
      </c>
    </row>
    <row r="1307" spans="1:15" x14ac:dyDescent="0.3">
      <c r="A1307" s="51" t="s">
        <v>2507</v>
      </c>
      <c r="B1307" s="60" t="s">
        <v>70</v>
      </c>
      <c r="C1307" s="60" t="s">
        <v>12</v>
      </c>
      <c r="D1307" s="51" t="s">
        <v>2508</v>
      </c>
      <c r="E1307" s="51" t="s">
        <v>2509</v>
      </c>
      <c r="F1307" s="75">
        <v>44748</v>
      </c>
      <c r="G1307" s="75">
        <v>44810</v>
      </c>
      <c r="H1307" s="32" t="str">
        <f t="shared" si="47"/>
        <v>EVEN</v>
      </c>
      <c r="I1307" s="105">
        <v>0</v>
      </c>
      <c r="J1307" s="60" t="str">
        <f>UPPER(TEXT(F1307,"mmm")) &amp; " - " &amp; UPPER(TEXT(G1307,"mmm"))</f>
        <v>JUL - SEP</v>
      </c>
      <c r="K1307" s="60" t="s">
        <v>3133</v>
      </c>
      <c r="L1307" s="99" t="s">
        <v>3895</v>
      </c>
      <c r="M1307" s="32" t="str">
        <f t="shared" si="46"/>
        <v>No</v>
      </c>
      <c r="N1307" s="32">
        <f>G1307 - F1307</f>
        <v>62</v>
      </c>
      <c r="O1307">
        <v>1</v>
      </c>
    </row>
    <row r="1308" spans="1:15" x14ac:dyDescent="0.3">
      <c r="A1308" s="51" t="s">
        <v>1662</v>
      </c>
      <c r="B1308" s="60" t="s">
        <v>70</v>
      </c>
      <c r="C1308" s="60" t="s">
        <v>12</v>
      </c>
      <c r="D1308" s="51" t="s">
        <v>2510</v>
      </c>
      <c r="E1308" s="51" t="s">
        <v>2511</v>
      </c>
      <c r="F1308" s="75">
        <v>44745</v>
      </c>
      <c r="G1308" s="75">
        <v>44837</v>
      </c>
      <c r="H1308" s="32" t="str">
        <f t="shared" si="47"/>
        <v>EVEN</v>
      </c>
      <c r="I1308" s="105">
        <v>1200</v>
      </c>
      <c r="J1308" s="60" t="str">
        <f>UPPER(TEXT(F1308,"mmm")) &amp; " - " &amp; UPPER(TEXT(G1308,"mmm"))</f>
        <v>JUL - OCT</v>
      </c>
      <c r="K1308" s="60" t="s">
        <v>3133</v>
      </c>
      <c r="L1308" s="99" t="s">
        <v>3895</v>
      </c>
      <c r="M1308" s="32" t="str">
        <f t="shared" si="46"/>
        <v>Yes</v>
      </c>
      <c r="N1308" s="32">
        <f>G1308 - F1308</f>
        <v>92</v>
      </c>
      <c r="O1308">
        <v>1</v>
      </c>
    </row>
    <row r="1309" spans="1:15" x14ac:dyDescent="0.3">
      <c r="A1309" s="51" t="s">
        <v>1842</v>
      </c>
      <c r="B1309" s="60" t="s">
        <v>70</v>
      </c>
      <c r="C1309" s="60" t="s">
        <v>12</v>
      </c>
      <c r="D1309" s="51" t="s">
        <v>2512</v>
      </c>
      <c r="E1309" s="51" t="s">
        <v>2513</v>
      </c>
      <c r="F1309" s="75">
        <v>44750</v>
      </c>
      <c r="G1309" s="75">
        <v>44781</v>
      </c>
      <c r="H1309" s="32" t="str">
        <f t="shared" si="47"/>
        <v>EVEN</v>
      </c>
      <c r="I1309" s="105">
        <v>0</v>
      </c>
      <c r="J1309" s="60" t="str">
        <f>UPPER(TEXT(F1309,"mmm")) &amp; " - " &amp; UPPER(TEXT(G1309,"mmm"))</f>
        <v>JUL - AUG</v>
      </c>
      <c r="K1309" s="60" t="s">
        <v>3133</v>
      </c>
      <c r="L1309" s="99" t="s">
        <v>3895</v>
      </c>
      <c r="M1309" s="32" t="str">
        <f t="shared" si="46"/>
        <v>No</v>
      </c>
      <c r="N1309" s="32">
        <f>G1309 - F1309</f>
        <v>31</v>
      </c>
      <c r="O1309">
        <v>1</v>
      </c>
    </row>
    <row r="1310" spans="1:15" x14ac:dyDescent="0.3">
      <c r="A1310" s="51" t="s">
        <v>2514</v>
      </c>
      <c r="B1310" s="60" t="s">
        <v>66</v>
      </c>
      <c r="C1310" s="60" t="s">
        <v>12</v>
      </c>
      <c r="D1310" s="51" t="s">
        <v>2515</v>
      </c>
      <c r="E1310" s="51" t="s">
        <v>2516</v>
      </c>
      <c r="F1310" s="75">
        <v>44832</v>
      </c>
      <c r="G1310" s="75">
        <v>44862</v>
      </c>
      <c r="H1310" s="32" t="str">
        <f t="shared" si="47"/>
        <v>ODD</v>
      </c>
      <c r="I1310" s="105">
        <v>0</v>
      </c>
      <c r="J1310" s="60" t="str">
        <f>UPPER(TEXT(F1310,"mmm")) &amp; " - " &amp; UPPER(TEXT(G1310,"mmm"))</f>
        <v>SEP - OCT</v>
      </c>
      <c r="K1310" s="60" t="s">
        <v>3133</v>
      </c>
      <c r="L1310" s="99" t="s">
        <v>3895</v>
      </c>
      <c r="M1310" s="32" t="str">
        <f t="shared" si="46"/>
        <v>No</v>
      </c>
      <c r="N1310" s="32">
        <f>G1310 - F1310</f>
        <v>30</v>
      </c>
      <c r="O1310">
        <v>1</v>
      </c>
    </row>
    <row r="1311" spans="1:15" x14ac:dyDescent="0.3">
      <c r="A1311" s="51" t="s">
        <v>1380</v>
      </c>
      <c r="B1311" s="60" t="s">
        <v>70</v>
      </c>
      <c r="C1311" s="60" t="s">
        <v>12</v>
      </c>
      <c r="D1311" s="51" t="s">
        <v>2517</v>
      </c>
      <c r="E1311" s="51" t="s">
        <v>1905</v>
      </c>
      <c r="F1311" s="75">
        <v>44746</v>
      </c>
      <c r="G1311" s="75">
        <v>44804</v>
      </c>
      <c r="H1311" s="32" t="str">
        <f t="shared" si="47"/>
        <v>EVEN</v>
      </c>
      <c r="I1311" s="105">
        <v>0</v>
      </c>
      <c r="J1311" s="60" t="str">
        <f>UPPER(TEXT(F1311,"mmm")) &amp; " - " &amp; UPPER(TEXT(G1311,"mmm"))</f>
        <v>JUL - AUG</v>
      </c>
      <c r="K1311" s="60" t="s">
        <v>3133</v>
      </c>
      <c r="L1311" s="99" t="s">
        <v>3895</v>
      </c>
      <c r="M1311" s="32" t="str">
        <f t="shared" si="46"/>
        <v>No</v>
      </c>
      <c r="N1311" s="32">
        <f>G1311 - F1311</f>
        <v>58</v>
      </c>
      <c r="O1311">
        <v>1</v>
      </c>
    </row>
    <row r="1312" spans="1:15" x14ac:dyDescent="0.3">
      <c r="A1312" s="51" t="s">
        <v>2518</v>
      </c>
      <c r="B1312" s="60" t="s">
        <v>70</v>
      </c>
      <c r="C1312" s="60" t="s">
        <v>12</v>
      </c>
      <c r="D1312" s="51" t="s">
        <v>2519</v>
      </c>
      <c r="E1312" s="51" t="s">
        <v>420</v>
      </c>
      <c r="F1312" s="75">
        <v>44743</v>
      </c>
      <c r="G1312" s="75">
        <v>44772</v>
      </c>
      <c r="H1312" s="32" t="str">
        <f t="shared" si="47"/>
        <v>EVEN</v>
      </c>
      <c r="I1312" s="105">
        <v>0</v>
      </c>
      <c r="J1312" s="60" t="str">
        <f>UPPER(TEXT(F1312,"mmm")) &amp; " - " &amp; UPPER(TEXT(G1312,"mmm"))</f>
        <v>JUL - JUL</v>
      </c>
      <c r="K1312" s="60" t="s">
        <v>3133</v>
      </c>
      <c r="L1312" s="99" t="s">
        <v>3895</v>
      </c>
      <c r="M1312" s="32" t="str">
        <f t="shared" si="46"/>
        <v>No</v>
      </c>
      <c r="N1312" s="32">
        <f>G1312 - F1312</f>
        <v>29</v>
      </c>
      <c r="O1312">
        <v>1</v>
      </c>
    </row>
    <row r="1313" spans="1:15" x14ac:dyDescent="0.3">
      <c r="A1313" s="51" t="s">
        <v>1584</v>
      </c>
      <c r="B1313" s="60" t="s">
        <v>70</v>
      </c>
      <c r="C1313" s="60" t="s">
        <v>12</v>
      </c>
      <c r="D1313" s="51" t="s">
        <v>2520</v>
      </c>
      <c r="E1313" s="51" t="s">
        <v>2521</v>
      </c>
      <c r="F1313" s="75">
        <v>44743</v>
      </c>
      <c r="G1313" s="75">
        <v>44773</v>
      </c>
      <c r="H1313" s="32" t="str">
        <f t="shared" si="47"/>
        <v>EVEN</v>
      </c>
      <c r="I1313" s="105">
        <v>0</v>
      </c>
      <c r="J1313" s="60" t="str">
        <f>UPPER(TEXT(F1313,"mmm")) &amp; " - " &amp; UPPER(TEXT(G1313,"mmm"))</f>
        <v>JUL - JUL</v>
      </c>
      <c r="K1313" s="60" t="s">
        <v>3133</v>
      </c>
      <c r="L1313" s="99" t="s">
        <v>3895</v>
      </c>
      <c r="M1313" s="32" t="str">
        <f t="shared" si="46"/>
        <v>No</v>
      </c>
      <c r="N1313" s="32">
        <f>G1313 - F1313</f>
        <v>30</v>
      </c>
      <c r="O1313">
        <v>1</v>
      </c>
    </row>
    <row r="1314" spans="1:15" x14ac:dyDescent="0.3">
      <c r="A1314" s="51" t="s">
        <v>2522</v>
      </c>
      <c r="B1314" s="60" t="s">
        <v>78</v>
      </c>
      <c r="C1314" s="60" t="s">
        <v>12</v>
      </c>
      <c r="D1314" s="51" t="s">
        <v>2296</v>
      </c>
      <c r="E1314" s="51" t="s">
        <v>2523</v>
      </c>
      <c r="F1314" s="75">
        <v>44752</v>
      </c>
      <c r="G1314" s="75">
        <v>44818</v>
      </c>
      <c r="H1314" s="32" t="str">
        <f t="shared" si="47"/>
        <v>EVEN</v>
      </c>
      <c r="I1314" s="105">
        <v>0</v>
      </c>
      <c r="J1314" s="60" t="str">
        <f>UPPER(TEXT(F1314,"mmm")) &amp; " - " &amp; UPPER(TEXT(G1314,"mmm"))</f>
        <v>JUL - SEP</v>
      </c>
      <c r="K1314" s="60" t="s">
        <v>3133</v>
      </c>
      <c r="L1314" s="99" t="s">
        <v>3895</v>
      </c>
      <c r="M1314" s="32" t="str">
        <f t="shared" si="46"/>
        <v>No</v>
      </c>
      <c r="N1314" s="32">
        <f>G1314 - F1314</f>
        <v>66</v>
      </c>
      <c r="O1314">
        <v>1</v>
      </c>
    </row>
    <row r="1315" spans="1:15" x14ac:dyDescent="0.3">
      <c r="A1315" s="51" t="s">
        <v>2032</v>
      </c>
      <c r="B1315" s="60" t="s">
        <v>66</v>
      </c>
      <c r="C1315" s="60" t="s">
        <v>12</v>
      </c>
      <c r="D1315" s="51" t="s">
        <v>2524</v>
      </c>
      <c r="E1315" s="51" t="s">
        <v>2525</v>
      </c>
      <c r="F1315" s="75">
        <v>44763</v>
      </c>
      <c r="G1315" s="75">
        <v>44793</v>
      </c>
      <c r="H1315" s="32" t="str">
        <f t="shared" si="47"/>
        <v>ODD</v>
      </c>
      <c r="I1315" s="105">
        <v>0</v>
      </c>
      <c r="J1315" s="60" t="str">
        <f>UPPER(TEXT(F1315,"mmm")) &amp; " - " &amp; UPPER(TEXT(G1315,"mmm"))</f>
        <v>JUL - AUG</v>
      </c>
      <c r="K1315" s="60" t="s">
        <v>3133</v>
      </c>
      <c r="L1315" s="99" t="s">
        <v>3895</v>
      </c>
      <c r="M1315" s="32" t="str">
        <f t="shared" si="46"/>
        <v>No</v>
      </c>
      <c r="N1315" s="32">
        <f>G1315 - F1315</f>
        <v>30</v>
      </c>
      <c r="O1315">
        <v>1</v>
      </c>
    </row>
    <row r="1316" spans="1:15" x14ac:dyDescent="0.3">
      <c r="A1316" s="62" t="s">
        <v>925</v>
      </c>
      <c r="B1316" s="77" t="s">
        <v>70</v>
      </c>
      <c r="C1316" s="77" t="s">
        <v>12</v>
      </c>
      <c r="D1316" s="62" t="s">
        <v>2118</v>
      </c>
      <c r="E1316" s="62" t="s">
        <v>998</v>
      </c>
      <c r="F1316" s="79">
        <v>44774</v>
      </c>
      <c r="G1316" s="79">
        <v>44895</v>
      </c>
      <c r="H1316" s="32" t="str">
        <f t="shared" si="47"/>
        <v>ODD</v>
      </c>
      <c r="I1316" s="108">
        <v>25000</v>
      </c>
      <c r="J1316" s="60" t="str">
        <f>UPPER(TEXT(F1316,"mmm")) &amp; " - " &amp; UPPER(TEXT(G1316,"mmm"))</f>
        <v>AUG - NOV</v>
      </c>
      <c r="K1316" s="60" t="s">
        <v>3133</v>
      </c>
      <c r="L1316" s="99" t="s">
        <v>3895</v>
      </c>
      <c r="M1316" s="32" t="str">
        <f t="shared" si="46"/>
        <v>Yes</v>
      </c>
      <c r="N1316" s="32">
        <f>G1316 - F1316</f>
        <v>121</v>
      </c>
      <c r="O1316">
        <v>1</v>
      </c>
    </row>
    <row r="1317" spans="1:15" x14ac:dyDescent="0.3">
      <c r="A1317" s="62" t="s">
        <v>1839</v>
      </c>
      <c r="B1317" s="77" t="s">
        <v>70</v>
      </c>
      <c r="C1317" s="77" t="s">
        <v>12</v>
      </c>
      <c r="D1317" s="62" t="s">
        <v>2526</v>
      </c>
      <c r="E1317" s="62" t="s">
        <v>2527</v>
      </c>
      <c r="F1317" s="79">
        <v>44747</v>
      </c>
      <c r="G1317" s="79">
        <v>44839</v>
      </c>
      <c r="H1317" s="32" t="str">
        <f t="shared" si="47"/>
        <v>EVEN</v>
      </c>
      <c r="I1317" s="108">
        <v>10000</v>
      </c>
      <c r="J1317" s="60" t="str">
        <f>UPPER(TEXT(F1317,"mmm")) &amp; " - " &amp; UPPER(TEXT(G1317,"mmm"))</f>
        <v>JUL - OCT</v>
      </c>
      <c r="K1317" s="60" t="s">
        <v>3133</v>
      </c>
      <c r="L1317" s="99" t="s">
        <v>3895</v>
      </c>
      <c r="M1317" s="32" t="str">
        <f t="shared" si="46"/>
        <v>Yes</v>
      </c>
      <c r="N1317" s="32">
        <f>G1317 - F1317</f>
        <v>92</v>
      </c>
      <c r="O1317">
        <v>1</v>
      </c>
    </row>
    <row r="1318" spans="1:15" x14ac:dyDescent="0.3">
      <c r="A1318" s="62" t="s">
        <v>2528</v>
      </c>
      <c r="B1318" s="77" t="s">
        <v>78</v>
      </c>
      <c r="C1318" s="77" t="s">
        <v>12</v>
      </c>
      <c r="D1318" s="62" t="s">
        <v>2529</v>
      </c>
      <c r="E1318" s="62" t="s">
        <v>2530</v>
      </c>
      <c r="F1318" s="79">
        <v>44813</v>
      </c>
      <c r="G1318" s="79">
        <v>44874</v>
      </c>
      <c r="H1318" s="32" t="str">
        <f t="shared" si="47"/>
        <v>ODD</v>
      </c>
      <c r="I1318" s="108">
        <v>0</v>
      </c>
      <c r="J1318" s="60" t="str">
        <f>UPPER(TEXT(F1318,"mmm")) &amp; " - " &amp; UPPER(TEXT(G1318,"mmm"))</f>
        <v>SEP - NOV</v>
      </c>
      <c r="K1318" s="60" t="s">
        <v>3133</v>
      </c>
      <c r="L1318" s="99" t="s">
        <v>3895</v>
      </c>
      <c r="M1318" s="32" t="str">
        <f t="shared" si="46"/>
        <v>No</v>
      </c>
      <c r="N1318" s="32">
        <f>G1318 - F1318</f>
        <v>61</v>
      </c>
      <c r="O1318">
        <v>1</v>
      </c>
    </row>
    <row r="1319" spans="1:15" x14ac:dyDescent="0.3">
      <c r="A1319" s="62" t="s">
        <v>2531</v>
      </c>
      <c r="B1319" s="77" t="s">
        <v>66</v>
      </c>
      <c r="C1319" s="77" t="s">
        <v>12</v>
      </c>
      <c r="D1319" s="62" t="s">
        <v>2532</v>
      </c>
      <c r="E1319" s="62" t="s">
        <v>2533</v>
      </c>
      <c r="F1319" s="79">
        <v>44768</v>
      </c>
      <c r="G1319" s="79">
        <v>44799</v>
      </c>
      <c r="H1319" s="32" t="str">
        <f t="shared" si="47"/>
        <v>ODD</v>
      </c>
      <c r="I1319" s="108">
        <v>0</v>
      </c>
      <c r="J1319" s="60" t="str">
        <f>UPPER(TEXT(F1319,"mmm")) &amp; " - " &amp; UPPER(TEXT(G1319,"mmm"))</f>
        <v>JUL - AUG</v>
      </c>
      <c r="K1319" s="60" t="s">
        <v>3133</v>
      </c>
      <c r="L1319" s="77" t="s">
        <v>895</v>
      </c>
      <c r="M1319" s="32" t="str">
        <f t="shared" si="46"/>
        <v>No</v>
      </c>
      <c r="N1319" s="32">
        <f>G1319 - F1319</f>
        <v>31</v>
      </c>
      <c r="O1319">
        <v>1</v>
      </c>
    </row>
    <row r="1320" spans="1:15" x14ac:dyDescent="0.3">
      <c r="A1320" s="62" t="s">
        <v>2534</v>
      </c>
      <c r="B1320" s="77" t="s">
        <v>66</v>
      </c>
      <c r="C1320" s="77" t="s">
        <v>12</v>
      </c>
      <c r="D1320" s="62" t="s">
        <v>2532</v>
      </c>
      <c r="E1320" s="62" t="s">
        <v>2533</v>
      </c>
      <c r="F1320" s="79">
        <v>44768</v>
      </c>
      <c r="G1320" s="79">
        <v>44799</v>
      </c>
      <c r="H1320" s="32" t="str">
        <f t="shared" si="47"/>
        <v>ODD</v>
      </c>
      <c r="I1320" s="108">
        <v>0</v>
      </c>
      <c r="J1320" s="60" t="str">
        <f>UPPER(TEXT(F1320,"mmm")) &amp; " - " &amp; UPPER(TEXT(G1320,"mmm"))</f>
        <v>JUL - AUG</v>
      </c>
      <c r="K1320" s="60" t="s">
        <v>3133</v>
      </c>
      <c r="L1320" s="77" t="s">
        <v>895</v>
      </c>
      <c r="M1320" s="32" t="str">
        <f t="shared" si="46"/>
        <v>No</v>
      </c>
      <c r="N1320" s="32">
        <f>G1320 - F1320</f>
        <v>31</v>
      </c>
      <c r="O1320">
        <v>1</v>
      </c>
    </row>
    <row r="1321" spans="1:15" x14ac:dyDescent="0.3">
      <c r="A1321" s="62" t="s">
        <v>2535</v>
      </c>
      <c r="B1321" s="77" t="s">
        <v>70</v>
      </c>
      <c r="C1321" s="77" t="s">
        <v>12</v>
      </c>
      <c r="D1321" s="62" t="s">
        <v>2536</v>
      </c>
      <c r="E1321" s="62" t="s">
        <v>2537</v>
      </c>
      <c r="F1321" s="79">
        <v>44810</v>
      </c>
      <c r="G1321" s="79">
        <v>44871</v>
      </c>
      <c r="H1321" s="32" t="str">
        <f t="shared" si="47"/>
        <v>ODD</v>
      </c>
      <c r="I1321" s="108">
        <v>0</v>
      </c>
      <c r="J1321" s="60" t="str">
        <f>UPPER(TEXT(F1321,"mmm")) &amp; " - " &amp; UPPER(TEXT(G1321,"mmm"))</f>
        <v>SEP - NOV</v>
      </c>
      <c r="K1321" s="60" t="s">
        <v>3133</v>
      </c>
      <c r="L1321" s="99" t="s">
        <v>3895</v>
      </c>
      <c r="M1321" s="32" t="str">
        <f t="shared" si="46"/>
        <v>No</v>
      </c>
      <c r="N1321" s="32">
        <f>G1321 - F1321</f>
        <v>61</v>
      </c>
      <c r="O1321">
        <v>1</v>
      </c>
    </row>
    <row r="1322" spans="1:15" x14ac:dyDescent="0.3">
      <c r="A1322" s="62" t="s">
        <v>2538</v>
      </c>
      <c r="B1322" s="77" t="s">
        <v>70</v>
      </c>
      <c r="C1322" s="77" t="s">
        <v>12</v>
      </c>
      <c r="D1322" s="62" t="s">
        <v>2539</v>
      </c>
      <c r="E1322" s="62" t="s">
        <v>2540</v>
      </c>
      <c r="F1322" s="79">
        <v>44866</v>
      </c>
      <c r="G1322" s="79">
        <v>44954</v>
      </c>
      <c r="H1322" s="32" t="str">
        <f t="shared" si="47"/>
        <v>ODD</v>
      </c>
      <c r="I1322" s="108">
        <v>2000</v>
      </c>
      <c r="J1322" s="60" t="str">
        <f>UPPER(TEXT(F1322,"mmm")) &amp; " - " &amp; UPPER(TEXT(G1322,"mmm"))</f>
        <v>NOV - JAN</v>
      </c>
      <c r="K1322" s="60" t="s">
        <v>3133</v>
      </c>
      <c r="L1322" s="99" t="s">
        <v>3895</v>
      </c>
      <c r="M1322" s="32" t="str">
        <f t="shared" si="46"/>
        <v>Yes</v>
      </c>
      <c r="N1322" s="32">
        <f>G1322 - F1322</f>
        <v>88</v>
      </c>
      <c r="O1322">
        <v>1</v>
      </c>
    </row>
    <row r="1323" spans="1:15" x14ac:dyDescent="0.3">
      <c r="A1323" s="62" t="s">
        <v>2541</v>
      </c>
      <c r="B1323" s="77" t="s">
        <v>70</v>
      </c>
      <c r="C1323" s="77" t="s">
        <v>12</v>
      </c>
      <c r="D1323" s="62" t="s">
        <v>1924</v>
      </c>
      <c r="E1323" s="62" t="s">
        <v>2542</v>
      </c>
      <c r="F1323" s="79">
        <v>44790</v>
      </c>
      <c r="G1323" s="79">
        <v>44819</v>
      </c>
      <c r="H1323" s="32" t="str">
        <f t="shared" si="47"/>
        <v>ODD</v>
      </c>
      <c r="I1323" s="108">
        <v>0</v>
      </c>
      <c r="J1323" s="60" t="str">
        <f>UPPER(TEXT(F1323,"mmm")) &amp; " - " &amp; UPPER(TEXT(G1323,"mmm"))</f>
        <v>AUG - SEP</v>
      </c>
      <c r="K1323" s="60" t="s">
        <v>3133</v>
      </c>
      <c r="L1323" s="99" t="s">
        <v>3895</v>
      </c>
      <c r="M1323" s="32" t="str">
        <f t="shared" si="46"/>
        <v>No</v>
      </c>
      <c r="N1323" s="32">
        <f>G1323 - F1323</f>
        <v>29</v>
      </c>
      <c r="O1323">
        <v>1</v>
      </c>
    </row>
    <row r="1324" spans="1:15" x14ac:dyDescent="0.3">
      <c r="A1324" s="62" t="s">
        <v>217</v>
      </c>
      <c r="B1324" s="77" t="s">
        <v>70</v>
      </c>
      <c r="C1324" s="77" t="s">
        <v>12</v>
      </c>
      <c r="D1324" s="62" t="s">
        <v>2265</v>
      </c>
      <c r="E1324" s="62" t="s">
        <v>2266</v>
      </c>
      <c r="F1324" s="79">
        <v>44781</v>
      </c>
      <c r="G1324" s="79">
        <v>44926</v>
      </c>
      <c r="H1324" s="32" t="str">
        <f t="shared" si="47"/>
        <v>ODD</v>
      </c>
      <c r="I1324" s="108">
        <v>30000</v>
      </c>
      <c r="J1324" s="60" t="str">
        <f>UPPER(TEXT(F1324,"mmm")) &amp; " - " &amp; UPPER(TEXT(G1324,"mmm"))</f>
        <v>AUG - DEC</v>
      </c>
      <c r="K1324" s="60" t="s">
        <v>3133</v>
      </c>
      <c r="L1324" s="99" t="s">
        <v>3895</v>
      </c>
      <c r="M1324" s="32" t="str">
        <f t="shared" si="46"/>
        <v>Yes</v>
      </c>
      <c r="N1324" s="32">
        <f>G1324 - F1324</f>
        <v>145</v>
      </c>
      <c r="O1324">
        <v>1</v>
      </c>
    </row>
    <row r="1325" spans="1:15" x14ac:dyDescent="0.3">
      <c r="A1325" s="62" t="s">
        <v>1668</v>
      </c>
      <c r="B1325" s="77" t="s">
        <v>70</v>
      </c>
      <c r="C1325" s="77" t="s">
        <v>12</v>
      </c>
      <c r="D1325" s="62" t="s">
        <v>2543</v>
      </c>
      <c r="E1325" s="62" t="s">
        <v>2498</v>
      </c>
      <c r="F1325" s="79">
        <v>44746</v>
      </c>
      <c r="G1325" s="79">
        <v>44799</v>
      </c>
      <c r="H1325" s="32" t="str">
        <f t="shared" si="47"/>
        <v>EVEN</v>
      </c>
      <c r="I1325" s="108">
        <v>100000</v>
      </c>
      <c r="J1325" s="60" t="str">
        <f>UPPER(TEXT(F1325,"mmm")) &amp; " - " &amp; UPPER(TEXT(G1325,"mmm"))</f>
        <v>JUL - AUG</v>
      </c>
      <c r="K1325" s="60" t="s">
        <v>3133</v>
      </c>
      <c r="L1325" s="99" t="s">
        <v>3895</v>
      </c>
      <c r="M1325" s="32" t="str">
        <f t="shared" si="46"/>
        <v>Yes</v>
      </c>
      <c r="N1325" s="32">
        <f>G1325 - F1325</f>
        <v>53</v>
      </c>
      <c r="O1325">
        <v>1</v>
      </c>
    </row>
    <row r="1326" spans="1:15" x14ac:dyDescent="0.3">
      <c r="A1326" s="62" t="s">
        <v>2076</v>
      </c>
      <c r="B1326" s="77" t="s">
        <v>70</v>
      </c>
      <c r="C1326" s="77" t="s">
        <v>12</v>
      </c>
      <c r="D1326" s="62" t="s">
        <v>2544</v>
      </c>
      <c r="E1326" s="62" t="s">
        <v>2545</v>
      </c>
      <c r="F1326" s="79">
        <v>44885</v>
      </c>
      <c r="G1326" s="79">
        <v>44940</v>
      </c>
      <c r="H1326" s="32" t="str">
        <f t="shared" si="47"/>
        <v>ODD</v>
      </c>
      <c r="I1326" s="108">
        <v>0</v>
      </c>
      <c r="J1326" s="60" t="str">
        <f>UPPER(TEXT(F1326,"mmm")) &amp; " - " &amp; UPPER(TEXT(G1326,"mmm"))</f>
        <v>NOV - JAN</v>
      </c>
      <c r="K1326" s="60" t="s">
        <v>3133</v>
      </c>
      <c r="L1326" s="77" t="s">
        <v>895</v>
      </c>
      <c r="M1326" s="32" t="str">
        <f t="shared" si="46"/>
        <v>No</v>
      </c>
      <c r="N1326" s="32">
        <f>G1326 - F1326</f>
        <v>55</v>
      </c>
      <c r="O1326">
        <v>1</v>
      </c>
    </row>
    <row r="1327" spans="1:15" x14ac:dyDescent="0.3">
      <c r="A1327" s="62" t="s">
        <v>2546</v>
      </c>
      <c r="B1327" s="77" t="s">
        <v>78</v>
      </c>
      <c r="C1327" s="77" t="s">
        <v>12</v>
      </c>
      <c r="D1327" s="62" t="s">
        <v>2547</v>
      </c>
      <c r="E1327" s="62" t="s">
        <v>2548</v>
      </c>
      <c r="F1327" s="79">
        <v>44774</v>
      </c>
      <c r="G1327" s="79">
        <v>44926</v>
      </c>
      <c r="H1327" s="32" t="str">
        <f t="shared" si="47"/>
        <v>ODD</v>
      </c>
      <c r="I1327" s="108">
        <v>0</v>
      </c>
      <c r="J1327" s="60" t="str">
        <f>UPPER(TEXT(F1327,"mmm")) &amp; " - " &amp; UPPER(TEXT(G1327,"mmm"))</f>
        <v>AUG - DEC</v>
      </c>
      <c r="K1327" s="60" t="s">
        <v>3133</v>
      </c>
      <c r="L1327" s="77" t="s">
        <v>895</v>
      </c>
      <c r="M1327" s="32" t="str">
        <f t="shared" si="46"/>
        <v>No</v>
      </c>
      <c r="N1327" s="32">
        <f>G1327 - F1327</f>
        <v>152</v>
      </c>
      <c r="O1327">
        <v>1</v>
      </c>
    </row>
    <row r="1328" spans="1:15" x14ac:dyDescent="0.3">
      <c r="A1328" s="62" t="s">
        <v>2549</v>
      </c>
      <c r="B1328" s="77" t="s">
        <v>78</v>
      </c>
      <c r="C1328" s="77" t="s">
        <v>12</v>
      </c>
      <c r="D1328" s="62" t="s">
        <v>694</v>
      </c>
      <c r="E1328" s="62" t="s">
        <v>2548</v>
      </c>
      <c r="F1328" s="79">
        <v>44774</v>
      </c>
      <c r="G1328" s="79">
        <v>44926</v>
      </c>
      <c r="H1328" s="32" t="str">
        <f t="shared" si="47"/>
        <v>ODD</v>
      </c>
      <c r="I1328" s="108">
        <v>0</v>
      </c>
      <c r="J1328" s="60" t="str">
        <f>UPPER(TEXT(F1328,"mmm")) &amp; " - " &amp; UPPER(TEXT(G1328,"mmm"))</f>
        <v>AUG - DEC</v>
      </c>
      <c r="K1328" s="60" t="s">
        <v>3133</v>
      </c>
      <c r="L1328" s="77" t="s">
        <v>895</v>
      </c>
      <c r="M1328" s="32" t="str">
        <f t="shared" si="46"/>
        <v>No</v>
      </c>
      <c r="N1328" s="32">
        <f>G1328 - F1328</f>
        <v>152</v>
      </c>
      <c r="O1328">
        <v>1</v>
      </c>
    </row>
    <row r="1329" spans="1:15" x14ac:dyDescent="0.3">
      <c r="A1329" s="62" t="s">
        <v>2550</v>
      </c>
      <c r="B1329" s="77" t="s">
        <v>78</v>
      </c>
      <c r="C1329" s="77" t="s">
        <v>12</v>
      </c>
      <c r="D1329" s="62" t="s">
        <v>694</v>
      </c>
      <c r="E1329" s="62" t="s">
        <v>2548</v>
      </c>
      <c r="F1329" s="79">
        <v>44783</v>
      </c>
      <c r="G1329" s="79">
        <v>45291</v>
      </c>
      <c r="H1329" s="32" t="str">
        <f t="shared" si="47"/>
        <v>ODD</v>
      </c>
      <c r="I1329" s="108">
        <v>0</v>
      </c>
      <c r="J1329" s="60" t="str">
        <f>UPPER(TEXT(F1329,"mmm")) &amp; " - " &amp; UPPER(TEXT(G1329,"mmm"))</f>
        <v>AUG - DEC</v>
      </c>
      <c r="K1329" s="60" t="s">
        <v>3133</v>
      </c>
      <c r="L1329" s="77" t="s">
        <v>895</v>
      </c>
      <c r="M1329" s="32" t="str">
        <f t="shared" si="46"/>
        <v>No</v>
      </c>
      <c r="N1329" s="32">
        <f>G1329 - F1329</f>
        <v>508</v>
      </c>
      <c r="O1329">
        <v>1</v>
      </c>
    </row>
    <row r="1330" spans="1:15" x14ac:dyDescent="0.3">
      <c r="A1330" s="62" t="s">
        <v>2551</v>
      </c>
      <c r="B1330" s="77" t="s">
        <v>78</v>
      </c>
      <c r="C1330" s="77" t="s">
        <v>12</v>
      </c>
      <c r="D1330" s="62" t="s">
        <v>1911</v>
      </c>
      <c r="E1330" s="62" t="s">
        <v>2552</v>
      </c>
      <c r="F1330" s="79">
        <v>44942</v>
      </c>
      <c r="G1330" s="79">
        <v>44946</v>
      </c>
      <c r="H1330" s="32" t="str">
        <f t="shared" si="47"/>
        <v>EVEN</v>
      </c>
      <c r="I1330" s="108">
        <v>0</v>
      </c>
      <c r="J1330" s="60" t="str">
        <f>UPPER(TEXT(F1330,"mmm")) &amp; " - " &amp; UPPER(TEXT(G1330,"mmm"))</f>
        <v>JAN - JAN</v>
      </c>
      <c r="K1330" s="60" t="s">
        <v>3133</v>
      </c>
      <c r="L1330" s="77" t="s">
        <v>895</v>
      </c>
      <c r="M1330" s="32" t="str">
        <f t="shared" si="46"/>
        <v>No</v>
      </c>
      <c r="N1330" s="32">
        <f>G1330 - F1330</f>
        <v>4</v>
      </c>
      <c r="O1330">
        <v>1</v>
      </c>
    </row>
    <row r="1331" spans="1:15" x14ac:dyDescent="0.3">
      <c r="A1331" s="62" t="s">
        <v>2553</v>
      </c>
      <c r="B1331" s="77" t="s">
        <v>78</v>
      </c>
      <c r="C1331" s="77" t="s">
        <v>12</v>
      </c>
      <c r="D1331" s="62" t="s">
        <v>2554</v>
      </c>
      <c r="E1331" s="62" t="s">
        <v>889</v>
      </c>
      <c r="F1331" s="79">
        <v>44894</v>
      </c>
      <c r="G1331" s="79">
        <v>44955</v>
      </c>
      <c r="H1331" s="32" t="str">
        <f t="shared" si="47"/>
        <v>ODD</v>
      </c>
      <c r="I1331" s="108">
        <v>0</v>
      </c>
      <c r="J1331" s="60" t="str">
        <f>UPPER(TEXT(F1331,"mmm")) &amp; " - " &amp; UPPER(TEXT(G1331,"mmm"))</f>
        <v>NOV - JAN</v>
      </c>
      <c r="K1331" s="60" t="s">
        <v>3133</v>
      </c>
      <c r="L1331" s="99" t="s">
        <v>3895</v>
      </c>
      <c r="M1331" s="32" t="str">
        <f t="shared" si="46"/>
        <v>No</v>
      </c>
      <c r="N1331" s="32">
        <f>G1331 - F1331</f>
        <v>61</v>
      </c>
      <c r="O1331">
        <v>1</v>
      </c>
    </row>
    <row r="1332" spans="1:15" x14ac:dyDescent="0.3">
      <c r="A1332" s="62" t="s">
        <v>2232</v>
      </c>
      <c r="B1332" s="77" t="s">
        <v>78</v>
      </c>
      <c r="C1332" s="77" t="s">
        <v>12</v>
      </c>
      <c r="D1332" s="62" t="s">
        <v>2555</v>
      </c>
      <c r="E1332" s="62" t="s">
        <v>2556</v>
      </c>
      <c r="F1332" s="79">
        <v>44927</v>
      </c>
      <c r="G1332" s="79">
        <v>44940</v>
      </c>
      <c r="H1332" s="32" t="str">
        <f t="shared" si="47"/>
        <v>EVEN</v>
      </c>
      <c r="I1332" s="108">
        <v>0</v>
      </c>
      <c r="J1332" s="60" t="str">
        <f>UPPER(TEXT(F1332,"mmm")) &amp; " - " &amp; UPPER(TEXT(G1332,"mmm"))</f>
        <v>JAN - JAN</v>
      </c>
      <c r="K1332" s="60" t="s">
        <v>3133</v>
      </c>
      <c r="L1332" s="99" t="s">
        <v>3895</v>
      </c>
      <c r="M1332" s="32" t="str">
        <f t="shared" si="46"/>
        <v>No</v>
      </c>
      <c r="N1332" s="32">
        <f>G1332 - F1332</f>
        <v>13</v>
      </c>
      <c r="O1332">
        <v>1</v>
      </c>
    </row>
    <row r="1333" spans="1:15" x14ac:dyDescent="0.3">
      <c r="A1333" s="62" t="s">
        <v>2557</v>
      </c>
      <c r="B1333" s="77" t="s">
        <v>78</v>
      </c>
      <c r="C1333" s="77" t="s">
        <v>12</v>
      </c>
      <c r="D1333" s="62" t="s">
        <v>2558</v>
      </c>
      <c r="E1333" s="62" t="s">
        <v>2559</v>
      </c>
      <c r="F1333" s="79">
        <v>44805</v>
      </c>
      <c r="G1333" s="79">
        <v>44864</v>
      </c>
      <c r="H1333" s="32" t="str">
        <f t="shared" si="47"/>
        <v>ODD</v>
      </c>
      <c r="I1333" s="108">
        <v>2000</v>
      </c>
      <c r="J1333" s="60" t="str">
        <f>UPPER(TEXT(F1333,"mmm")) &amp; " - " &amp; UPPER(TEXT(G1333,"mmm"))</f>
        <v>SEP - OCT</v>
      </c>
      <c r="K1333" s="60" t="s">
        <v>3133</v>
      </c>
      <c r="L1333" s="99" t="s">
        <v>3895</v>
      </c>
      <c r="M1333" s="32" t="str">
        <f t="shared" si="46"/>
        <v>Yes</v>
      </c>
      <c r="N1333" s="32">
        <f>G1333 - F1333</f>
        <v>59</v>
      </c>
      <c r="O1333">
        <v>1</v>
      </c>
    </row>
    <row r="1334" spans="1:15" x14ac:dyDescent="0.3">
      <c r="A1334" s="62" t="s">
        <v>2560</v>
      </c>
      <c r="B1334" s="77" t="s">
        <v>78</v>
      </c>
      <c r="C1334" s="77" t="s">
        <v>12</v>
      </c>
      <c r="D1334" s="62" t="s">
        <v>2561</v>
      </c>
      <c r="E1334" s="62" t="s">
        <v>2562</v>
      </c>
      <c r="F1334" s="79">
        <v>44830</v>
      </c>
      <c r="G1334" s="79">
        <v>45107</v>
      </c>
      <c r="H1334" s="32" t="str">
        <f t="shared" si="47"/>
        <v>ODD</v>
      </c>
      <c r="I1334" s="108">
        <v>20000</v>
      </c>
      <c r="J1334" s="60" t="str">
        <f>UPPER(TEXT(F1334,"mmm")) &amp; " - " &amp; UPPER(TEXT(G1334,"mmm"))</f>
        <v>SEP - JUN</v>
      </c>
      <c r="K1334" s="60" t="s">
        <v>3133</v>
      </c>
      <c r="L1334" s="99" t="s">
        <v>3895</v>
      </c>
      <c r="M1334" s="32" t="str">
        <f t="shared" si="46"/>
        <v>Yes</v>
      </c>
      <c r="N1334" s="32">
        <f>G1334 - F1334</f>
        <v>277</v>
      </c>
      <c r="O1334">
        <v>1</v>
      </c>
    </row>
    <row r="1335" spans="1:15" x14ac:dyDescent="0.3">
      <c r="A1335" s="62" t="s">
        <v>2563</v>
      </c>
      <c r="B1335" s="77" t="s">
        <v>66</v>
      </c>
      <c r="C1335" s="77" t="s">
        <v>12</v>
      </c>
      <c r="D1335" s="62" t="s">
        <v>2564</v>
      </c>
      <c r="E1335" s="62" t="s">
        <v>2565</v>
      </c>
      <c r="F1335" s="79">
        <v>44851</v>
      </c>
      <c r="G1335" s="79">
        <v>44974</v>
      </c>
      <c r="H1335" s="32" t="str">
        <f t="shared" si="47"/>
        <v>ODD</v>
      </c>
      <c r="I1335" s="108">
        <v>0</v>
      </c>
      <c r="J1335" s="60" t="str">
        <f>UPPER(TEXT(F1335,"mmm")) &amp; " - " &amp; UPPER(TEXT(G1335,"mmm"))</f>
        <v>OCT - FEB</v>
      </c>
      <c r="K1335" s="60" t="s">
        <v>3133</v>
      </c>
      <c r="L1335" s="99" t="s">
        <v>3895</v>
      </c>
      <c r="M1335" s="32" t="str">
        <f t="shared" si="46"/>
        <v>No</v>
      </c>
      <c r="N1335" s="32">
        <f>G1335 - F1335</f>
        <v>123</v>
      </c>
      <c r="O1335">
        <v>1</v>
      </c>
    </row>
    <row r="1336" spans="1:15" x14ac:dyDescent="0.3">
      <c r="A1336" s="62" t="s">
        <v>2566</v>
      </c>
      <c r="B1336" s="77" t="s">
        <v>66</v>
      </c>
      <c r="C1336" s="77" t="s">
        <v>12</v>
      </c>
      <c r="D1336" s="62" t="s">
        <v>2567</v>
      </c>
      <c r="E1336" s="62" t="s">
        <v>2568</v>
      </c>
      <c r="F1336" s="79">
        <v>44753</v>
      </c>
      <c r="G1336" s="79">
        <v>44814</v>
      </c>
      <c r="H1336" s="32" t="str">
        <f t="shared" si="47"/>
        <v>EVEN</v>
      </c>
      <c r="I1336" s="108">
        <v>5000</v>
      </c>
      <c r="J1336" s="60" t="str">
        <f>UPPER(TEXT(F1336,"mmm")) &amp; " - " &amp; UPPER(TEXT(G1336,"mmm"))</f>
        <v>JUL - SEP</v>
      </c>
      <c r="K1336" s="60" t="s">
        <v>3133</v>
      </c>
      <c r="L1336" s="99" t="s">
        <v>3895</v>
      </c>
      <c r="M1336" s="32" t="str">
        <f t="shared" si="46"/>
        <v>Yes</v>
      </c>
      <c r="N1336" s="32">
        <f>G1336 - F1336</f>
        <v>61</v>
      </c>
      <c r="O1336">
        <v>1</v>
      </c>
    </row>
    <row r="1337" spans="1:15" x14ac:dyDescent="0.3">
      <c r="A1337" s="62" t="s">
        <v>2316</v>
      </c>
      <c r="B1337" s="77" t="s">
        <v>66</v>
      </c>
      <c r="C1337" s="77" t="s">
        <v>12</v>
      </c>
      <c r="D1337" s="62" t="s">
        <v>2569</v>
      </c>
      <c r="E1337" s="62" t="s">
        <v>393</v>
      </c>
      <c r="F1337" s="79">
        <v>44753</v>
      </c>
      <c r="G1337" s="79">
        <v>44845</v>
      </c>
      <c r="H1337" s="32" t="str">
        <f t="shared" si="47"/>
        <v>EVEN</v>
      </c>
      <c r="I1337" s="108">
        <v>0</v>
      </c>
      <c r="J1337" s="60" t="str">
        <f>UPPER(TEXT(F1337,"mmm")) &amp; " - " &amp; UPPER(TEXT(G1337,"mmm"))</f>
        <v>JUL - OCT</v>
      </c>
      <c r="K1337" s="60" t="s">
        <v>3133</v>
      </c>
      <c r="L1337" s="99" t="s">
        <v>3895</v>
      </c>
      <c r="M1337" s="32" t="str">
        <f t="shared" si="46"/>
        <v>No</v>
      </c>
      <c r="N1337" s="32">
        <f>G1337 - F1337</f>
        <v>92</v>
      </c>
      <c r="O1337">
        <v>1</v>
      </c>
    </row>
    <row r="1338" spans="1:15" x14ac:dyDescent="0.3">
      <c r="A1338" s="62" t="s">
        <v>2570</v>
      </c>
      <c r="B1338" s="77" t="s">
        <v>66</v>
      </c>
      <c r="C1338" s="77" t="s">
        <v>12</v>
      </c>
      <c r="D1338" s="62" t="s">
        <v>1504</v>
      </c>
      <c r="E1338" s="62" t="s">
        <v>1503</v>
      </c>
      <c r="F1338" s="79">
        <v>44743</v>
      </c>
      <c r="G1338" s="79">
        <v>44804</v>
      </c>
      <c r="H1338" s="32" t="str">
        <f t="shared" si="47"/>
        <v>EVEN</v>
      </c>
      <c r="I1338" s="108">
        <v>0</v>
      </c>
      <c r="J1338" s="60" t="str">
        <f>UPPER(TEXT(F1338,"mmm")) &amp; " - " &amp; UPPER(TEXT(G1338,"mmm"))</f>
        <v>JUL - AUG</v>
      </c>
      <c r="K1338" s="60" t="s">
        <v>3133</v>
      </c>
      <c r="L1338" s="99" t="s">
        <v>3895</v>
      </c>
      <c r="M1338" s="32" t="str">
        <f t="shared" si="46"/>
        <v>No</v>
      </c>
      <c r="N1338" s="32">
        <f>G1338 - F1338</f>
        <v>61</v>
      </c>
      <c r="O1338">
        <v>1</v>
      </c>
    </row>
    <row r="1339" spans="1:15" x14ac:dyDescent="0.3">
      <c r="A1339" s="62" t="s">
        <v>2571</v>
      </c>
      <c r="B1339" s="77" t="s">
        <v>66</v>
      </c>
      <c r="C1339" s="77" t="s">
        <v>12</v>
      </c>
      <c r="D1339" s="62" t="s">
        <v>2572</v>
      </c>
      <c r="E1339" s="62" t="s">
        <v>2545</v>
      </c>
      <c r="F1339" s="79">
        <v>44885</v>
      </c>
      <c r="G1339" s="79">
        <v>44940</v>
      </c>
      <c r="H1339" s="32" t="str">
        <f t="shared" si="47"/>
        <v>ODD</v>
      </c>
      <c r="I1339" s="108">
        <v>0</v>
      </c>
      <c r="J1339" s="60" t="str">
        <f>UPPER(TEXT(F1339,"mmm")) &amp; " - " &amp; UPPER(TEXT(G1339,"mmm"))</f>
        <v>NOV - JAN</v>
      </c>
      <c r="K1339" s="60" t="s">
        <v>3133</v>
      </c>
      <c r="L1339" s="77" t="s">
        <v>895</v>
      </c>
      <c r="M1339" s="32" t="str">
        <f t="shared" si="46"/>
        <v>No</v>
      </c>
      <c r="N1339" s="32">
        <f>G1339 - F1339</f>
        <v>55</v>
      </c>
      <c r="O1339">
        <v>1</v>
      </c>
    </row>
    <row r="1340" spans="1:15" x14ac:dyDescent="0.3">
      <c r="A1340" s="62" t="s">
        <v>2514</v>
      </c>
      <c r="B1340" s="77" t="s">
        <v>66</v>
      </c>
      <c r="C1340" s="77" t="s">
        <v>12</v>
      </c>
      <c r="D1340" s="62" t="s">
        <v>2573</v>
      </c>
      <c r="E1340" s="62" t="s">
        <v>2574</v>
      </c>
      <c r="F1340" s="79">
        <v>44848</v>
      </c>
      <c r="G1340" s="79">
        <v>44951</v>
      </c>
      <c r="H1340" s="32" t="str">
        <f t="shared" si="47"/>
        <v>ODD</v>
      </c>
      <c r="I1340" s="108">
        <v>0</v>
      </c>
      <c r="J1340" s="60" t="str">
        <f>UPPER(TEXT(F1340,"mmm")) &amp; " - " &amp; UPPER(TEXT(G1340,"mmm"))</f>
        <v>OCT - JAN</v>
      </c>
      <c r="K1340" s="60" t="s">
        <v>3133</v>
      </c>
      <c r="L1340" s="99" t="s">
        <v>3895</v>
      </c>
      <c r="M1340" s="32" t="str">
        <f t="shared" si="46"/>
        <v>No</v>
      </c>
      <c r="N1340" s="32">
        <f>G1340 - F1340</f>
        <v>103</v>
      </c>
      <c r="O1340">
        <v>1</v>
      </c>
    </row>
    <row r="1341" spans="1:15" x14ac:dyDescent="0.3">
      <c r="A1341" s="51" t="s">
        <v>2575</v>
      </c>
      <c r="B1341" s="60" t="s">
        <v>70</v>
      </c>
      <c r="C1341" s="60" t="s">
        <v>12</v>
      </c>
      <c r="D1341" s="51" t="s">
        <v>2576</v>
      </c>
      <c r="E1341" s="51" t="s">
        <v>2577</v>
      </c>
      <c r="F1341" s="75">
        <v>44775</v>
      </c>
      <c r="G1341" s="75">
        <v>44904</v>
      </c>
      <c r="H1341" s="32" t="str">
        <f t="shared" si="47"/>
        <v>ODD</v>
      </c>
      <c r="I1341" s="105">
        <v>0</v>
      </c>
      <c r="J1341" s="60" t="str">
        <f>UPPER(TEXT(F1341,"mmm")) &amp; " - " &amp; UPPER(TEXT(G1341,"mmm"))</f>
        <v>AUG - DEC</v>
      </c>
      <c r="K1341" s="60" t="s">
        <v>3133</v>
      </c>
      <c r="L1341" s="99" t="s">
        <v>3895</v>
      </c>
      <c r="M1341" s="32" t="str">
        <f t="shared" si="46"/>
        <v>No</v>
      </c>
      <c r="N1341" s="32">
        <f>G1341 - F1341</f>
        <v>129</v>
      </c>
      <c r="O1341">
        <v>1</v>
      </c>
    </row>
    <row r="1342" spans="1:15" x14ac:dyDescent="0.3">
      <c r="A1342" s="51" t="s">
        <v>2578</v>
      </c>
      <c r="B1342" s="60" t="s">
        <v>70</v>
      </c>
      <c r="C1342" s="60" t="s">
        <v>12</v>
      </c>
      <c r="D1342" s="51" t="s">
        <v>2579</v>
      </c>
      <c r="E1342" s="51" t="s">
        <v>2580</v>
      </c>
      <c r="F1342" s="75">
        <v>44896</v>
      </c>
      <c r="G1342" s="75">
        <v>45016</v>
      </c>
      <c r="H1342" s="32" t="str">
        <f t="shared" si="47"/>
        <v>ODD</v>
      </c>
      <c r="I1342" s="105">
        <v>0</v>
      </c>
      <c r="J1342" s="60" t="str">
        <f>UPPER(TEXT(F1342,"mmm")) &amp; " - " &amp; UPPER(TEXT(G1342,"mmm"))</f>
        <v>DEC - MAR</v>
      </c>
      <c r="K1342" s="60" t="s">
        <v>3133</v>
      </c>
      <c r="L1342" s="99" t="s">
        <v>3895</v>
      </c>
      <c r="M1342" s="32" t="str">
        <f t="shared" si="46"/>
        <v>No</v>
      </c>
      <c r="N1342" s="32">
        <f>G1342 - F1342</f>
        <v>120</v>
      </c>
      <c r="O1342">
        <v>1</v>
      </c>
    </row>
    <row r="1343" spans="1:15" x14ac:dyDescent="0.3">
      <c r="A1343" s="51" t="s">
        <v>1692</v>
      </c>
      <c r="B1343" s="60" t="s">
        <v>70</v>
      </c>
      <c r="C1343" s="60" t="s">
        <v>12</v>
      </c>
      <c r="D1343" s="51" t="s">
        <v>2581</v>
      </c>
      <c r="E1343" s="51" t="s">
        <v>277</v>
      </c>
      <c r="F1343" s="75">
        <v>44959</v>
      </c>
      <c r="G1343" s="75">
        <v>45049</v>
      </c>
      <c r="H1343" s="32" t="str">
        <f t="shared" si="47"/>
        <v>EVEN</v>
      </c>
      <c r="I1343" s="105">
        <v>0</v>
      </c>
      <c r="J1343" s="60" t="str">
        <f>UPPER(TEXT(F1343,"mmm")) &amp; " - " &amp; UPPER(TEXT(G1343,"mmm"))</f>
        <v>FEB - MAY</v>
      </c>
      <c r="K1343" s="60" t="s">
        <v>3133</v>
      </c>
      <c r="L1343" s="99" t="s">
        <v>3895</v>
      </c>
      <c r="M1343" s="32" t="str">
        <f t="shared" si="46"/>
        <v>No</v>
      </c>
      <c r="N1343" s="32">
        <f>G1343 - F1343</f>
        <v>90</v>
      </c>
      <c r="O1343">
        <v>1</v>
      </c>
    </row>
    <row r="1344" spans="1:15" x14ac:dyDescent="0.3">
      <c r="A1344" s="51" t="s">
        <v>2293</v>
      </c>
      <c r="B1344" s="60" t="s">
        <v>78</v>
      </c>
      <c r="C1344" s="60" t="s">
        <v>12</v>
      </c>
      <c r="D1344" s="51" t="s">
        <v>2582</v>
      </c>
      <c r="E1344" s="51" t="s">
        <v>2583</v>
      </c>
      <c r="F1344" s="75">
        <v>44782</v>
      </c>
      <c r="G1344" s="75">
        <v>44988</v>
      </c>
      <c r="H1344" s="32" t="str">
        <f t="shared" si="47"/>
        <v>ODD</v>
      </c>
      <c r="I1344" s="105">
        <v>0</v>
      </c>
      <c r="J1344" s="60" t="str">
        <f>UPPER(TEXT(F1344,"mmm")) &amp; " - " &amp; UPPER(TEXT(G1344,"mmm"))</f>
        <v>AUG - MAR</v>
      </c>
      <c r="K1344" s="60" t="s">
        <v>3133</v>
      </c>
      <c r="L1344" s="99" t="s">
        <v>3895</v>
      </c>
      <c r="M1344" s="32" t="str">
        <f t="shared" si="46"/>
        <v>No</v>
      </c>
      <c r="N1344" s="32">
        <f>G1344 - F1344</f>
        <v>206</v>
      </c>
      <c r="O1344">
        <v>1</v>
      </c>
    </row>
    <row r="1345" spans="1:15" x14ac:dyDescent="0.3">
      <c r="A1345" s="51" t="s">
        <v>2235</v>
      </c>
      <c r="B1345" s="60" t="s">
        <v>78</v>
      </c>
      <c r="C1345" s="60" t="s">
        <v>12</v>
      </c>
      <c r="D1345" s="51" t="s">
        <v>2584</v>
      </c>
      <c r="E1345" s="51" t="s">
        <v>2585</v>
      </c>
      <c r="F1345" s="75">
        <v>44782</v>
      </c>
      <c r="G1345" s="75">
        <v>44987</v>
      </c>
      <c r="H1345" s="32" t="str">
        <f t="shared" si="47"/>
        <v>ODD</v>
      </c>
      <c r="I1345" s="105">
        <v>0</v>
      </c>
      <c r="J1345" s="60" t="str">
        <f>UPPER(TEXT(F1345,"mmm")) &amp; " - " &amp; UPPER(TEXT(G1345,"mmm"))</f>
        <v>AUG - MAR</v>
      </c>
      <c r="K1345" s="60" t="s">
        <v>3133</v>
      </c>
      <c r="L1345" s="99" t="s">
        <v>3895</v>
      </c>
      <c r="M1345" s="32" t="str">
        <f t="shared" si="46"/>
        <v>No</v>
      </c>
      <c r="N1345" s="32">
        <f>G1345 - F1345</f>
        <v>205</v>
      </c>
      <c r="O1345">
        <v>1</v>
      </c>
    </row>
    <row r="1346" spans="1:15" x14ac:dyDescent="0.3">
      <c r="A1346" s="51" t="s">
        <v>2586</v>
      </c>
      <c r="B1346" s="60" t="s">
        <v>78</v>
      </c>
      <c r="C1346" s="60" t="s">
        <v>12</v>
      </c>
      <c r="D1346" s="51" t="s">
        <v>2587</v>
      </c>
      <c r="E1346" s="51" t="s">
        <v>2588</v>
      </c>
      <c r="F1346" s="75">
        <v>44812</v>
      </c>
      <c r="G1346" s="75">
        <v>44988</v>
      </c>
      <c r="H1346" s="32" t="str">
        <f t="shared" si="47"/>
        <v>ODD</v>
      </c>
      <c r="I1346" s="105">
        <v>0</v>
      </c>
      <c r="J1346" s="60" t="str">
        <f>UPPER(TEXT(F1346,"mmm")) &amp; " - " &amp; UPPER(TEXT(G1346,"mmm"))</f>
        <v>SEP - MAR</v>
      </c>
      <c r="K1346" s="60" t="s">
        <v>3133</v>
      </c>
      <c r="L1346" s="99" t="s">
        <v>3895</v>
      </c>
      <c r="M1346" s="32" t="str">
        <f t="shared" ref="M1346:M1409" si="48">IF(I1346 &gt; 0, "Yes", "No")</f>
        <v>No</v>
      </c>
      <c r="N1346" s="32">
        <f>G1346 - F1346</f>
        <v>176</v>
      </c>
      <c r="O1346">
        <v>1</v>
      </c>
    </row>
    <row r="1347" spans="1:15" x14ac:dyDescent="0.3">
      <c r="A1347" s="51" t="s">
        <v>2298</v>
      </c>
      <c r="B1347" s="60" t="s">
        <v>78</v>
      </c>
      <c r="C1347" s="60" t="s">
        <v>12</v>
      </c>
      <c r="D1347" s="51" t="s">
        <v>2589</v>
      </c>
      <c r="E1347" s="51" t="s">
        <v>889</v>
      </c>
      <c r="F1347" s="75">
        <v>44881</v>
      </c>
      <c r="G1347" s="75">
        <v>45001</v>
      </c>
      <c r="H1347" s="32" t="str">
        <f t="shared" si="47"/>
        <v>ODD</v>
      </c>
      <c r="I1347" s="105">
        <v>0</v>
      </c>
      <c r="J1347" s="60" t="str">
        <f>UPPER(TEXT(F1347,"mmm")) &amp; " - " &amp; UPPER(TEXT(G1347,"mmm"))</f>
        <v>NOV - MAR</v>
      </c>
      <c r="K1347" s="60" t="s">
        <v>3133</v>
      </c>
      <c r="L1347" s="99" t="s">
        <v>3895</v>
      </c>
      <c r="M1347" s="32" t="str">
        <f t="shared" si="48"/>
        <v>No</v>
      </c>
      <c r="N1347" s="32">
        <f>G1347 - F1347</f>
        <v>120</v>
      </c>
      <c r="O1347">
        <v>1</v>
      </c>
    </row>
    <row r="1348" spans="1:15" x14ac:dyDescent="0.3">
      <c r="A1348" s="51" t="s">
        <v>2590</v>
      </c>
      <c r="B1348" s="60" t="s">
        <v>78</v>
      </c>
      <c r="C1348" s="60" t="s">
        <v>12</v>
      </c>
      <c r="D1348" s="51" t="s">
        <v>1911</v>
      </c>
      <c r="E1348" s="51" t="s">
        <v>2591</v>
      </c>
      <c r="F1348" s="75">
        <v>44942</v>
      </c>
      <c r="G1348" s="75">
        <v>44946</v>
      </c>
      <c r="H1348" s="32" t="str">
        <f t="shared" si="47"/>
        <v>EVEN</v>
      </c>
      <c r="I1348" s="105">
        <v>0</v>
      </c>
      <c r="J1348" s="60" t="str">
        <f>UPPER(TEXT(F1348,"mmm")) &amp; " - " &amp; UPPER(TEXT(G1348,"mmm"))</f>
        <v>JAN - JAN</v>
      </c>
      <c r="K1348" s="60" t="s">
        <v>3133</v>
      </c>
      <c r="L1348" s="99" t="s">
        <v>3895</v>
      </c>
      <c r="M1348" s="32" t="str">
        <f t="shared" si="48"/>
        <v>No</v>
      </c>
      <c r="N1348" s="32">
        <f>G1348 - F1348</f>
        <v>4</v>
      </c>
      <c r="O1348">
        <v>1</v>
      </c>
    </row>
    <row r="1349" spans="1:15" x14ac:dyDescent="0.3">
      <c r="A1349" s="51" t="s">
        <v>2592</v>
      </c>
      <c r="B1349" s="60" t="s">
        <v>78</v>
      </c>
      <c r="C1349" s="60" t="s">
        <v>12</v>
      </c>
      <c r="D1349" s="51" t="s">
        <v>2593</v>
      </c>
      <c r="E1349" s="51" t="s">
        <v>2594</v>
      </c>
      <c r="F1349" s="75">
        <v>44956</v>
      </c>
      <c r="G1349" s="75">
        <v>44990</v>
      </c>
      <c r="H1349" s="32" t="str">
        <f t="shared" si="47"/>
        <v>EVEN</v>
      </c>
      <c r="I1349" s="105">
        <v>13500</v>
      </c>
      <c r="J1349" s="60" t="str">
        <f>UPPER(TEXT(F1349,"mmm")) &amp; " - " &amp; UPPER(TEXT(G1349,"mmm"))</f>
        <v>JAN - MAR</v>
      </c>
      <c r="K1349" s="60" t="s">
        <v>3133</v>
      </c>
      <c r="L1349" s="99" t="s">
        <v>3895</v>
      </c>
      <c r="M1349" s="32" t="str">
        <f t="shared" si="48"/>
        <v>Yes</v>
      </c>
      <c r="N1349" s="32">
        <f>G1349 - F1349</f>
        <v>34</v>
      </c>
      <c r="O1349">
        <v>1</v>
      </c>
    </row>
    <row r="1350" spans="1:15" x14ac:dyDescent="0.3">
      <c r="A1350" s="51" t="s">
        <v>2595</v>
      </c>
      <c r="B1350" s="60" t="s">
        <v>78</v>
      </c>
      <c r="C1350" s="60" t="s">
        <v>12</v>
      </c>
      <c r="D1350" s="51" t="s">
        <v>2596</v>
      </c>
      <c r="E1350" s="51" t="s">
        <v>2597</v>
      </c>
      <c r="F1350" s="75">
        <v>44790</v>
      </c>
      <c r="G1350" s="75">
        <v>44885</v>
      </c>
      <c r="H1350" s="32" t="str">
        <f t="shared" si="47"/>
        <v>ODD</v>
      </c>
      <c r="I1350" s="105">
        <v>0</v>
      </c>
      <c r="J1350" s="60" t="str">
        <f>UPPER(TEXT(F1350,"mmm")) &amp; " - " &amp; UPPER(TEXT(G1350,"mmm"))</f>
        <v>AUG - NOV</v>
      </c>
      <c r="K1350" s="60" t="s">
        <v>3133</v>
      </c>
      <c r="L1350" s="60" t="s">
        <v>895</v>
      </c>
      <c r="M1350" s="32" t="str">
        <f t="shared" si="48"/>
        <v>No</v>
      </c>
      <c r="N1350" s="32">
        <f>G1350 - F1350</f>
        <v>95</v>
      </c>
      <c r="O1350">
        <v>1</v>
      </c>
    </row>
    <row r="1351" spans="1:15" x14ac:dyDescent="0.3">
      <c r="A1351" s="51" t="s">
        <v>2598</v>
      </c>
      <c r="B1351" s="60" t="s">
        <v>78</v>
      </c>
      <c r="C1351" s="60" t="s">
        <v>12</v>
      </c>
      <c r="D1351" s="51" t="s">
        <v>2596</v>
      </c>
      <c r="E1351" s="51" t="s">
        <v>2599</v>
      </c>
      <c r="F1351" s="75">
        <v>44790</v>
      </c>
      <c r="G1351" s="75">
        <v>44885</v>
      </c>
      <c r="H1351" s="32" t="str">
        <f t="shared" si="47"/>
        <v>ODD</v>
      </c>
      <c r="I1351" s="105">
        <v>0</v>
      </c>
      <c r="J1351" s="60" t="str">
        <f>UPPER(TEXT(F1351,"mmm")) &amp; " - " &amp; UPPER(TEXT(G1351,"mmm"))</f>
        <v>AUG - NOV</v>
      </c>
      <c r="K1351" s="60" t="s">
        <v>3133</v>
      </c>
      <c r="L1351" s="60" t="s">
        <v>895</v>
      </c>
      <c r="M1351" s="32" t="str">
        <f t="shared" si="48"/>
        <v>No</v>
      </c>
      <c r="N1351" s="32">
        <f>G1351 - F1351</f>
        <v>95</v>
      </c>
      <c r="O1351">
        <v>1</v>
      </c>
    </row>
    <row r="1352" spans="1:15" x14ac:dyDescent="0.3">
      <c r="A1352" s="51" t="s">
        <v>2305</v>
      </c>
      <c r="B1352" s="60" t="s">
        <v>66</v>
      </c>
      <c r="C1352" s="60" t="s">
        <v>12</v>
      </c>
      <c r="D1352" s="51" t="s">
        <v>780</v>
      </c>
      <c r="E1352" s="51" t="s">
        <v>2600</v>
      </c>
      <c r="F1352" s="75">
        <v>44743</v>
      </c>
      <c r="G1352" s="75">
        <v>44837</v>
      </c>
      <c r="H1352" s="32" t="str">
        <f t="shared" si="47"/>
        <v>EVEN</v>
      </c>
      <c r="I1352" s="105">
        <v>0</v>
      </c>
      <c r="J1352" s="60" t="str">
        <f>UPPER(TEXT(F1352,"mmm")) &amp; " - " &amp; UPPER(TEXT(G1352,"mmm"))</f>
        <v>JUL - OCT</v>
      </c>
      <c r="K1352" s="60" t="s">
        <v>3133</v>
      </c>
      <c r="L1352" s="99" t="s">
        <v>3895</v>
      </c>
      <c r="M1352" s="32" t="str">
        <f t="shared" si="48"/>
        <v>No</v>
      </c>
      <c r="N1352" s="32">
        <f>G1352 - F1352</f>
        <v>94</v>
      </c>
      <c r="O1352">
        <v>1</v>
      </c>
    </row>
    <row r="1353" spans="1:15" x14ac:dyDescent="0.3">
      <c r="A1353" s="51" t="s">
        <v>2601</v>
      </c>
      <c r="B1353" s="60" t="s">
        <v>66</v>
      </c>
      <c r="C1353" s="60" t="s">
        <v>12</v>
      </c>
      <c r="D1353" s="51" t="s">
        <v>2602</v>
      </c>
      <c r="E1353" s="51" t="s">
        <v>2603</v>
      </c>
      <c r="F1353" s="75">
        <v>44792</v>
      </c>
      <c r="G1353" s="75">
        <v>44929</v>
      </c>
      <c r="H1353" s="32" t="str">
        <f t="shared" si="47"/>
        <v>ODD</v>
      </c>
      <c r="I1353" s="105">
        <v>0</v>
      </c>
      <c r="J1353" s="60" t="str">
        <f>UPPER(TEXT(F1353,"mmm")) &amp; " - " &amp; UPPER(TEXT(G1353,"mmm"))</f>
        <v>AUG - JAN</v>
      </c>
      <c r="K1353" s="60" t="s">
        <v>3133</v>
      </c>
      <c r="L1353" s="99" t="s">
        <v>3895</v>
      </c>
      <c r="M1353" s="32" t="str">
        <f t="shared" si="48"/>
        <v>No</v>
      </c>
      <c r="N1353" s="32">
        <f>G1353 - F1353</f>
        <v>137</v>
      </c>
      <c r="O1353">
        <v>1</v>
      </c>
    </row>
    <row r="1354" spans="1:15" x14ac:dyDescent="0.3">
      <c r="A1354" s="51" t="s">
        <v>1448</v>
      </c>
      <c r="B1354" s="60" t="s">
        <v>66</v>
      </c>
      <c r="C1354" s="60" t="s">
        <v>12</v>
      </c>
      <c r="D1354" s="51" t="s">
        <v>2604</v>
      </c>
      <c r="E1354" s="51" t="s">
        <v>1998</v>
      </c>
      <c r="F1354" s="75">
        <v>44958</v>
      </c>
      <c r="G1354" s="75">
        <v>44989</v>
      </c>
      <c r="H1354" s="32" t="str">
        <f t="shared" si="47"/>
        <v>EVEN</v>
      </c>
      <c r="I1354" s="105">
        <v>0</v>
      </c>
      <c r="J1354" s="60" t="str">
        <f>UPPER(TEXT(F1354,"mmm")) &amp; " - " &amp; UPPER(TEXT(G1354,"mmm"))</f>
        <v>FEB - MAR</v>
      </c>
      <c r="K1354" s="60" t="s">
        <v>3133</v>
      </c>
      <c r="L1354" s="60" t="s">
        <v>895</v>
      </c>
      <c r="M1354" s="32" t="str">
        <f t="shared" si="48"/>
        <v>No</v>
      </c>
      <c r="N1354" s="32">
        <f>G1354 - F1354</f>
        <v>31</v>
      </c>
      <c r="O1354">
        <v>1</v>
      </c>
    </row>
    <row r="1355" spans="1:15" x14ac:dyDescent="0.3">
      <c r="A1355" s="51" t="s">
        <v>2605</v>
      </c>
      <c r="B1355" s="60" t="s">
        <v>70</v>
      </c>
      <c r="C1355" s="60" t="s">
        <v>12</v>
      </c>
      <c r="D1355" s="51" t="s">
        <v>2606</v>
      </c>
      <c r="E1355" s="51" t="s">
        <v>2607</v>
      </c>
      <c r="F1355" s="75">
        <v>44873</v>
      </c>
      <c r="G1355" s="75">
        <v>45054</v>
      </c>
      <c r="H1355" s="32" t="str">
        <f t="shared" si="47"/>
        <v>ODD</v>
      </c>
      <c r="I1355" s="105">
        <v>0</v>
      </c>
      <c r="J1355" s="60" t="str">
        <f>UPPER(TEXT(F1355,"mmm")) &amp; " - " &amp; UPPER(TEXT(G1355,"mmm"))</f>
        <v>NOV - MAY</v>
      </c>
      <c r="K1355" s="60" t="s">
        <v>3133</v>
      </c>
      <c r="L1355" s="99" t="s">
        <v>3895</v>
      </c>
      <c r="M1355" s="32" t="str">
        <f t="shared" si="48"/>
        <v>No</v>
      </c>
      <c r="N1355" s="32">
        <f>G1355 - F1355</f>
        <v>181</v>
      </c>
      <c r="O1355">
        <v>1</v>
      </c>
    </row>
    <row r="1356" spans="1:15" x14ac:dyDescent="0.3">
      <c r="A1356" s="51" t="s">
        <v>2608</v>
      </c>
      <c r="B1356" s="60" t="s">
        <v>70</v>
      </c>
      <c r="C1356" s="60" t="s">
        <v>12</v>
      </c>
      <c r="D1356" s="51" t="s">
        <v>2609</v>
      </c>
      <c r="E1356" s="51" t="s">
        <v>2610</v>
      </c>
      <c r="F1356" s="75">
        <v>44779</v>
      </c>
      <c r="G1356" s="75">
        <v>45050</v>
      </c>
      <c r="H1356" s="32" t="str">
        <f t="shared" si="47"/>
        <v>ODD</v>
      </c>
      <c r="I1356" s="105">
        <v>0</v>
      </c>
      <c r="J1356" s="60" t="str">
        <f>UPPER(TEXT(F1356,"mmm")) &amp; " - " &amp; UPPER(TEXT(G1356,"mmm"))</f>
        <v>AUG - MAY</v>
      </c>
      <c r="K1356" s="60" t="s">
        <v>3133</v>
      </c>
      <c r="L1356" s="60" t="s">
        <v>895</v>
      </c>
      <c r="M1356" s="32" t="str">
        <f t="shared" si="48"/>
        <v>No</v>
      </c>
      <c r="N1356" s="32">
        <f>G1356 - F1356</f>
        <v>271</v>
      </c>
      <c r="O1356">
        <v>1</v>
      </c>
    </row>
    <row r="1357" spans="1:15" x14ac:dyDescent="0.3">
      <c r="A1357" s="51" t="s">
        <v>2611</v>
      </c>
      <c r="B1357" s="60" t="s">
        <v>70</v>
      </c>
      <c r="C1357" s="60" t="s">
        <v>12</v>
      </c>
      <c r="D1357" s="51" t="s">
        <v>2060</v>
      </c>
      <c r="E1357" s="51" t="s">
        <v>2612</v>
      </c>
      <c r="F1357" s="75">
        <v>44805</v>
      </c>
      <c r="G1357" s="75">
        <v>44834</v>
      </c>
      <c r="H1357" s="32" t="str">
        <f t="shared" si="47"/>
        <v>ODD</v>
      </c>
      <c r="I1357" s="105">
        <v>0</v>
      </c>
      <c r="J1357" s="60" t="str">
        <f>UPPER(TEXT(F1357,"mmm")) &amp; " - " &amp; UPPER(TEXT(G1357,"mmm"))</f>
        <v>SEP - SEP</v>
      </c>
      <c r="K1357" s="60" t="s">
        <v>3133</v>
      </c>
      <c r="L1357" s="99" t="s">
        <v>3895</v>
      </c>
      <c r="M1357" s="32" t="str">
        <f t="shared" si="48"/>
        <v>No</v>
      </c>
      <c r="N1357" s="32">
        <f>G1357 - F1357</f>
        <v>29</v>
      </c>
      <c r="O1357">
        <v>1</v>
      </c>
    </row>
    <row r="1358" spans="1:15" x14ac:dyDescent="0.3">
      <c r="A1358" s="51" t="s">
        <v>1881</v>
      </c>
      <c r="B1358" s="60" t="s">
        <v>70</v>
      </c>
      <c r="C1358" s="60" t="s">
        <v>12</v>
      </c>
      <c r="D1358" s="51" t="s">
        <v>2060</v>
      </c>
      <c r="E1358" s="51" t="s">
        <v>2612</v>
      </c>
      <c r="F1358" s="75">
        <v>44805</v>
      </c>
      <c r="G1358" s="75">
        <v>44834</v>
      </c>
      <c r="H1358" s="32" t="str">
        <f t="shared" si="47"/>
        <v>ODD</v>
      </c>
      <c r="I1358" s="105">
        <v>0</v>
      </c>
      <c r="J1358" s="60" t="str">
        <f>UPPER(TEXT(F1358,"mmm")) &amp; " - " &amp; UPPER(TEXT(G1358,"mmm"))</f>
        <v>SEP - SEP</v>
      </c>
      <c r="K1358" s="60" t="s">
        <v>3133</v>
      </c>
      <c r="L1358" s="99" t="s">
        <v>3895</v>
      </c>
      <c r="M1358" s="32" t="str">
        <f t="shared" si="48"/>
        <v>No</v>
      </c>
      <c r="N1358" s="32">
        <f>G1358 - F1358</f>
        <v>29</v>
      </c>
      <c r="O1358">
        <v>1</v>
      </c>
    </row>
    <row r="1359" spans="1:15" x14ac:dyDescent="0.3">
      <c r="A1359" s="51" t="s">
        <v>2613</v>
      </c>
      <c r="B1359" s="60" t="s">
        <v>70</v>
      </c>
      <c r="C1359" s="60" t="s">
        <v>12</v>
      </c>
      <c r="D1359" s="51" t="s">
        <v>2614</v>
      </c>
      <c r="E1359" s="51" t="s">
        <v>2366</v>
      </c>
      <c r="F1359" s="75">
        <v>44873</v>
      </c>
      <c r="G1359" s="75">
        <v>44898</v>
      </c>
      <c r="H1359" s="32" t="str">
        <f t="shared" si="47"/>
        <v>ODD</v>
      </c>
      <c r="I1359" s="105">
        <v>0</v>
      </c>
      <c r="J1359" s="60" t="str">
        <f>UPPER(TEXT(F1359,"mmm")) &amp; " - " &amp; UPPER(TEXT(G1359,"mmm"))</f>
        <v>NOV - DEC</v>
      </c>
      <c r="K1359" s="60" t="s">
        <v>3133</v>
      </c>
      <c r="L1359" s="99" t="s">
        <v>3895</v>
      </c>
      <c r="M1359" s="32" t="str">
        <f t="shared" si="48"/>
        <v>No</v>
      </c>
      <c r="N1359" s="32">
        <f>G1359 - F1359</f>
        <v>25</v>
      </c>
      <c r="O1359">
        <v>1</v>
      </c>
    </row>
    <row r="1360" spans="1:15" x14ac:dyDescent="0.3">
      <c r="A1360" s="51" t="s">
        <v>2613</v>
      </c>
      <c r="B1360" s="60" t="s">
        <v>70</v>
      </c>
      <c r="C1360" s="60" t="s">
        <v>12</v>
      </c>
      <c r="D1360" s="51" t="s">
        <v>2615</v>
      </c>
      <c r="E1360" s="51" t="s">
        <v>1107</v>
      </c>
      <c r="F1360" s="75">
        <v>44931</v>
      </c>
      <c r="G1360" s="75">
        <v>44967</v>
      </c>
      <c r="H1360" s="32" t="str">
        <f t="shared" si="47"/>
        <v>EVEN</v>
      </c>
      <c r="I1360" s="105">
        <v>0</v>
      </c>
      <c r="J1360" s="60" t="str">
        <f>UPPER(TEXT(F1360,"mmm")) &amp; " - " &amp; UPPER(TEXT(G1360,"mmm"))</f>
        <v>JAN - FEB</v>
      </c>
      <c r="K1360" s="60" t="s">
        <v>3133</v>
      </c>
      <c r="L1360" s="99" t="s">
        <v>3895</v>
      </c>
      <c r="M1360" s="32" t="str">
        <f t="shared" si="48"/>
        <v>No</v>
      </c>
      <c r="N1360" s="32">
        <f>G1360 - F1360</f>
        <v>36</v>
      </c>
      <c r="O1360">
        <v>1</v>
      </c>
    </row>
    <row r="1361" spans="1:15" x14ac:dyDescent="0.3">
      <c r="A1361" s="51" t="s">
        <v>2616</v>
      </c>
      <c r="B1361" s="60" t="s">
        <v>70</v>
      </c>
      <c r="C1361" s="60" t="s">
        <v>12</v>
      </c>
      <c r="D1361" s="51" t="s">
        <v>2617</v>
      </c>
      <c r="E1361" s="51" t="s">
        <v>2618</v>
      </c>
      <c r="F1361" s="75">
        <v>44774</v>
      </c>
      <c r="G1361" s="75">
        <v>44983</v>
      </c>
      <c r="H1361" s="32" t="str">
        <f t="shared" si="47"/>
        <v>ODD</v>
      </c>
      <c r="I1361" s="105">
        <v>0</v>
      </c>
      <c r="J1361" s="60" t="str">
        <f>UPPER(TEXT(F1361,"mmm")) &amp; " - " &amp; UPPER(TEXT(G1361,"mmm"))</f>
        <v>AUG - FEB</v>
      </c>
      <c r="K1361" s="60" t="s">
        <v>3133</v>
      </c>
      <c r="L1361" s="99" t="s">
        <v>3895</v>
      </c>
      <c r="M1361" s="32" t="str">
        <f t="shared" si="48"/>
        <v>No</v>
      </c>
      <c r="N1361" s="32">
        <f>G1361 - F1361</f>
        <v>209</v>
      </c>
      <c r="O1361">
        <v>1</v>
      </c>
    </row>
    <row r="1362" spans="1:15" x14ac:dyDescent="0.3">
      <c r="A1362" s="51" t="s">
        <v>2619</v>
      </c>
      <c r="B1362" s="60" t="s">
        <v>78</v>
      </c>
      <c r="C1362" s="60" t="s">
        <v>12</v>
      </c>
      <c r="D1362" s="51" t="s">
        <v>379</v>
      </c>
      <c r="E1362" s="51" t="s">
        <v>2620</v>
      </c>
      <c r="F1362" s="75">
        <v>44743</v>
      </c>
      <c r="G1362" s="75">
        <v>44835</v>
      </c>
      <c r="H1362" s="32" t="str">
        <f t="shared" si="47"/>
        <v>EVEN</v>
      </c>
      <c r="I1362" s="105">
        <v>0</v>
      </c>
      <c r="J1362" s="60" t="str">
        <f>UPPER(TEXT(F1362,"mmm")) &amp; " - " &amp; UPPER(TEXT(G1362,"mmm"))</f>
        <v>JUL - OCT</v>
      </c>
      <c r="K1362" s="60" t="s">
        <v>3133</v>
      </c>
      <c r="L1362" s="99" t="s">
        <v>3895</v>
      </c>
      <c r="M1362" s="32" t="str">
        <f t="shared" si="48"/>
        <v>No</v>
      </c>
      <c r="N1362" s="32">
        <f>G1362 - F1362</f>
        <v>92</v>
      </c>
      <c r="O1362">
        <v>1</v>
      </c>
    </row>
    <row r="1363" spans="1:15" x14ac:dyDescent="0.3">
      <c r="A1363" s="51" t="s">
        <v>2619</v>
      </c>
      <c r="B1363" s="60" t="s">
        <v>78</v>
      </c>
      <c r="C1363" s="60" t="s">
        <v>12</v>
      </c>
      <c r="D1363" s="51" t="s">
        <v>2247</v>
      </c>
      <c r="E1363" s="51" t="s">
        <v>886</v>
      </c>
      <c r="F1363" s="75">
        <v>44824</v>
      </c>
      <c r="G1363" s="75">
        <v>44915</v>
      </c>
      <c r="H1363" s="32" t="str">
        <f t="shared" si="47"/>
        <v>ODD</v>
      </c>
      <c r="I1363" s="105">
        <v>5000</v>
      </c>
      <c r="J1363" s="60" t="str">
        <f>UPPER(TEXT(F1363,"mmm")) &amp; " - " &amp; UPPER(TEXT(G1363,"mmm"))</f>
        <v>SEP - DEC</v>
      </c>
      <c r="K1363" s="60" t="s">
        <v>3133</v>
      </c>
      <c r="L1363" s="99" t="s">
        <v>3895</v>
      </c>
      <c r="M1363" s="32" t="str">
        <f t="shared" si="48"/>
        <v>Yes</v>
      </c>
      <c r="N1363" s="32">
        <f>G1363 - F1363</f>
        <v>91</v>
      </c>
      <c r="O1363">
        <v>1</v>
      </c>
    </row>
    <row r="1364" spans="1:15" x14ac:dyDescent="0.3">
      <c r="A1364" s="51" t="s">
        <v>2619</v>
      </c>
      <c r="B1364" s="60" t="s">
        <v>78</v>
      </c>
      <c r="C1364" s="60" t="s">
        <v>12</v>
      </c>
      <c r="D1364" s="51" t="s">
        <v>2247</v>
      </c>
      <c r="E1364" s="51" t="s">
        <v>889</v>
      </c>
      <c r="F1364" s="75">
        <v>44928</v>
      </c>
      <c r="G1364" s="75">
        <v>45109</v>
      </c>
      <c r="H1364" s="32" t="str">
        <f t="shared" si="47"/>
        <v>EVEN</v>
      </c>
      <c r="I1364" s="105">
        <v>5000</v>
      </c>
      <c r="J1364" s="60" t="str">
        <f>UPPER(TEXT(F1364,"mmm")) &amp; " - " &amp; UPPER(TEXT(G1364,"mmm"))</f>
        <v>JAN - JUL</v>
      </c>
      <c r="K1364" s="60" t="s">
        <v>3133</v>
      </c>
      <c r="L1364" s="99" t="s">
        <v>3895</v>
      </c>
      <c r="M1364" s="32" t="str">
        <f t="shared" si="48"/>
        <v>Yes</v>
      </c>
      <c r="N1364" s="32">
        <f>G1364 - F1364</f>
        <v>181</v>
      </c>
      <c r="O1364">
        <v>1</v>
      </c>
    </row>
    <row r="1365" spans="1:15" x14ac:dyDescent="0.3">
      <c r="A1365" s="51" t="s">
        <v>2621</v>
      </c>
      <c r="B1365" s="60" t="s">
        <v>78</v>
      </c>
      <c r="C1365" s="60" t="s">
        <v>12</v>
      </c>
      <c r="D1365" s="51" t="s">
        <v>2622</v>
      </c>
      <c r="E1365" s="51" t="s">
        <v>2623</v>
      </c>
      <c r="F1365" s="75">
        <v>44807</v>
      </c>
      <c r="G1365" s="75">
        <v>44960</v>
      </c>
      <c r="H1365" s="32" t="str">
        <f t="shared" si="47"/>
        <v>ODD</v>
      </c>
      <c r="I1365" s="105">
        <v>4000</v>
      </c>
      <c r="J1365" s="60" t="str">
        <f>UPPER(TEXT(F1365,"mmm")) &amp; " - " &amp; UPPER(TEXT(G1365,"mmm"))</f>
        <v>SEP - FEB</v>
      </c>
      <c r="K1365" s="60" t="s">
        <v>3133</v>
      </c>
      <c r="L1365" s="99" t="s">
        <v>3895</v>
      </c>
      <c r="M1365" s="32" t="str">
        <f t="shared" si="48"/>
        <v>Yes</v>
      </c>
      <c r="N1365" s="32">
        <f>G1365 - F1365</f>
        <v>153</v>
      </c>
      <c r="O1365">
        <v>1</v>
      </c>
    </row>
    <row r="1366" spans="1:15" x14ac:dyDescent="0.3">
      <c r="A1366" s="51" t="s">
        <v>2624</v>
      </c>
      <c r="B1366" s="60" t="s">
        <v>78</v>
      </c>
      <c r="C1366" s="60" t="s">
        <v>12</v>
      </c>
      <c r="D1366" s="51" t="s">
        <v>260</v>
      </c>
      <c r="E1366" s="51" t="s">
        <v>2625</v>
      </c>
      <c r="F1366" s="75">
        <v>45017</v>
      </c>
      <c r="G1366" s="75">
        <v>45042</v>
      </c>
      <c r="H1366" s="32" t="str">
        <f t="shared" si="47"/>
        <v>EVEN</v>
      </c>
      <c r="I1366" s="105">
        <v>0</v>
      </c>
      <c r="J1366" s="60" t="str">
        <f>UPPER(TEXT(F1366,"mmm")) &amp; " - " &amp; UPPER(TEXT(G1366,"mmm"))</f>
        <v>APR - APR</v>
      </c>
      <c r="K1366" s="60" t="s">
        <v>3133</v>
      </c>
      <c r="L1366" s="99" t="s">
        <v>3895</v>
      </c>
      <c r="M1366" s="32" t="str">
        <f t="shared" si="48"/>
        <v>No</v>
      </c>
      <c r="N1366" s="32">
        <f>G1366 - F1366</f>
        <v>25</v>
      </c>
      <c r="O1366">
        <v>1</v>
      </c>
    </row>
    <row r="1367" spans="1:15" x14ac:dyDescent="0.3">
      <c r="A1367" s="51" t="s">
        <v>2601</v>
      </c>
      <c r="B1367" s="60" t="s">
        <v>78</v>
      </c>
      <c r="C1367" s="60" t="s">
        <v>12</v>
      </c>
      <c r="D1367" s="51" t="s">
        <v>260</v>
      </c>
      <c r="E1367" s="51" t="s">
        <v>447</v>
      </c>
      <c r="F1367" s="75">
        <v>45018</v>
      </c>
      <c r="G1367" s="75">
        <v>45039</v>
      </c>
      <c r="H1367" s="32" t="str">
        <f t="shared" ref="H1367:H1430" si="49">IF(AND(F1367&gt;=DATE(2022,7,15), F1367&lt;=DATE(2022,12,31)), "ODD", "EVEN")</f>
        <v>EVEN</v>
      </c>
      <c r="I1367" s="105">
        <v>0</v>
      </c>
      <c r="J1367" s="60" t="str">
        <f>UPPER(TEXT(F1367,"mmm")) &amp; " - " &amp; UPPER(TEXT(G1367,"mmm"))</f>
        <v>APR - APR</v>
      </c>
      <c r="K1367" s="60" t="s">
        <v>3133</v>
      </c>
      <c r="L1367" s="99" t="s">
        <v>3895</v>
      </c>
      <c r="M1367" s="32" t="str">
        <f t="shared" si="48"/>
        <v>No</v>
      </c>
      <c r="N1367" s="32">
        <f>G1367 - F1367</f>
        <v>21</v>
      </c>
      <c r="O1367">
        <v>1</v>
      </c>
    </row>
    <row r="1368" spans="1:15" x14ac:dyDescent="0.3">
      <c r="A1368" s="51" t="s">
        <v>2601</v>
      </c>
      <c r="B1368" s="60" t="s">
        <v>78</v>
      </c>
      <c r="C1368" s="60" t="s">
        <v>12</v>
      </c>
      <c r="D1368" s="51" t="s">
        <v>260</v>
      </c>
      <c r="E1368" s="51" t="s">
        <v>2626</v>
      </c>
      <c r="F1368" s="75">
        <v>45040</v>
      </c>
      <c r="G1368" s="75">
        <v>45061</v>
      </c>
      <c r="H1368" s="32" t="str">
        <f t="shared" si="49"/>
        <v>EVEN</v>
      </c>
      <c r="I1368" s="105">
        <v>0</v>
      </c>
      <c r="J1368" s="60" t="str">
        <f>UPPER(TEXT(F1368,"mmm")) &amp; " - " &amp; UPPER(TEXT(G1368,"mmm"))</f>
        <v>APR - MAY</v>
      </c>
      <c r="K1368" s="60" t="s">
        <v>3133</v>
      </c>
      <c r="L1368" s="99" t="s">
        <v>3895</v>
      </c>
      <c r="M1368" s="32" t="str">
        <f t="shared" si="48"/>
        <v>No</v>
      </c>
      <c r="N1368" s="32">
        <f>G1368 - F1368</f>
        <v>21</v>
      </c>
      <c r="O1368">
        <v>1</v>
      </c>
    </row>
    <row r="1369" spans="1:15" x14ac:dyDescent="0.3">
      <c r="A1369" s="51" t="s">
        <v>1174</v>
      </c>
      <c r="B1369" s="60" t="s">
        <v>66</v>
      </c>
      <c r="C1369" s="60" t="s">
        <v>12</v>
      </c>
      <c r="D1369" s="51" t="s">
        <v>2627</v>
      </c>
      <c r="E1369" s="51" t="s">
        <v>2585</v>
      </c>
      <c r="F1369" s="75">
        <v>44834</v>
      </c>
      <c r="G1369" s="75">
        <v>44961</v>
      </c>
      <c r="H1369" s="32" t="str">
        <f t="shared" si="49"/>
        <v>ODD</v>
      </c>
      <c r="I1369" s="105">
        <v>0</v>
      </c>
      <c r="J1369" s="60" t="str">
        <f>UPPER(TEXT(F1369,"mmm")) &amp; " - " &amp; UPPER(TEXT(G1369,"mmm"))</f>
        <v>SEP - FEB</v>
      </c>
      <c r="K1369" s="60" t="s">
        <v>3133</v>
      </c>
      <c r="L1369" s="99" t="s">
        <v>3895</v>
      </c>
      <c r="M1369" s="32" t="str">
        <f t="shared" si="48"/>
        <v>No</v>
      </c>
      <c r="N1369" s="32">
        <f>G1369 - F1369</f>
        <v>127</v>
      </c>
      <c r="O1369">
        <v>1</v>
      </c>
    </row>
    <row r="1370" spans="1:15" x14ac:dyDescent="0.3">
      <c r="A1370" s="51" t="s">
        <v>2628</v>
      </c>
      <c r="B1370" s="60" t="s">
        <v>66</v>
      </c>
      <c r="C1370" s="60" t="s">
        <v>12</v>
      </c>
      <c r="D1370" s="51" t="s">
        <v>2629</v>
      </c>
      <c r="E1370" s="51" t="s">
        <v>2585</v>
      </c>
      <c r="F1370" s="75">
        <v>44793</v>
      </c>
      <c r="G1370" s="75">
        <v>44971</v>
      </c>
      <c r="H1370" s="32" t="str">
        <f t="shared" si="49"/>
        <v>ODD</v>
      </c>
      <c r="I1370" s="105">
        <v>0</v>
      </c>
      <c r="J1370" s="60" t="str">
        <f>UPPER(TEXT(F1370,"mmm")) &amp; " - " &amp; UPPER(TEXT(G1370,"mmm"))</f>
        <v>AUG - FEB</v>
      </c>
      <c r="K1370" s="60" t="s">
        <v>3133</v>
      </c>
      <c r="L1370" s="99" t="s">
        <v>3895</v>
      </c>
      <c r="M1370" s="32" t="str">
        <f t="shared" si="48"/>
        <v>No</v>
      </c>
      <c r="N1370" s="32">
        <f>G1370 - F1370</f>
        <v>178</v>
      </c>
      <c r="O1370">
        <v>1</v>
      </c>
    </row>
    <row r="1371" spans="1:15" x14ac:dyDescent="0.3">
      <c r="A1371" s="51" t="s">
        <v>2630</v>
      </c>
      <c r="B1371" s="60" t="s">
        <v>66</v>
      </c>
      <c r="C1371" s="60" t="s">
        <v>12</v>
      </c>
      <c r="D1371" s="51" t="s">
        <v>2631</v>
      </c>
      <c r="E1371" s="51" t="s">
        <v>2632</v>
      </c>
      <c r="F1371" s="75">
        <v>44819</v>
      </c>
      <c r="G1371" s="75">
        <v>44910</v>
      </c>
      <c r="H1371" s="32" t="str">
        <f t="shared" si="49"/>
        <v>ODD</v>
      </c>
      <c r="I1371" s="105">
        <v>0</v>
      </c>
      <c r="J1371" s="60" t="str">
        <f>UPPER(TEXT(F1371,"mmm")) &amp; " - " &amp; UPPER(TEXT(G1371,"mmm"))</f>
        <v>SEP - DEC</v>
      </c>
      <c r="K1371" s="60" t="s">
        <v>3133</v>
      </c>
      <c r="L1371" s="99" t="s">
        <v>3895</v>
      </c>
      <c r="M1371" s="32" t="str">
        <f t="shared" si="48"/>
        <v>No</v>
      </c>
      <c r="N1371" s="32">
        <f>G1371 - F1371</f>
        <v>91</v>
      </c>
      <c r="O1371">
        <v>1</v>
      </c>
    </row>
    <row r="1372" spans="1:15" x14ac:dyDescent="0.3">
      <c r="A1372" s="51" t="s">
        <v>2030</v>
      </c>
      <c r="B1372" s="60" t="s">
        <v>66</v>
      </c>
      <c r="C1372" s="60" t="s">
        <v>12</v>
      </c>
      <c r="D1372" s="51" t="s">
        <v>593</v>
      </c>
      <c r="E1372" s="51" t="s">
        <v>2633</v>
      </c>
      <c r="F1372" s="75">
        <v>44796</v>
      </c>
      <c r="G1372" s="75">
        <v>45039</v>
      </c>
      <c r="H1372" s="32" t="str">
        <f t="shared" si="49"/>
        <v>ODD</v>
      </c>
      <c r="I1372" s="105">
        <v>0</v>
      </c>
      <c r="J1372" s="60" t="str">
        <f>UPPER(TEXT(F1372,"mmm")) &amp; " - " &amp; UPPER(TEXT(G1372,"mmm"))</f>
        <v>AUG - APR</v>
      </c>
      <c r="K1372" s="60" t="s">
        <v>3133</v>
      </c>
      <c r="L1372" s="60" t="s">
        <v>895</v>
      </c>
      <c r="M1372" s="32" t="str">
        <f t="shared" si="48"/>
        <v>No</v>
      </c>
      <c r="N1372" s="32">
        <f>G1372 - F1372</f>
        <v>243</v>
      </c>
      <c r="O1372">
        <v>1</v>
      </c>
    </row>
    <row r="1373" spans="1:15" x14ac:dyDescent="0.3">
      <c r="A1373" s="51" t="s">
        <v>2634</v>
      </c>
      <c r="B1373" s="60" t="s">
        <v>66</v>
      </c>
      <c r="C1373" s="60" t="s">
        <v>12</v>
      </c>
      <c r="D1373" s="51" t="s">
        <v>2635</v>
      </c>
      <c r="E1373" s="51" t="s">
        <v>2636</v>
      </c>
      <c r="F1373" s="75">
        <v>44805</v>
      </c>
      <c r="G1373" s="75">
        <v>45046</v>
      </c>
      <c r="H1373" s="32" t="str">
        <f t="shared" si="49"/>
        <v>ODD</v>
      </c>
      <c r="I1373" s="105">
        <v>5000</v>
      </c>
      <c r="J1373" s="60" t="str">
        <f>UPPER(TEXT(F1373,"mmm")) &amp; " - " &amp; UPPER(TEXT(G1373,"mmm"))</f>
        <v>SEP - APR</v>
      </c>
      <c r="K1373" s="60" t="s">
        <v>3133</v>
      </c>
      <c r="L1373" s="99" t="s">
        <v>3895</v>
      </c>
      <c r="M1373" s="32" t="str">
        <f t="shared" si="48"/>
        <v>Yes</v>
      </c>
      <c r="N1373" s="32">
        <f>G1373 - F1373</f>
        <v>241</v>
      </c>
      <c r="O1373">
        <v>1</v>
      </c>
    </row>
    <row r="1374" spans="1:15" x14ac:dyDescent="0.3">
      <c r="A1374" s="51" t="s">
        <v>2200</v>
      </c>
      <c r="B1374" s="60" t="s">
        <v>66</v>
      </c>
      <c r="C1374" s="60" t="s">
        <v>12</v>
      </c>
      <c r="D1374" s="51" t="s">
        <v>2637</v>
      </c>
      <c r="E1374" s="51" t="s">
        <v>469</v>
      </c>
      <c r="F1374" s="75">
        <v>44795</v>
      </c>
      <c r="G1374" s="75">
        <v>44985</v>
      </c>
      <c r="H1374" s="32" t="str">
        <f t="shared" si="49"/>
        <v>ODD</v>
      </c>
      <c r="I1374" s="105">
        <v>25000</v>
      </c>
      <c r="J1374" s="60" t="str">
        <f>UPPER(TEXT(F1374,"mmm")) &amp; " - " &amp; UPPER(TEXT(G1374,"mmm"))</f>
        <v>AUG - FEB</v>
      </c>
      <c r="K1374" s="60" t="s">
        <v>3133</v>
      </c>
      <c r="L1374" s="99" t="s">
        <v>3895</v>
      </c>
      <c r="M1374" s="32" t="str">
        <f t="shared" si="48"/>
        <v>Yes</v>
      </c>
      <c r="N1374" s="32">
        <f>G1374 - F1374</f>
        <v>190</v>
      </c>
      <c r="O1374">
        <v>1</v>
      </c>
    </row>
    <row r="1375" spans="1:15" x14ac:dyDescent="0.3">
      <c r="A1375" s="51" t="s">
        <v>1508</v>
      </c>
      <c r="B1375" s="60" t="s">
        <v>70</v>
      </c>
      <c r="C1375" s="60" t="s">
        <v>12</v>
      </c>
      <c r="D1375" s="51" t="s">
        <v>2638</v>
      </c>
      <c r="E1375" s="51" t="s">
        <v>998</v>
      </c>
      <c r="F1375" s="75">
        <v>44927</v>
      </c>
      <c r="G1375" s="75">
        <v>45016</v>
      </c>
      <c r="H1375" s="32" t="str">
        <f t="shared" si="49"/>
        <v>EVEN</v>
      </c>
      <c r="I1375" s="105">
        <v>11000</v>
      </c>
      <c r="J1375" s="60" t="str">
        <f>UPPER(TEXT(F1375,"mmm")) &amp; " - " &amp; UPPER(TEXT(G1375,"mmm"))</f>
        <v>JAN - MAR</v>
      </c>
      <c r="K1375" s="60" t="s">
        <v>3133</v>
      </c>
      <c r="L1375" s="99" t="s">
        <v>3895</v>
      </c>
      <c r="M1375" s="32" t="str">
        <f t="shared" si="48"/>
        <v>Yes</v>
      </c>
      <c r="N1375" s="32">
        <f>G1375 - F1375</f>
        <v>89</v>
      </c>
      <c r="O1375">
        <v>1</v>
      </c>
    </row>
    <row r="1376" spans="1:15" x14ac:dyDescent="0.3">
      <c r="A1376" s="51" t="s">
        <v>2639</v>
      </c>
      <c r="B1376" s="60" t="s">
        <v>70</v>
      </c>
      <c r="C1376" s="60" t="s">
        <v>12</v>
      </c>
      <c r="D1376" s="51" t="s">
        <v>2640</v>
      </c>
      <c r="E1376" s="51" t="s">
        <v>2641</v>
      </c>
      <c r="F1376" s="75">
        <v>44774</v>
      </c>
      <c r="G1376" s="75">
        <v>44837</v>
      </c>
      <c r="H1376" s="32" t="str">
        <f t="shared" si="49"/>
        <v>ODD</v>
      </c>
      <c r="I1376" s="105">
        <v>0</v>
      </c>
      <c r="J1376" s="60" t="str">
        <f>UPPER(TEXT(F1376,"mmm")) &amp; " - " &amp; UPPER(TEXT(G1376,"mmm"))</f>
        <v>AUG - OCT</v>
      </c>
      <c r="K1376" s="60" t="s">
        <v>3133</v>
      </c>
      <c r="L1376" s="99" t="s">
        <v>3895</v>
      </c>
      <c r="M1376" s="32" t="str">
        <f t="shared" si="48"/>
        <v>No</v>
      </c>
      <c r="N1376" s="32">
        <f>G1376 - F1376</f>
        <v>63</v>
      </c>
      <c r="O1376">
        <v>1</v>
      </c>
    </row>
    <row r="1377" spans="1:15" x14ac:dyDescent="0.3">
      <c r="A1377" s="51" t="s">
        <v>2639</v>
      </c>
      <c r="B1377" s="60" t="s">
        <v>70</v>
      </c>
      <c r="C1377" s="60" t="s">
        <v>12</v>
      </c>
      <c r="D1377" s="51" t="s">
        <v>2640</v>
      </c>
      <c r="E1377" s="51" t="s">
        <v>2642</v>
      </c>
      <c r="F1377" s="75">
        <v>44835</v>
      </c>
      <c r="G1377" s="75">
        <v>44957</v>
      </c>
      <c r="H1377" s="32" t="str">
        <f t="shared" si="49"/>
        <v>ODD</v>
      </c>
      <c r="I1377" s="105">
        <v>0</v>
      </c>
      <c r="J1377" s="60" t="str">
        <f>UPPER(TEXT(F1377,"mmm")) &amp; " - " &amp; UPPER(TEXT(G1377,"mmm"))</f>
        <v>OCT - JAN</v>
      </c>
      <c r="K1377" s="60" t="s">
        <v>3133</v>
      </c>
      <c r="L1377" s="99" t="s">
        <v>3895</v>
      </c>
      <c r="M1377" s="32" t="str">
        <f t="shared" si="48"/>
        <v>No</v>
      </c>
      <c r="N1377" s="32">
        <f>G1377 - F1377</f>
        <v>122</v>
      </c>
      <c r="O1377">
        <v>1</v>
      </c>
    </row>
    <row r="1378" spans="1:15" x14ac:dyDescent="0.3">
      <c r="A1378" s="51" t="s">
        <v>2578</v>
      </c>
      <c r="B1378" s="60" t="s">
        <v>70</v>
      </c>
      <c r="C1378" s="60" t="s">
        <v>12</v>
      </c>
      <c r="D1378" s="51" t="s">
        <v>2643</v>
      </c>
      <c r="E1378" s="51" t="s">
        <v>277</v>
      </c>
      <c r="F1378" s="75">
        <v>44774</v>
      </c>
      <c r="G1378" s="75">
        <v>44804</v>
      </c>
      <c r="H1378" s="32" t="str">
        <f t="shared" si="49"/>
        <v>ODD</v>
      </c>
      <c r="I1378" s="105">
        <v>0</v>
      </c>
      <c r="J1378" s="60" t="str">
        <f>UPPER(TEXT(F1378,"mmm")) &amp; " - " &amp; UPPER(TEXT(G1378,"mmm"))</f>
        <v>AUG - AUG</v>
      </c>
      <c r="K1378" s="60" t="s">
        <v>3133</v>
      </c>
      <c r="L1378" s="60" t="s">
        <v>895</v>
      </c>
      <c r="M1378" s="32" t="str">
        <f t="shared" si="48"/>
        <v>No</v>
      </c>
      <c r="N1378" s="32">
        <f>G1378 - F1378</f>
        <v>30</v>
      </c>
      <c r="O1378">
        <v>1</v>
      </c>
    </row>
    <row r="1379" spans="1:15" x14ac:dyDescent="0.3">
      <c r="A1379" s="51" t="s">
        <v>2076</v>
      </c>
      <c r="B1379" s="60" t="s">
        <v>70</v>
      </c>
      <c r="C1379" s="60" t="s">
        <v>12</v>
      </c>
      <c r="D1379" s="51" t="s">
        <v>2544</v>
      </c>
      <c r="E1379" s="51" t="s">
        <v>2644</v>
      </c>
      <c r="F1379" s="75">
        <v>44947</v>
      </c>
      <c r="G1379" s="75">
        <v>45029</v>
      </c>
      <c r="H1379" s="32" t="str">
        <f t="shared" si="49"/>
        <v>EVEN</v>
      </c>
      <c r="I1379" s="105">
        <v>0</v>
      </c>
      <c r="J1379" s="60" t="str">
        <f>UPPER(TEXT(F1379,"mmm")) &amp; " - " &amp; UPPER(TEXT(G1379,"mmm"))</f>
        <v>JAN - APR</v>
      </c>
      <c r="K1379" s="60" t="s">
        <v>3133</v>
      </c>
      <c r="L1379" s="60" t="s">
        <v>895</v>
      </c>
      <c r="M1379" s="32" t="str">
        <f t="shared" si="48"/>
        <v>No</v>
      </c>
      <c r="N1379" s="32">
        <f>G1379 - F1379</f>
        <v>82</v>
      </c>
      <c r="O1379">
        <v>1</v>
      </c>
    </row>
    <row r="1380" spans="1:15" x14ac:dyDescent="0.3">
      <c r="A1380" s="51" t="s">
        <v>2496</v>
      </c>
      <c r="B1380" s="60" t="s">
        <v>70</v>
      </c>
      <c r="C1380" s="60" t="s">
        <v>12</v>
      </c>
      <c r="D1380" s="51" t="s">
        <v>2645</v>
      </c>
      <c r="E1380" s="51" t="s">
        <v>2646</v>
      </c>
      <c r="F1380" s="75">
        <v>44995</v>
      </c>
      <c r="G1380" s="75">
        <v>45032</v>
      </c>
      <c r="H1380" s="32" t="str">
        <f t="shared" si="49"/>
        <v>EVEN</v>
      </c>
      <c r="I1380" s="105">
        <v>0</v>
      </c>
      <c r="J1380" s="60" t="str">
        <f>UPPER(TEXT(F1380,"mmm")) &amp; " - " &amp; UPPER(TEXT(G1380,"mmm"))</f>
        <v>MAR - APR</v>
      </c>
      <c r="K1380" s="60" t="s">
        <v>3133</v>
      </c>
      <c r="L1380" s="99" t="s">
        <v>3895</v>
      </c>
      <c r="M1380" s="32" t="str">
        <f t="shared" si="48"/>
        <v>No</v>
      </c>
      <c r="N1380" s="32">
        <f>G1380 - F1380</f>
        <v>37</v>
      </c>
      <c r="O1380">
        <v>1</v>
      </c>
    </row>
    <row r="1381" spans="1:15" x14ac:dyDescent="0.3">
      <c r="A1381" s="51" t="s">
        <v>2647</v>
      </c>
      <c r="B1381" s="60" t="s">
        <v>70</v>
      </c>
      <c r="C1381" s="60" t="s">
        <v>12</v>
      </c>
      <c r="D1381" s="51" t="s">
        <v>2648</v>
      </c>
      <c r="E1381" s="51" t="s">
        <v>2649</v>
      </c>
      <c r="F1381" s="75">
        <v>44774</v>
      </c>
      <c r="G1381" s="75">
        <v>44834</v>
      </c>
      <c r="H1381" s="32" t="str">
        <f t="shared" si="49"/>
        <v>ODD</v>
      </c>
      <c r="I1381" s="105">
        <v>0</v>
      </c>
      <c r="J1381" s="60" t="str">
        <f>UPPER(TEXT(F1381,"mmm")) &amp; " - " &amp; UPPER(TEXT(G1381,"mmm"))</f>
        <v>AUG - SEP</v>
      </c>
      <c r="K1381" s="60" t="s">
        <v>3133</v>
      </c>
      <c r="L1381" s="60" t="s">
        <v>895</v>
      </c>
      <c r="M1381" s="32" t="str">
        <f t="shared" si="48"/>
        <v>No</v>
      </c>
      <c r="N1381" s="32">
        <f>G1381 - F1381</f>
        <v>60</v>
      </c>
      <c r="O1381">
        <v>1</v>
      </c>
    </row>
    <row r="1382" spans="1:15" x14ac:dyDescent="0.3">
      <c r="A1382" s="51" t="s">
        <v>2650</v>
      </c>
      <c r="B1382" s="60" t="s">
        <v>70</v>
      </c>
      <c r="C1382" s="60" t="s">
        <v>12</v>
      </c>
      <c r="D1382" s="51" t="s">
        <v>2651</v>
      </c>
      <c r="E1382" s="51" t="s">
        <v>2652</v>
      </c>
      <c r="F1382" s="75">
        <v>44774</v>
      </c>
      <c r="G1382" s="75">
        <v>44834</v>
      </c>
      <c r="H1382" s="32" t="str">
        <f t="shared" si="49"/>
        <v>ODD</v>
      </c>
      <c r="I1382" s="105">
        <v>0</v>
      </c>
      <c r="J1382" s="60" t="str">
        <f>UPPER(TEXT(F1382,"mmm")) &amp; " - " &amp; UPPER(TEXT(G1382,"mmm"))</f>
        <v>AUG - SEP</v>
      </c>
      <c r="K1382" s="60" t="s">
        <v>3133</v>
      </c>
      <c r="L1382" s="60" t="s">
        <v>895</v>
      </c>
      <c r="M1382" s="32" t="str">
        <f t="shared" si="48"/>
        <v>No</v>
      </c>
      <c r="N1382" s="32">
        <f>G1382 - F1382</f>
        <v>60</v>
      </c>
      <c r="O1382">
        <v>1</v>
      </c>
    </row>
    <row r="1383" spans="1:15" x14ac:dyDescent="0.3">
      <c r="A1383" s="51" t="s">
        <v>2653</v>
      </c>
      <c r="B1383" s="60" t="s">
        <v>78</v>
      </c>
      <c r="C1383" s="60" t="s">
        <v>12</v>
      </c>
      <c r="D1383" s="51" t="s">
        <v>2654</v>
      </c>
      <c r="E1383" s="51" t="s">
        <v>2655</v>
      </c>
      <c r="F1383" s="75">
        <v>44958</v>
      </c>
      <c r="G1383" s="75">
        <v>44989</v>
      </c>
      <c r="H1383" s="32" t="str">
        <f t="shared" si="49"/>
        <v>EVEN</v>
      </c>
      <c r="I1383" s="105">
        <v>0</v>
      </c>
      <c r="J1383" s="60" t="str">
        <f>UPPER(TEXT(F1383,"mmm")) &amp; " - " &amp; UPPER(TEXT(G1383,"mmm"))</f>
        <v>FEB - MAR</v>
      </c>
      <c r="K1383" s="60" t="s">
        <v>3133</v>
      </c>
      <c r="L1383" s="60" t="s">
        <v>895</v>
      </c>
      <c r="M1383" s="32" t="str">
        <f t="shared" si="48"/>
        <v>No</v>
      </c>
      <c r="N1383" s="32">
        <f>G1383 - F1383</f>
        <v>31</v>
      </c>
      <c r="O1383">
        <v>1</v>
      </c>
    </row>
    <row r="1384" spans="1:15" x14ac:dyDescent="0.3">
      <c r="A1384" s="51" t="s">
        <v>2656</v>
      </c>
      <c r="B1384" s="60" t="s">
        <v>78</v>
      </c>
      <c r="C1384" s="60" t="s">
        <v>12</v>
      </c>
      <c r="D1384" s="51" t="s">
        <v>2404</v>
      </c>
      <c r="E1384" s="51" t="s">
        <v>2657</v>
      </c>
      <c r="F1384" s="75">
        <v>45010</v>
      </c>
      <c r="G1384" s="75">
        <v>45102</v>
      </c>
      <c r="H1384" s="32" t="str">
        <f t="shared" si="49"/>
        <v>EVEN</v>
      </c>
      <c r="I1384" s="105">
        <v>12000</v>
      </c>
      <c r="J1384" s="60" t="str">
        <f>UPPER(TEXT(F1384,"mmm")) &amp; " - " &amp; UPPER(TEXT(G1384,"mmm"))</f>
        <v>MAR - JUN</v>
      </c>
      <c r="K1384" s="60" t="s">
        <v>3133</v>
      </c>
      <c r="L1384" s="99" t="s">
        <v>3895</v>
      </c>
      <c r="M1384" s="32" t="str">
        <f t="shared" si="48"/>
        <v>Yes</v>
      </c>
      <c r="N1384" s="32">
        <f>G1384 - F1384</f>
        <v>92</v>
      </c>
      <c r="O1384">
        <v>1</v>
      </c>
    </row>
    <row r="1385" spans="1:15" x14ac:dyDescent="0.3">
      <c r="A1385" s="51" t="s">
        <v>2658</v>
      </c>
      <c r="B1385" s="60" t="s">
        <v>78</v>
      </c>
      <c r="C1385" s="60" t="s">
        <v>12</v>
      </c>
      <c r="D1385" s="51" t="s">
        <v>2659</v>
      </c>
      <c r="E1385" s="51" t="s">
        <v>2660</v>
      </c>
      <c r="F1385" s="75">
        <v>44928</v>
      </c>
      <c r="G1385" s="75">
        <v>44939</v>
      </c>
      <c r="H1385" s="32" t="str">
        <f t="shared" si="49"/>
        <v>EVEN</v>
      </c>
      <c r="I1385" s="105">
        <v>0</v>
      </c>
      <c r="J1385" s="60" t="str">
        <f>UPPER(TEXT(F1385,"mmm")) &amp; " - " &amp; UPPER(TEXT(G1385,"mmm"))</f>
        <v>JAN - JAN</v>
      </c>
      <c r="K1385" s="60" t="s">
        <v>3133</v>
      </c>
      <c r="L1385" s="99" t="s">
        <v>3895</v>
      </c>
      <c r="M1385" s="32" t="str">
        <f t="shared" si="48"/>
        <v>No</v>
      </c>
      <c r="N1385" s="32">
        <f>G1385 - F1385</f>
        <v>11</v>
      </c>
      <c r="O1385">
        <v>1</v>
      </c>
    </row>
    <row r="1386" spans="1:15" x14ac:dyDescent="0.3">
      <c r="A1386" s="51" t="s">
        <v>2661</v>
      </c>
      <c r="B1386" s="60" t="s">
        <v>78</v>
      </c>
      <c r="C1386" s="60" t="s">
        <v>12</v>
      </c>
      <c r="D1386" s="51" t="s">
        <v>2662</v>
      </c>
      <c r="E1386" s="51" t="s">
        <v>2663</v>
      </c>
      <c r="F1386" s="75">
        <v>44854</v>
      </c>
      <c r="G1386" s="75">
        <v>44927</v>
      </c>
      <c r="H1386" s="32" t="str">
        <f t="shared" si="49"/>
        <v>ODD</v>
      </c>
      <c r="I1386" s="105">
        <v>0</v>
      </c>
      <c r="J1386" s="60" t="str">
        <f>UPPER(TEXT(F1386,"mmm")) &amp; " - " &amp; UPPER(TEXT(G1386,"mmm"))</f>
        <v>OCT - JAN</v>
      </c>
      <c r="K1386" s="60" t="s">
        <v>3133</v>
      </c>
      <c r="L1386" s="60" t="s">
        <v>895</v>
      </c>
      <c r="M1386" s="32" t="str">
        <f t="shared" si="48"/>
        <v>No</v>
      </c>
      <c r="N1386" s="32">
        <f>G1386 - F1386</f>
        <v>73</v>
      </c>
      <c r="O1386">
        <v>1</v>
      </c>
    </row>
    <row r="1387" spans="1:15" x14ac:dyDescent="0.3">
      <c r="A1387" s="51" t="s">
        <v>2664</v>
      </c>
      <c r="B1387" s="60" t="s">
        <v>78</v>
      </c>
      <c r="C1387" s="60" t="s">
        <v>12</v>
      </c>
      <c r="D1387" s="51" t="s">
        <v>2643</v>
      </c>
      <c r="E1387" s="51" t="s">
        <v>2665</v>
      </c>
      <c r="F1387" s="75">
        <v>44866</v>
      </c>
      <c r="G1387" s="75">
        <v>44910</v>
      </c>
      <c r="H1387" s="32" t="str">
        <f t="shared" si="49"/>
        <v>ODD</v>
      </c>
      <c r="I1387" s="105">
        <v>0</v>
      </c>
      <c r="J1387" s="60" t="str">
        <f>UPPER(TEXT(F1387,"mmm")) &amp; " - " &amp; UPPER(TEXT(G1387,"mmm"))</f>
        <v>NOV - DEC</v>
      </c>
      <c r="K1387" s="60" t="s">
        <v>3133</v>
      </c>
      <c r="L1387" s="60" t="s">
        <v>895</v>
      </c>
      <c r="M1387" s="32" t="str">
        <f t="shared" si="48"/>
        <v>No</v>
      </c>
      <c r="N1387" s="32">
        <f>G1387 - F1387</f>
        <v>44</v>
      </c>
      <c r="O1387">
        <v>1</v>
      </c>
    </row>
    <row r="1388" spans="1:15" x14ac:dyDescent="0.3">
      <c r="A1388" s="51" t="s">
        <v>2666</v>
      </c>
      <c r="B1388" s="60" t="s">
        <v>66</v>
      </c>
      <c r="C1388" s="60" t="s">
        <v>12</v>
      </c>
      <c r="D1388" s="51" t="s">
        <v>2667</v>
      </c>
      <c r="E1388" s="51" t="s">
        <v>2668</v>
      </c>
      <c r="F1388" s="75">
        <v>44753</v>
      </c>
      <c r="G1388" s="75">
        <v>44919</v>
      </c>
      <c r="H1388" s="32" t="str">
        <f t="shared" si="49"/>
        <v>EVEN</v>
      </c>
      <c r="I1388" s="105">
        <v>0</v>
      </c>
      <c r="J1388" s="60" t="str">
        <f>UPPER(TEXT(F1388,"mmm")) &amp; " - " &amp; UPPER(TEXT(G1388,"mmm"))</f>
        <v>JUL - DEC</v>
      </c>
      <c r="K1388" s="60" t="s">
        <v>3133</v>
      </c>
      <c r="L1388" s="99" t="s">
        <v>3895</v>
      </c>
      <c r="M1388" s="32" t="str">
        <f t="shared" si="48"/>
        <v>No</v>
      </c>
      <c r="N1388" s="32">
        <f>G1388 - F1388</f>
        <v>166</v>
      </c>
      <c r="O1388">
        <v>1</v>
      </c>
    </row>
    <row r="1389" spans="1:15" x14ac:dyDescent="0.3">
      <c r="A1389" s="51" t="s">
        <v>1193</v>
      </c>
      <c r="B1389" s="60" t="s">
        <v>66</v>
      </c>
      <c r="C1389" s="60" t="s">
        <v>12</v>
      </c>
      <c r="D1389" s="51" t="s">
        <v>2669</v>
      </c>
      <c r="E1389" s="51" t="s">
        <v>1107</v>
      </c>
      <c r="F1389" s="75">
        <v>45071</v>
      </c>
      <c r="G1389" s="75">
        <v>45102</v>
      </c>
      <c r="H1389" s="32" t="str">
        <f t="shared" si="49"/>
        <v>EVEN</v>
      </c>
      <c r="I1389" s="105">
        <v>0</v>
      </c>
      <c r="J1389" s="60" t="str">
        <f>UPPER(TEXT(F1389,"mmm")) &amp; " - " &amp; UPPER(TEXT(G1389,"mmm"))</f>
        <v>MAY - JUN</v>
      </c>
      <c r="K1389" s="60" t="s">
        <v>3133</v>
      </c>
      <c r="L1389" s="99" t="s">
        <v>3895</v>
      </c>
      <c r="M1389" s="32" t="str">
        <f t="shared" si="48"/>
        <v>No</v>
      </c>
      <c r="N1389" s="32">
        <f>G1389 - F1389</f>
        <v>31</v>
      </c>
      <c r="O1389">
        <v>1</v>
      </c>
    </row>
    <row r="1390" spans="1:15" x14ac:dyDescent="0.3">
      <c r="A1390" s="51" t="s">
        <v>2670</v>
      </c>
      <c r="B1390" s="60" t="s">
        <v>66</v>
      </c>
      <c r="C1390" s="60" t="s">
        <v>12</v>
      </c>
      <c r="D1390" s="51" t="s">
        <v>2671</v>
      </c>
      <c r="E1390" s="51" t="s">
        <v>2672</v>
      </c>
      <c r="F1390" s="75">
        <v>44958</v>
      </c>
      <c r="G1390" s="75">
        <v>44996</v>
      </c>
      <c r="H1390" s="32" t="str">
        <f t="shared" si="49"/>
        <v>EVEN</v>
      </c>
      <c r="I1390" s="105">
        <v>0</v>
      </c>
      <c r="J1390" s="60" t="str">
        <f>UPPER(TEXT(F1390,"mmm")) &amp; " - " &amp; UPPER(TEXT(G1390,"mmm"))</f>
        <v>FEB - MAR</v>
      </c>
      <c r="K1390" s="60" t="s">
        <v>3133</v>
      </c>
      <c r="L1390" s="99" t="s">
        <v>3895</v>
      </c>
      <c r="M1390" s="32" t="str">
        <f t="shared" si="48"/>
        <v>No</v>
      </c>
      <c r="N1390" s="32">
        <f>G1390 - F1390</f>
        <v>38</v>
      </c>
      <c r="O1390">
        <v>1</v>
      </c>
    </row>
    <row r="1391" spans="1:15" x14ac:dyDescent="0.3">
      <c r="A1391" s="51" t="s">
        <v>2673</v>
      </c>
      <c r="B1391" s="60" t="s">
        <v>70</v>
      </c>
      <c r="C1391" s="60" t="s">
        <v>12</v>
      </c>
      <c r="D1391" s="51" t="s">
        <v>2674</v>
      </c>
      <c r="E1391" s="51" t="s">
        <v>2675</v>
      </c>
      <c r="F1391" s="75">
        <v>44965</v>
      </c>
      <c r="G1391" s="75">
        <v>45046</v>
      </c>
      <c r="H1391" s="32" t="str">
        <f t="shared" si="49"/>
        <v>EVEN</v>
      </c>
      <c r="I1391" s="105">
        <v>10000</v>
      </c>
      <c r="J1391" s="60" t="str">
        <f>UPPER(TEXT(F1391,"mmm")) &amp; " - " &amp; UPPER(TEXT(G1391,"mmm"))</f>
        <v>FEB - APR</v>
      </c>
      <c r="K1391" s="60" t="s">
        <v>3133</v>
      </c>
      <c r="L1391" s="99" t="s">
        <v>3895</v>
      </c>
      <c r="M1391" s="32" t="str">
        <f t="shared" si="48"/>
        <v>Yes</v>
      </c>
      <c r="N1391" s="32">
        <f>G1391 - F1391</f>
        <v>81</v>
      </c>
      <c r="O1391">
        <v>1</v>
      </c>
    </row>
    <row r="1392" spans="1:15" x14ac:dyDescent="0.3">
      <c r="A1392" s="51" t="s">
        <v>2639</v>
      </c>
      <c r="B1392" s="60" t="s">
        <v>70</v>
      </c>
      <c r="C1392" s="60" t="s">
        <v>12</v>
      </c>
      <c r="D1392" s="51" t="s">
        <v>2676</v>
      </c>
      <c r="E1392" s="51" t="s">
        <v>2677</v>
      </c>
      <c r="F1392" s="75">
        <v>44958</v>
      </c>
      <c r="G1392" s="75">
        <v>45107</v>
      </c>
      <c r="H1392" s="32" t="str">
        <f t="shared" si="49"/>
        <v>EVEN</v>
      </c>
      <c r="I1392" s="105">
        <v>0</v>
      </c>
      <c r="J1392" s="60" t="str">
        <f>UPPER(TEXT(F1392,"mmm")) &amp; " - " &amp; UPPER(TEXT(G1392,"mmm"))</f>
        <v>FEB - JUN</v>
      </c>
      <c r="K1392" s="60" t="s">
        <v>3133</v>
      </c>
      <c r="L1392" s="99" t="s">
        <v>3895</v>
      </c>
      <c r="M1392" s="32" t="str">
        <f t="shared" si="48"/>
        <v>No</v>
      </c>
      <c r="N1392" s="32">
        <f>G1392 - F1392</f>
        <v>149</v>
      </c>
      <c r="O1392">
        <v>1</v>
      </c>
    </row>
    <row r="1393" spans="1:15" x14ac:dyDescent="0.3">
      <c r="A1393" s="51" t="s">
        <v>2274</v>
      </c>
      <c r="B1393" s="60" t="s">
        <v>70</v>
      </c>
      <c r="C1393" s="60" t="s">
        <v>12</v>
      </c>
      <c r="D1393" s="51" t="s">
        <v>2275</v>
      </c>
      <c r="E1393" s="51" t="s">
        <v>2678</v>
      </c>
      <c r="F1393" s="75">
        <v>44927</v>
      </c>
      <c r="G1393" s="75">
        <v>45000</v>
      </c>
      <c r="H1393" s="32" t="str">
        <f t="shared" si="49"/>
        <v>EVEN</v>
      </c>
      <c r="I1393" s="105">
        <v>0</v>
      </c>
      <c r="J1393" s="60" t="str">
        <f>UPPER(TEXT(F1393,"mmm")) &amp; " - " &amp; UPPER(TEXT(G1393,"mmm"))</f>
        <v>JAN - MAR</v>
      </c>
      <c r="K1393" s="60" t="s">
        <v>3133</v>
      </c>
      <c r="L1393" s="99" t="s">
        <v>3895</v>
      </c>
      <c r="M1393" s="32" t="str">
        <f t="shared" si="48"/>
        <v>No</v>
      </c>
      <c r="N1393" s="32">
        <f>G1393 - F1393</f>
        <v>73</v>
      </c>
      <c r="O1393">
        <v>1</v>
      </c>
    </row>
    <row r="1394" spans="1:15" x14ac:dyDescent="0.3">
      <c r="A1394" s="51" t="s">
        <v>2298</v>
      </c>
      <c r="B1394" s="60" t="s">
        <v>78</v>
      </c>
      <c r="C1394" s="60" t="s">
        <v>12</v>
      </c>
      <c r="D1394" s="51" t="s">
        <v>1233</v>
      </c>
      <c r="E1394" s="51" t="s">
        <v>2679</v>
      </c>
      <c r="F1394" s="75">
        <v>44743</v>
      </c>
      <c r="G1394" s="75">
        <v>45046</v>
      </c>
      <c r="H1394" s="32" t="str">
        <f t="shared" si="49"/>
        <v>EVEN</v>
      </c>
      <c r="I1394" s="105">
        <v>0</v>
      </c>
      <c r="J1394" s="60" t="str">
        <f>UPPER(TEXT(F1394,"mmm")) &amp; " - " &amp; UPPER(TEXT(G1394,"mmm"))</f>
        <v>JUL - APR</v>
      </c>
      <c r="K1394" s="60" t="s">
        <v>3133</v>
      </c>
      <c r="L1394" s="60" t="s">
        <v>895</v>
      </c>
      <c r="M1394" s="32" t="str">
        <f t="shared" si="48"/>
        <v>No</v>
      </c>
      <c r="N1394" s="32">
        <f>G1394 - F1394</f>
        <v>303</v>
      </c>
      <c r="O1394">
        <v>1</v>
      </c>
    </row>
    <row r="1395" spans="1:15" x14ac:dyDescent="0.3">
      <c r="A1395" s="51" t="s">
        <v>2680</v>
      </c>
      <c r="B1395" s="60" t="s">
        <v>78</v>
      </c>
      <c r="C1395" s="60" t="s">
        <v>12</v>
      </c>
      <c r="D1395" s="51" t="s">
        <v>1233</v>
      </c>
      <c r="E1395" s="51" t="s">
        <v>2681</v>
      </c>
      <c r="F1395" s="75">
        <v>44743</v>
      </c>
      <c r="G1395" s="75">
        <v>45046</v>
      </c>
      <c r="H1395" s="32" t="str">
        <f t="shared" si="49"/>
        <v>EVEN</v>
      </c>
      <c r="I1395" s="105">
        <v>0</v>
      </c>
      <c r="J1395" s="60" t="str">
        <f>UPPER(TEXT(F1395,"mmm")) &amp; " - " &amp; UPPER(TEXT(G1395,"mmm"))</f>
        <v>JUL - APR</v>
      </c>
      <c r="K1395" s="60" t="s">
        <v>3133</v>
      </c>
      <c r="L1395" s="60" t="s">
        <v>895</v>
      </c>
      <c r="M1395" s="32" t="str">
        <f t="shared" si="48"/>
        <v>No</v>
      </c>
      <c r="N1395" s="32">
        <f>G1395 - F1395</f>
        <v>303</v>
      </c>
      <c r="O1395">
        <v>1</v>
      </c>
    </row>
    <row r="1396" spans="1:15" x14ac:dyDescent="0.3">
      <c r="A1396" s="51" t="s">
        <v>2005</v>
      </c>
      <c r="B1396" s="60" t="s">
        <v>66</v>
      </c>
      <c r="C1396" s="60" t="s">
        <v>12</v>
      </c>
      <c r="D1396" s="51" t="s">
        <v>2682</v>
      </c>
      <c r="E1396" s="51" t="s">
        <v>2683</v>
      </c>
      <c r="F1396" s="75">
        <v>45082</v>
      </c>
      <c r="G1396" s="75">
        <v>45107</v>
      </c>
      <c r="H1396" s="32" t="str">
        <f t="shared" si="49"/>
        <v>EVEN</v>
      </c>
      <c r="I1396" s="105">
        <v>0</v>
      </c>
      <c r="J1396" s="60" t="str">
        <f>UPPER(TEXT(F1396,"mmm")) &amp; " - " &amp; UPPER(TEXT(G1396,"mmm"))</f>
        <v>JUN - JUN</v>
      </c>
      <c r="K1396" s="60" t="s">
        <v>3133</v>
      </c>
      <c r="L1396" s="99" t="s">
        <v>3895</v>
      </c>
      <c r="M1396" s="32" t="str">
        <f t="shared" si="48"/>
        <v>No</v>
      </c>
      <c r="N1396" s="32">
        <f>G1396 - F1396</f>
        <v>25</v>
      </c>
      <c r="O1396">
        <v>1</v>
      </c>
    </row>
    <row r="1397" spans="1:15" x14ac:dyDescent="0.3">
      <c r="A1397" s="51" t="s">
        <v>2684</v>
      </c>
      <c r="B1397" s="60" t="s">
        <v>66</v>
      </c>
      <c r="C1397" s="60" t="s">
        <v>12</v>
      </c>
      <c r="D1397" s="51" t="s">
        <v>2140</v>
      </c>
      <c r="E1397" s="51" t="s">
        <v>2685</v>
      </c>
      <c r="F1397" s="75">
        <v>44927</v>
      </c>
      <c r="G1397" s="75">
        <v>44986</v>
      </c>
      <c r="H1397" s="32" t="str">
        <f t="shared" si="49"/>
        <v>EVEN</v>
      </c>
      <c r="I1397" s="105">
        <v>0</v>
      </c>
      <c r="J1397" s="60" t="str">
        <f>UPPER(TEXT(F1397,"mmm")) &amp; " - " &amp; UPPER(TEXT(G1397,"mmm"))</f>
        <v>JAN - MAR</v>
      </c>
      <c r="K1397" s="60" t="s">
        <v>3133</v>
      </c>
      <c r="L1397" s="60" t="s">
        <v>895</v>
      </c>
      <c r="M1397" s="32" t="str">
        <f t="shared" si="48"/>
        <v>No</v>
      </c>
      <c r="N1397" s="32">
        <f>G1397 - F1397</f>
        <v>59</v>
      </c>
      <c r="O1397">
        <v>1</v>
      </c>
    </row>
    <row r="1398" spans="1:15" x14ac:dyDescent="0.3">
      <c r="A1398" s="51" t="s">
        <v>2686</v>
      </c>
      <c r="B1398" s="60" t="s">
        <v>66</v>
      </c>
      <c r="C1398" s="60" t="s">
        <v>12</v>
      </c>
      <c r="D1398" s="51" t="s">
        <v>2687</v>
      </c>
      <c r="E1398" s="51" t="s">
        <v>2688</v>
      </c>
      <c r="F1398" s="75">
        <v>45078</v>
      </c>
      <c r="G1398" s="75">
        <v>45106</v>
      </c>
      <c r="H1398" s="32" t="str">
        <f t="shared" si="49"/>
        <v>EVEN</v>
      </c>
      <c r="I1398" s="105">
        <v>0</v>
      </c>
      <c r="J1398" s="60" t="str">
        <f>UPPER(TEXT(F1398,"mmm")) &amp; " - " &amp; UPPER(TEXT(G1398,"mmm"))</f>
        <v>JUN - JUN</v>
      </c>
      <c r="K1398" s="60" t="s">
        <v>3133</v>
      </c>
      <c r="L1398" s="99" t="s">
        <v>3895</v>
      </c>
      <c r="M1398" s="32" t="str">
        <f t="shared" si="48"/>
        <v>No</v>
      </c>
      <c r="N1398" s="32">
        <f>G1398 - F1398</f>
        <v>28</v>
      </c>
      <c r="O1398">
        <v>1</v>
      </c>
    </row>
    <row r="1399" spans="1:15" x14ac:dyDescent="0.3">
      <c r="A1399" s="51" t="s">
        <v>2689</v>
      </c>
      <c r="B1399" s="60" t="s">
        <v>66</v>
      </c>
      <c r="C1399" s="60" t="s">
        <v>12</v>
      </c>
      <c r="D1399" s="51" t="s">
        <v>1233</v>
      </c>
      <c r="E1399" s="51" t="s">
        <v>2690</v>
      </c>
      <c r="F1399" s="75">
        <v>44743</v>
      </c>
      <c r="G1399" s="75">
        <v>45046</v>
      </c>
      <c r="H1399" s="32" t="str">
        <f t="shared" si="49"/>
        <v>EVEN</v>
      </c>
      <c r="I1399" s="105">
        <v>0</v>
      </c>
      <c r="J1399" s="60" t="str">
        <f>UPPER(TEXT(F1399,"mmm")) &amp; " - " &amp; UPPER(TEXT(G1399,"mmm"))</f>
        <v>JUL - APR</v>
      </c>
      <c r="K1399" s="60" t="s">
        <v>3133</v>
      </c>
      <c r="L1399" s="60" t="s">
        <v>895</v>
      </c>
      <c r="M1399" s="32" t="str">
        <f t="shared" si="48"/>
        <v>No</v>
      </c>
      <c r="N1399" s="32">
        <f>G1399 - F1399</f>
        <v>303</v>
      </c>
      <c r="O1399">
        <v>1</v>
      </c>
    </row>
    <row r="1400" spans="1:15" x14ac:dyDescent="0.3">
      <c r="A1400" s="51" t="s">
        <v>2691</v>
      </c>
      <c r="B1400" s="60" t="s">
        <v>66</v>
      </c>
      <c r="C1400" s="60" t="s">
        <v>12</v>
      </c>
      <c r="D1400" s="51" t="s">
        <v>2692</v>
      </c>
      <c r="E1400" s="51" t="s">
        <v>2693</v>
      </c>
      <c r="F1400" s="75">
        <v>44774</v>
      </c>
      <c r="G1400" s="75">
        <v>44865</v>
      </c>
      <c r="H1400" s="32" t="str">
        <f t="shared" si="49"/>
        <v>ODD</v>
      </c>
      <c r="I1400" s="105">
        <v>10000</v>
      </c>
      <c r="J1400" s="60" t="str">
        <f>UPPER(TEXT(F1400,"mmm")) &amp; " - " &amp; UPPER(TEXT(G1400,"mmm"))</f>
        <v>AUG - OCT</v>
      </c>
      <c r="K1400" s="60" t="s">
        <v>3133</v>
      </c>
      <c r="L1400" s="99" t="s">
        <v>3895</v>
      </c>
      <c r="M1400" s="32" t="str">
        <f t="shared" si="48"/>
        <v>Yes</v>
      </c>
      <c r="N1400" s="32">
        <f>G1400 - F1400</f>
        <v>91</v>
      </c>
      <c r="O1400">
        <v>1</v>
      </c>
    </row>
    <row r="1401" spans="1:15" x14ac:dyDescent="0.3">
      <c r="A1401" s="51" t="s">
        <v>2557</v>
      </c>
      <c r="B1401" s="60" t="s">
        <v>66</v>
      </c>
      <c r="C1401" s="60" t="s">
        <v>12</v>
      </c>
      <c r="D1401" s="51" t="s">
        <v>2694</v>
      </c>
      <c r="E1401" s="51" t="s">
        <v>2695</v>
      </c>
      <c r="F1401" s="75">
        <v>44805</v>
      </c>
      <c r="G1401" s="75">
        <v>44865</v>
      </c>
      <c r="H1401" s="32" t="str">
        <f t="shared" si="49"/>
        <v>ODD</v>
      </c>
      <c r="I1401" s="105">
        <v>2000</v>
      </c>
      <c r="J1401" s="60" t="str">
        <f>UPPER(TEXT(F1401,"mmm")) &amp; " - " &amp; UPPER(TEXT(G1401,"mmm"))</f>
        <v>SEP - OCT</v>
      </c>
      <c r="K1401" s="60" t="s">
        <v>3133</v>
      </c>
      <c r="L1401" s="99" t="s">
        <v>3895</v>
      </c>
      <c r="M1401" s="32" t="str">
        <f t="shared" si="48"/>
        <v>Yes</v>
      </c>
      <c r="N1401" s="32">
        <f>G1401 - F1401</f>
        <v>60</v>
      </c>
      <c r="O1401">
        <v>1</v>
      </c>
    </row>
    <row r="1402" spans="1:15" x14ac:dyDescent="0.3">
      <c r="A1402" s="51" t="s">
        <v>2696</v>
      </c>
      <c r="B1402" s="60" t="s">
        <v>11</v>
      </c>
      <c r="C1402" s="60" t="s">
        <v>12</v>
      </c>
      <c r="D1402" s="51" t="s">
        <v>2697</v>
      </c>
      <c r="E1402" s="51" t="s">
        <v>2698</v>
      </c>
      <c r="F1402" s="75">
        <v>44990</v>
      </c>
      <c r="G1402" s="75">
        <v>45066</v>
      </c>
      <c r="H1402" s="32" t="str">
        <f t="shared" si="49"/>
        <v>EVEN</v>
      </c>
      <c r="I1402" s="105">
        <v>3000</v>
      </c>
      <c r="J1402" s="60" t="str">
        <f>UPPER(TEXT(F1402,"mmm")) &amp; " - " &amp; UPPER(TEXT(G1402,"mmm"))</f>
        <v>MAR - MAY</v>
      </c>
      <c r="K1402" s="60" t="s">
        <v>3133</v>
      </c>
      <c r="L1402" s="99" t="s">
        <v>3895</v>
      </c>
      <c r="M1402" s="32" t="str">
        <f t="shared" si="48"/>
        <v>Yes</v>
      </c>
      <c r="N1402" s="32">
        <f>G1402 - F1402</f>
        <v>76</v>
      </c>
      <c r="O1402">
        <v>1</v>
      </c>
    </row>
    <row r="1403" spans="1:15" x14ac:dyDescent="0.3">
      <c r="A1403" s="51" t="s">
        <v>2699</v>
      </c>
      <c r="B1403" s="60" t="s">
        <v>11</v>
      </c>
      <c r="C1403" s="60" t="s">
        <v>12</v>
      </c>
      <c r="D1403" s="51" t="s">
        <v>2700</v>
      </c>
      <c r="E1403" s="51" t="s">
        <v>2701</v>
      </c>
      <c r="F1403" s="75">
        <v>44743</v>
      </c>
      <c r="G1403" s="75">
        <v>45046</v>
      </c>
      <c r="H1403" s="32" t="str">
        <f t="shared" si="49"/>
        <v>EVEN</v>
      </c>
      <c r="I1403" s="105">
        <v>0</v>
      </c>
      <c r="J1403" s="60" t="str">
        <f>UPPER(TEXT(F1403,"mmm")) &amp; " - " &amp; UPPER(TEXT(G1403,"mmm"))</f>
        <v>JUL - APR</v>
      </c>
      <c r="K1403" s="60" t="s">
        <v>3133</v>
      </c>
      <c r="L1403" s="60" t="s">
        <v>895</v>
      </c>
      <c r="M1403" s="32" t="str">
        <f t="shared" si="48"/>
        <v>No</v>
      </c>
      <c r="N1403" s="32">
        <f>G1403 - F1403</f>
        <v>303</v>
      </c>
      <c r="O1403">
        <v>1</v>
      </c>
    </row>
    <row r="1404" spans="1:15" x14ac:dyDescent="0.3">
      <c r="A1404" s="51" t="s">
        <v>2702</v>
      </c>
      <c r="B1404" s="60" t="s">
        <v>11</v>
      </c>
      <c r="C1404" s="60" t="s">
        <v>12</v>
      </c>
      <c r="D1404" s="51" t="s">
        <v>2700</v>
      </c>
      <c r="E1404" s="51" t="s">
        <v>2703</v>
      </c>
      <c r="F1404" s="75">
        <v>44743</v>
      </c>
      <c r="G1404" s="75">
        <v>45046</v>
      </c>
      <c r="H1404" s="32" t="str">
        <f t="shared" si="49"/>
        <v>EVEN</v>
      </c>
      <c r="I1404" s="105">
        <v>0</v>
      </c>
      <c r="J1404" s="60" t="str">
        <f>UPPER(TEXT(F1404,"mmm")) &amp; " - " &amp; UPPER(TEXT(G1404,"mmm"))</f>
        <v>JUL - APR</v>
      </c>
      <c r="K1404" s="60" t="s">
        <v>3133</v>
      </c>
      <c r="L1404" s="60" t="s">
        <v>895</v>
      </c>
      <c r="M1404" s="32" t="str">
        <f t="shared" si="48"/>
        <v>No</v>
      </c>
      <c r="N1404" s="32">
        <f>G1404 - F1404</f>
        <v>303</v>
      </c>
      <c r="O1404">
        <v>1</v>
      </c>
    </row>
    <row r="1405" spans="1:15" x14ac:dyDescent="0.3">
      <c r="A1405" s="51" t="s">
        <v>2704</v>
      </c>
      <c r="B1405" s="60" t="s">
        <v>78</v>
      </c>
      <c r="C1405" s="60" t="s">
        <v>12</v>
      </c>
      <c r="D1405" s="51" t="s">
        <v>2705</v>
      </c>
      <c r="E1405" s="51" t="s">
        <v>2706</v>
      </c>
      <c r="F1405" s="75">
        <v>45089</v>
      </c>
      <c r="G1405" s="75">
        <v>45119</v>
      </c>
      <c r="H1405" s="32" t="str">
        <f t="shared" si="49"/>
        <v>EVEN</v>
      </c>
      <c r="I1405" s="105">
        <v>5000</v>
      </c>
      <c r="J1405" s="60" t="str">
        <f>UPPER(TEXT(F1405,"mmm")) &amp; " - " &amp; UPPER(TEXT(G1405,"mmm"))</f>
        <v>JUN - JUL</v>
      </c>
      <c r="K1405" s="60" t="s">
        <v>3133</v>
      </c>
      <c r="L1405" s="99" t="s">
        <v>3895</v>
      </c>
      <c r="M1405" s="32" t="str">
        <f t="shared" si="48"/>
        <v>Yes</v>
      </c>
      <c r="N1405" s="32">
        <f>G1405 - F1405</f>
        <v>30</v>
      </c>
      <c r="O1405">
        <v>1</v>
      </c>
    </row>
    <row r="1406" spans="1:15" x14ac:dyDescent="0.3">
      <c r="A1406" s="51" t="s">
        <v>2293</v>
      </c>
      <c r="B1406" s="60" t="s">
        <v>78</v>
      </c>
      <c r="C1406" s="60" t="s">
        <v>12</v>
      </c>
      <c r="D1406" s="51" t="s">
        <v>2707</v>
      </c>
      <c r="E1406" s="51" t="s">
        <v>2708</v>
      </c>
      <c r="F1406" s="75">
        <v>45082</v>
      </c>
      <c r="G1406" s="75">
        <v>45112</v>
      </c>
      <c r="H1406" s="32" t="str">
        <f t="shared" si="49"/>
        <v>EVEN</v>
      </c>
      <c r="I1406" s="105">
        <v>0</v>
      </c>
      <c r="J1406" s="60" t="str">
        <f>UPPER(TEXT(F1406,"mmm")) &amp; " - " &amp; UPPER(TEXT(G1406,"mmm"))</f>
        <v>JUN - JUL</v>
      </c>
      <c r="K1406" s="60" t="s">
        <v>3133</v>
      </c>
      <c r="L1406" s="99" t="s">
        <v>3895</v>
      </c>
      <c r="M1406" s="32" t="str">
        <f t="shared" si="48"/>
        <v>No</v>
      </c>
      <c r="N1406" s="32">
        <f>G1406 - F1406</f>
        <v>30</v>
      </c>
      <c r="O1406">
        <v>1</v>
      </c>
    </row>
    <row r="1407" spans="1:15" x14ac:dyDescent="0.3">
      <c r="A1407" s="51" t="s">
        <v>2586</v>
      </c>
      <c r="B1407" s="60" t="s">
        <v>78</v>
      </c>
      <c r="C1407" s="60" t="s">
        <v>12</v>
      </c>
      <c r="D1407" s="51" t="s">
        <v>2707</v>
      </c>
      <c r="E1407" s="51" t="s">
        <v>2709</v>
      </c>
      <c r="F1407" s="75">
        <v>45082</v>
      </c>
      <c r="G1407" s="75">
        <v>45112</v>
      </c>
      <c r="H1407" s="32" t="str">
        <f t="shared" si="49"/>
        <v>EVEN</v>
      </c>
      <c r="I1407" s="105">
        <v>0</v>
      </c>
      <c r="J1407" s="60" t="str">
        <f>UPPER(TEXT(F1407,"mmm")) &amp; " - " &amp; UPPER(TEXT(G1407,"mmm"))</f>
        <v>JUN - JUL</v>
      </c>
      <c r="K1407" s="60" t="s">
        <v>3133</v>
      </c>
      <c r="L1407" s="99" t="s">
        <v>3895</v>
      </c>
      <c r="M1407" s="32" t="str">
        <f t="shared" si="48"/>
        <v>No</v>
      </c>
      <c r="N1407" s="32">
        <f>G1407 - F1407</f>
        <v>30</v>
      </c>
      <c r="O1407">
        <v>1</v>
      </c>
    </row>
    <row r="1408" spans="1:15" x14ac:dyDescent="0.3">
      <c r="A1408" s="51" t="s">
        <v>2710</v>
      </c>
      <c r="B1408" s="60" t="s">
        <v>78</v>
      </c>
      <c r="C1408" s="60" t="s">
        <v>12</v>
      </c>
      <c r="D1408" s="51" t="s">
        <v>2711</v>
      </c>
      <c r="E1408" s="51" t="s">
        <v>2712</v>
      </c>
      <c r="F1408" s="75">
        <v>45089</v>
      </c>
      <c r="G1408" s="75">
        <v>45121</v>
      </c>
      <c r="H1408" s="32" t="str">
        <f t="shared" si="49"/>
        <v>EVEN</v>
      </c>
      <c r="I1408" s="105">
        <v>0</v>
      </c>
      <c r="J1408" s="60" t="str">
        <f>UPPER(TEXT(F1408,"mmm")) &amp; " - " &amp; UPPER(TEXT(G1408,"mmm"))</f>
        <v>JUN - JUL</v>
      </c>
      <c r="K1408" s="60" t="s">
        <v>3133</v>
      </c>
      <c r="L1408" s="99" t="s">
        <v>3895</v>
      </c>
      <c r="M1408" s="32" t="str">
        <f t="shared" si="48"/>
        <v>No</v>
      </c>
      <c r="N1408" s="32">
        <f>G1408 - F1408</f>
        <v>32</v>
      </c>
      <c r="O1408">
        <v>1</v>
      </c>
    </row>
    <row r="1409" spans="1:15" x14ac:dyDescent="0.3">
      <c r="A1409" s="51" t="s">
        <v>2713</v>
      </c>
      <c r="B1409" s="60" t="s">
        <v>78</v>
      </c>
      <c r="C1409" s="60" t="s">
        <v>12</v>
      </c>
      <c r="D1409" s="51" t="s">
        <v>1233</v>
      </c>
      <c r="E1409" s="51" t="s">
        <v>2714</v>
      </c>
      <c r="F1409" s="75">
        <v>44743</v>
      </c>
      <c r="G1409" s="75">
        <v>45046</v>
      </c>
      <c r="H1409" s="32" t="str">
        <f t="shared" si="49"/>
        <v>EVEN</v>
      </c>
      <c r="I1409" s="105">
        <v>0</v>
      </c>
      <c r="J1409" s="60" t="str">
        <f>UPPER(TEXT(F1409,"mmm")) &amp; " - " &amp; UPPER(TEXT(G1409,"mmm"))</f>
        <v>JUL - APR</v>
      </c>
      <c r="K1409" s="60" t="s">
        <v>3133</v>
      </c>
      <c r="L1409" s="60" t="s">
        <v>895</v>
      </c>
      <c r="M1409" s="32" t="str">
        <f t="shared" si="48"/>
        <v>No</v>
      </c>
      <c r="N1409" s="32">
        <f>G1409 - F1409</f>
        <v>303</v>
      </c>
      <c r="O1409">
        <v>1</v>
      </c>
    </row>
    <row r="1410" spans="1:15" x14ac:dyDescent="0.3">
      <c r="A1410" s="51" t="s">
        <v>2715</v>
      </c>
      <c r="B1410" s="60" t="s">
        <v>78</v>
      </c>
      <c r="C1410" s="60" t="s">
        <v>12</v>
      </c>
      <c r="D1410" s="51" t="s">
        <v>593</v>
      </c>
      <c r="E1410" s="51" t="s">
        <v>2716</v>
      </c>
      <c r="F1410" s="75">
        <v>44942</v>
      </c>
      <c r="G1410" s="75">
        <v>45033</v>
      </c>
      <c r="H1410" s="32" t="str">
        <f t="shared" si="49"/>
        <v>EVEN</v>
      </c>
      <c r="I1410" s="105">
        <v>0</v>
      </c>
      <c r="J1410" s="60" t="str">
        <f>UPPER(TEXT(F1410,"mmm")) &amp; " - " &amp; UPPER(TEXT(G1410,"mmm"))</f>
        <v>JAN - APR</v>
      </c>
      <c r="K1410" s="60" t="s">
        <v>3133</v>
      </c>
      <c r="L1410" s="60" t="s">
        <v>895</v>
      </c>
      <c r="M1410" s="32" t="str">
        <f t="shared" ref="M1410:M1472" si="50">IF(I1410 &gt; 0, "Yes", "No")</f>
        <v>No</v>
      </c>
      <c r="N1410" s="32">
        <f>G1410 - F1410</f>
        <v>91</v>
      </c>
      <c r="O1410">
        <v>1</v>
      </c>
    </row>
    <row r="1411" spans="1:15" x14ac:dyDescent="0.3">
      <c r="A1411" s="51" t="s">
        <v>1917</v>
      </c>
      <c r="B1411" s="60" t="s">
        <v>66</v>
      </c>
      <c r="C1411" s="60" t="s">
        <v>12</v>
      </c>
      <c r="D1411" s="51" t="s">
        <v>2717</v>
      </c>
      <c r="E1411" s="51" t="s">
        <v>2718</v>
      </c>
      <c r="F1411" s="75">
        <v>44797</v>
      </c>
      <c r="G1411" s="75">
        <v>44956</v>
      </c>
      <c r="H1411" s="32" t="str">
        <f t="shared" si="49"/>
        <v>ODD</v>
      </c>
      <c r="I1411" s="105">
        <v>0</v>
      </c>
      <c r="J1411" s="60" t="str">
        <f>UPPER(TEXT(F1411,"mmm")) &amp; " - " &amp; UPPER(TEXT(G1411,"mmm"))</f>
        <v>AUG - JAN</v>
      </c>
      <c r="K1411" s="60" t="s">
        <v>3133</v>
      </c>
      <c r="L1411" s="99" t="s">
        <v>3895</v>
      </c>
      <c r="M1411" s="32" t="str">
        <f t="shared" si="50"/>
        <v>No</v>
      </c>
      <c r="N1411" s="32">
        <f>G1411 - F1411</f>
        <v>159</v>
      </c>
      <c r="O1411">
        <v>1</v>
      </c>
    </row>
    <row r="1412" spans="1:15" x14ac:dyDescent="0.3">
      <c r="A1412" s="51" t="s">
        <v>2686</v>
      </c>
      <c r="B1412" s="60" t="s">
        <v>66</v>
      </c>
      <c r="C1412" s="60" t="s">
        <v>12</v>
      </c>
      <c r="D1412" s="51" t="s">
        <v>2719</v>
      </c>
      <c r="E1412" s="51" t="s">
        <v>1267</v>
      </c>
      <c r="F1412" s="75">
        <v>44743</v>
      </c>
      <c r="G1412" s="75">
        <v>45046</v>
      </c>
      <c r="H1412" s="32" t="str">
        <f t="shared" si="49"/>
        <v>EVEN</v>
      </c>
      <c r="I1412" s="105">
        <v>0</v>
      </c>
      <c r="J1412" s="60" t="str">
        <f>UPPER(TEXT(F1412,"mmm")) &amp; " - " &amp; UPPER(TEXT(G1412,"mmm"))</f>
        <v>JUL - APR</v>
      </c>
      <c r="K1412" s="60" t="s">
        <v>3133</v>
      </c>
      <c r="L1412" s="60" t="s">
        <v>895</v>
      </c>
      <c r="M1412" s="32" t="str">
        <f t="shared" si="50"/>
        <v>No</v>
      </c>
      <c r="N1412" s="32">
        <f>G1412 - F1412</f>
        <v>303</v>
      </c>
      <c r="O1412">
        <v>1</v>
      </c>
    </row>
    <row r="1413" spans="1:15" x14ac:dyDescent="0.3">
      <c r="A1413" s="51" t="s">
        <v>2720</v>
      </c>
      <c r="B1413" s="60" t="s">
        <v>66</v>
      </c>
      <c r="C1413" s="60" t="s">
        <v>12</v>
      </c>
      <c r="D1413" s="51" t="s">
        <v>2721</v>
      </c>
      <c r="E1413" s="51" t="s">
        <v>2722</v>
      </c>
      <c r="F1413" s="75">
        <v>44824</v>
      </c>
      <c r="G1413" s="75">
        <v>45096</v>
      </c>
      <c r="H1413" s="32" t="str">
        <f t="shared" si="49"/>
        <v>ODD</v>
      </c>
      <c r="I1413" s="105">
        <v>0</v>
      </c>
      <c r="J1413" s="60" t="str">
        <f>UPPER(TEXT(F1413,"mmm")) &amp; " - " &amp; UPPER(TEXT(G1413,"mmm"))</f>
        <v>SEP - JUN</v>
      </c>
      <c r="K1413" s="60" t="s">
        <v>3133</v>
      </c>
      <c r="L1413" s="60" t="s">
        <v>895</v>
      </c>
      <c r="M1413" s="32" t="str">
        <f t="shared" si="50"/>
        <v>No</v>
      </c>
      <c r="N1413" s="32">
        <f>G1413 - F1413</f>
        <v>272</v>
      </c>
      <c r="O1413">
        <v>1</v>
      </c>
    </row>
    <row r="1414" spans="1:15" x14ac:dyDescent="0.3">
      <c r="A1414" s="51" t="s">
        <v>2723</v>
      </c>
      <c r="B1414" s="60" t="s">
        <v>66</v>
      </c>
      <c r="C1414" s="60" t="s">
        <v>12</v>
      </c>
      <c r="D1414" s="51" t="s">
        <v>1233</v>
      </c>
      <c r="E1414" s="51" t="s">
        <v>2724</v>
      </c>
      <c r="F1414" s="75">
        <v>44743</v>
      </c>
      <c r="G1414" s="75">
        <v>45017</v>
      </c>
      <c r="H1414" s="32" t="str">
        <f t="shared" si="49"/>
        <v>EVEN</v>
      </c>
      <c r="I1414" s="105">
        <v>0</v>
      </c>
      <c r="J1414" s="60" t="str">
        <f>UPPER(TEXT(F1414,"mmm")) &amp; " - " &amp; UPPER(TEXT(G1414,"mmm"))</f>
        <v>JUL - APR</v>
      </c>
      <c r="K1414" s="60" t="s">
        <v>3133</v>
      </c>
      <c r="L1414" s="60" t="s">
        <v>895</v>
      </c>
      <c r="M1414" s="32" t="str">
        <f t="shared" si="50"/>
        <v>No</v>
      </c>
      <c r="N1414" s="32">
        <f>G1414 - F1414</f>
        <v>274</v>
      </c>
      <c r="O1414">
        <v>1</v>
      </c>
    </row>
    <row r="1415" spans="1:15" x14ac:dyDescent="0.3">
      <c r="A1415" s="51" t="s">
        <v>2725</v>
      </c>
      <c r="B1415" s="60" t="s">
        <v>11</v>
      </c>
      <c r="C1415" s="60" t="s">
        <v>12</v>
      </c>
      <c r="D1415" s="51" t="s">
        <v>2726</v>
      </c>
      <c r="E1415" s="51" t="s">
        <v>2727</v>
      </c>
      <c r="F1415" s="75">
        <v>44927</v>
      </c>
      <c r="G1415" s="75">
        <v>45098</v>
      </c>
      <c r="H1415" s="32" t="str">
        <f t="shared" si="49"/>
        <v>EVEN</v>
      </c>
      <c r="I1415" s="105">
        <v>0</v>
      </c>
      <c r="J1415" s="60" t="str">
        <f>UPPER(TEXT(F1415,"mmm")) &amp; " - " &amp; UPPER(TEXT(G1415,"mmm"))</f>
        <v>JAN - JUN</v>
      </c>
      <c r="K1415" s="60" t="s">
        <v>3133</v>
      </c>
      <c r="L1415" s="60" t="s">
        <v>895</v>
      </c>
      <c r="M1415" s="32" t="str">
        <f t="shared" si="50"/>
        <v>No</v>
      </c>
      <c r="N1415" s="32">
        <f>G1415 - F1415</f>
        <v>171</v>
      </c>
      <c r="O1415">
        <v>1</v>
      </c>
    </row>
    <row r="1416" spans="1:15" x14ac:dyDescent="0.3">
      <c r="A1416" s="51" t="s">
        <v>2728</v>
      </c>
      <c r="B1416" s="60" t="s">
        <v>78</v>
      </c>
      <c r="C1416" s="60" t="s">
        <v>12</v>
      </c>
      <c r="D1416" s="51" t="s">
        <v>2729</v>
      </c>
      <c r="E1416" s="51" t="s">
        <v>2730</v>
      </c>
      <c r="F1416" s="75">
        <v>44984</v>
      </c>
      <c r="G1416" s="75">
        <v>45079</v>
      </c>
      <c r="H1416" s="32" t="str">
        <f t="shared" si="49"/>
        <v>EVEN</v>
      </c>
      <c r="I1416" s="105">
        <v>0</v>
      </c>
      <c r="J1416" s="60" t="str">
        <f>UPPER(TEXT(F1416,"mmm")) &amp; " - " &amp; UPPER(TEXT(G1416,"mmm"))</f>
        <v>FEB - JUN</v>
      </c>
      <c r="K1416" s="60" t="s">
        <v>3133</v>
      </c>
      <c r="L1416" s="99" t="s">
        <v>3895</v>
      </c>
      <c r="M1416" s="32" t="str">
        <f t="shared" si="50"/>
        <v>No</v>
      </c>
      <c r="N1416" s="32">
        <f>G1416 - F1416</f>
        <v>95</v>
      </c>
      <c r="O1416">
        <v>1</v>
      </c>
    </row>
    <row r="1417" spans="1:15" x14ac:dyDescent="0.3">
      <c r="A1417" s="51" t="s">
        <v>2731</v>
      </c>
      <c r="B1417" s="60" t="s">
        <v>78</v>
      </c>
      <c r="C1417" s="60" t="s">
        <v>12</v>
      </c>
      <c r="D1417" s="51" t="s">
        <v>604</v>
      </c>
      <c r="E1417" s="51" t="s">
        <v>2732</v>
      </c>
      <c r="F1417" s="75">
        <v>45078</v>
      </c>
      <c r="G1417" s="75">
        <v>45138</v>
      </c>
      <c r="H1417" s="32" t="str">
        <f t="shared" si="49"/>
        <v>EVEN</v>
      </c>
      <c r="I1417" s="105">
        <v>0</v>
      </c>
      <c r="J1417" s="60" t="str">
        <f>UPPER(TEXT(F1417,"mmm")) &amp; " - " &amp; UPPER(TEXT(G1417,"mmm"))</f>
        <v>JUN - JUL</v>
      </c>
      <c r="K1417" s="60" t="s">
        <v>3133</v>
      </c>
      <c r="L1417" s="99" t="s">
        <v>3895</v>
      </c>
      <c r="M1417" s="32" t="str">
        <f t="shared" si="50"/>
        <v>No</v>
      </c>
      <c r="N1417" s="32">
        <f>G1417 - F1417</f>
        <v>60</v>
      </c>
      <c r="O1417">
        <v>1</v>
      </c>
    </row>
    <row r="1418" spans="1:15" x14ac:dyDescent="0.3">
      <c r="A1418" s="51" t="s">
        <v>2731</v>
      </c>
      <c r="B1418" s="60" t="s">
        <v>78</v>
      </c>
      <c r="C1418" s="60" t="s">
        <v>12</v>
      </c>
      <c r="D1418" s="51" t="s">
        <v>604</v>
      </c>
      <c r="E1418" s="51" t="s">
        <v>2733</v>
      </c>
      <c r="F1418" s="75">
        <v>45078</v>
      </c>
      <c r="G1418" s="75">
        <v>45138</v>
      </c>
      <c r="H1418" s="32" t="str">
        <f t="shared" si="49"/>
        <v>EVEN</v>
      </c>
      <c r="I1418" s="105">
        <v>0</v>
      </c>
      <c r="J1418" s="60" t="str">
        <f>UPPER(TEXT(F1418,"mmm")) &amp; " - " &amp; UPPER(TEXT(G1418,"mmm"))</f>
        <v>JUN - JUL</v>
      </c>
      <c r="K1418" s="60" t="s">
        <v>3133</v>
      </c>
      <c r="L1418" s="99" t="s">
        <v>3895</v>
      </c>
      <c r="M1418" s="32" t="str">
        <f t="shared" si="50"/>
        <v>No</v>
      </c>
      <c r="N1418" s="32">
        <f>G1418 - F1418</f>
        <v>60</v>
      </c>
      <c r="O1418">
        <v>1</v>
      </c>
    </row>
    <row r="1419" spans="1:15" x14ac:dyDescent="0.3">
      <c r="A1419" s="51" t="s">
        <v>2734</v>
      </c>
      <c r="B1419" s="60" t="s">
        <v>78</v>
      </c>
      <c r="C1419" s="60" t="s">
        <v>12</v>
      </c>
      <c r="D1419" s="51" t="s">
        <v>2735</v>
      </c>
      <c r="E1419" s="51" t="s">
        <v>2736</v>
      </c>
      <c r="F1419" s="75">
        <v>45076</v>
      </c>
      <c r="G1419" s="75">
        <v>45123</v>
      </c>
      <c r="H1419" s="32" t="str">
        <f t="shared" si="49"/>
        <v>EVEN</v>
      </c>
      <c r="I1419" s="105">
        <v>0</v>
      </c>
      <c r="J1419" s="60" t="str">
        <f>UPPER(TEXT(F1419,"mmm")) &amp; " - " &amp; UPPER(TEXT(G1419,"mmm"))</f>
        <v>MAY - JUL</v>
      </c>
      <c r="K1419" s="60" t="s">
        <v>3133</v>
      </c>
      <c r="L1419" s="99" t="s">
        <v>3895</v>
      </c>
      <c r="M1419" s="32" t="str">
        <f t="shared" si="50"/>
        <v>No</v>
      </c>
      <c r="N1419" s="32">
        <f>G1419 - F1419</f>
        <v>47</v>
      </c>
      <c r="O1419">
        <v>1</v>
      </c>
    </row>
    <row r="1420" spans="1:15" x14ac:dyDescent="0.3">
      <c r="A1420" s="51" t="s">
        <v>2737</v>
      </c>
      <c r="B1420" s="60" t="s">
        <v>78</v>
      </c>
      <c r="C1420" s="60" t="s">
        <v>12</v>
      </c>
      <c r="D1420" s="51" t="s">
        <v>2738</v>
      </c>
      <c r="E1420" s="51" t="s">
        <v>2739</v>
      </c>
      <c r="F1420" s="75">
        <v>45083</v>
      </c>
      <c r="G1420" s="75">
        <v>45117</v>
      </c>
      <c r="H1420" s="32" t="str">
        <f t="shared" si="49"/>
        <v>EVEN</v>
      </c>
      <c r="I1420" s="105">
        <v>0</v>
      </c>
      <c r="J1420" s="60" t="str">
        <f>UPPER(TEXT(F1420,"mmm")) &amp; " - " &amp; UPPER(TEXT(G1420,"mmm"))</f>
        <v>JUN - JUL</v>
      </c>
      <c r="K1420" s="60" t="s">
        <v>3133</v>
      </c>
      <c r="L1420" s="99" t="s">
        <v>3895</v>
      </c>
      <c r="M1420" s="32" t="str">
        <f t="shared" si="50"/>
        <v>No</v>
      </c>
      <c r="N1420" s="32">
        <f>G1420 - F1420</f>
        <v>34</v>
      </c>
      <c r="O1420">
        <v>1</v>
      </c>
    </row>
    <row r="1421" spans="1:15" x14ac:dyDescent="0.3">
      <c r="A1421" s="51" t="s">
        <v>2715</v>
      </c>
      <c r="B1421" s="60" t="s">
        <v>78</v>
      </c>
      <c r="C1421" s="60" t="s">
        <v>12</v>
      </c>
      <c r="D1421" s="51" t="s">
        <v>2740</v>
      </c>
      <c r="E1421" s="51" t="s">
        <v>2741</v>
      </c>
      <c r="F1421" s="75">
        <v>45078</v>
      </c>
      <c r="G1421" s="75">
        <v>45138</v>
      </c>
      <c r="H1421" s="32" t="str">
        <f t="shared" si="49"/>
        <v>EVEN</v>
      </c>
      <c r="I1421" s="105">
        <v>0</v>
      </c>
      <c r="J1421" s="60" t="str">
        <f>UPPER(TEXT(F1421,"mmm")) &amp; " - " &amp; UPPER(TEXT(G1421,"mmm"))</f>
        <v>JUN - JUL</v>
      </c>
      <c r="K1421" s="60" t="s">
        <v>3133</v>
      </c>
      <c r="L1421" s="99" t="s">
        <v>3895</v>
      </c>
      <c r="M1421" s="32" t="str">
        <f t="shared" si="50"/>
        <v>No</v>
      </c>
      <c r="N1421" s="32">
        <f>G1421 - F1421</f>
        <v>60</v>
      </c>
      <c r="O1421">
        <v>1</v>
      </c>
    </row>
    <row r="1422" spans="1:15" x14ac:dyDescent="0.3">
      <c r="A1422" s="51" t="s">
        <v>2742</v>
      </c>
      <c r="B1422" s="60" t="s">
        <v>78</v>
      </c>
      <c r="C1422" s="60" t="s">
        <v>12</v>
      </c>
      <c r="D1422" s="51" t="s">
        <v>2743</v>
      </c>
      <c r="E1422" s="51" t="s">
        <v>2744</v>
      </c>
      <c r="F1422" s="75">
        <v>44798</v>
      </c>
      <c r="G1422" s="75">
        <v>44875</v>
      </c>
      <c r="H1422" s="32" t="str">
        <f t="shared" si="49"/>
        <v>ODD</v>
      </c>
      <c r="I1422" s="105">
        <v>0</v>
      </c>
      <c r="J1422" s="60" t="str">
        <f>UPPER(TEXT(F1422,"mmm")) &amp; " - " &amp; UPPER(TEXT(G1422,"mmm"))</f>
        <v>AUG - NOV</v>
      </c>
      <c r="K1422" s="60" t="s">
        <v>3133</v>
      </c>
      <c r="L1422" s="60" t="s">
        <v>895</v>
      </c>
      <c r="M1422" s="32" t="str">
        <f t="shared" si="50"/>
        <v>No</v>
      </c>
      <c r="N1422" s="32">
        <f>G1422 - F1422</f>
        <v>77</v>
      </c>
      <c r="O1422">
        <v>1</v>
      </c>
    </row>
    <row r="1423" spans="1:15" x14ac:dyDescent="0.3">
      <c r="A1423" s="51" t="s">
        <v>2745</v>
      </c>
      <c r="B1423" s="60" t="s">
        <v>78</v>
      </c>
      <c r="C1423" s="60" t="s">
        <v>12</v>
      </c>
      <c r="D1423" s="51" t="s">
        <v>2746</v>
      </c>
      <c r="E1423" s="51" t="s">
        <v>2744</v>
      </c>
      <c r="F1423" s="75">
        <v>44798</v>
      </c>
      <c r="G1423" s="75">
        <v>44875</v>
      </c>
      <c r="H1423" s="32" t="str">
        <f t="shared" si="49"/>
        <v>ODD</v>
      </c>
      <c r="I1423" s="105">
        <v>0</v>
      </c>
      <c r="J1423" s="60" t="str">
        <f>UPPER(TEXT(F1423,"mmm")) &amp; " - " &amp; UPPER(TEXT(G1423,"mmm"))</f>
        <v>AUG - NOV</v>
      </c>
      <c r="K1423" s="60" t="s">
        <v>3133</v>
      </c>
      <c r="L1423" s="60" t="s">
        <v>895</v>
      </c>
      <c r="M1423" s="32" t="str">
        <f t="shared" si="50"/>
        <v>No</v>
      </c>
      <c r="N1423" s="32">
        <f>G1423 - F1423</f>
        <v>77</v>
      </c>
      <c r="O1423">
        <v>1</v>
      </c>
    </row>
    <row r="1424" spans="1:15" x14ac:dyDescent="0.3">
      <c r="A1424" s="51" t="s">
        <v>2747</v>
      </c>
      <c r="B1424" s="60" t="s">
        <v>78</v>
      </c>
      <c r="C1424" s="60" t="s">
        <v>12</v>
      </c>
      <c r="D1424" s="51" t="s">
        <v>2748</v>
      </c>
      <c r="E1424" s="51" t="s">
        <v>2749</v>
      </c>
      <c r="F1424" s="75">
        <v>44798</v>
      </c>
      <c r="G1424" s="75">
        <v>44875</v>
      </c>
      <c r="H1424" s="32" t="str">
        <f t="shared" si="49"/>
        <v>ODD</v>
      </c>
      <c r="I1424" s="105">
        <v>0</v>
      </c>
      <c r="J1424" s="60" t="str">
        <f>UPPER(TEXT(F1424,"mmm")) &amp; " - " &amp; UPPER(TEXT(G1424,"mmm"))</f>
        <v>AUG - NOV</v>
      </c>
      <c r="K1424" s="60" t="s">
        <v>3133</v>
      </c>
      <c r="L1424" s="60" t="s">
        <v>895</v>
      </c>
      <c r="M1424" s="32" t="str">
        <f t="shared" si="50"/>
        <v>No</v>
      </c>
      <c r="N1424" s="32">
        <f>G1424 - F1424</f>
        <v>77</v>
      </c>
      <c r="O1424">
        <v>1</v>
      </c>
    </row>
    <row r="1425" spans="1:15" x14ac:dyDescent="0.3">
      <c r="A1425" s="51" t="s">
        <v>2750</v>
      </c>
      <c r="B1425" s="60" t="s">
        <v>78</v>
      </c>
      <c r="C1425" s="60" t="s">
        <v>12</v>
      </c>
      <c r="D1425" s="51" t="s">
        <v>2751</v>
      </c>
      <c r="E1425" s="51" t="s">
        <v>2752</v>
      </c>
      <c r="F1425" s="75">
        <v>44822</v>
      </c>
      <c r="G1425" s="75">
        <v>45098</v>
      </c>
      <c r="H1425" s="32" t="str">
        <f t="shared" si="49"/>
        <v>ODD</v>
      </c>
      <c r="I1425" s="105">
        <v>0</v>
      </c>
      <c r="J1425" s="60" t="str">
        <f>UPPER(TEXT(F1425,"mmm")) &amp; " - " &amp; UPPER(TEXT(G1425,"mmm"))</f>
        <v>SEP - JUN</v>
      </c>
      <c r="K1425" s="60" t="s">
        <v>3133</v>
      </c>
      <c r="L1425" s="60" t="s">
        <v>895</v>
      </c>
      <c r="M1425" s="32" t="str">
        <f t="shared" si="50"/>
        <v>No</v>
      </c>
      <c r="N1425" s="32">
        <f>G1425 - F1425</f>
        <v>276</v>
      </c>
      <c r="O1425">
        <v>1</v>
      </c>
    </row>
    <row r="1426" spans="1:15" x14ac:dyDescent="0.3">
      <c r="A1426" s="51" t="s">
        <v>2750</v>
      </c>
      <c r="B1426" s="60" t="s">
        <v>78</v>
      </c>
      <c r="C1426" s="60" t="s">
        <v>12</v>
      </c>
      <c r="D1426" s="51" t="s">
        <v>2751</v>
      </c>
      <c r="E1426" s="51" t="s">
        <v>2753</v>
      </c>
      <c r="F1426" s="75">
        <v>44822</v>
      </c>
      <c r="G1426" s="75">
        <v>44926</v>
      </c>
      <c r="H1426" s="32" t="str">
        <f t="shared" si="49"/>
        <v>ODD</v>
      </c>
      <c r="I1426" s="105">
        <v>0</v>
      </c>
      <c r="J1426" s="60" t="str">
        <f>UPPER(TEXT(F1426,"mmm")) &amp; " - " &amp; UPPER(TEXT(G1426,"mmm"))</f>
        <v>SEP - DEC</v>
      </c>
      <c r="K1426" s="60" t="s">
        <v>3133</v>
      </c>
      <c r="L1426" s="60" t="s">
        <v>895</v>
      </c>
      <c r="M1426" s="32" t="str">
        <f t="shared" si="50"/>
        <v>No</v>
      </c>
      <c r="N1426" s="32">
        <f>G1426 - F1426</f>
        <v>104</v>
      </c>
      <c r="O1426">
        <v>1</v>
      </c>
    </row>
    <row r="1427" spans="1:15" x14ac:dyDescent="0.3">
      <c r="A1427" s="51" t="s">
        <v>1904</v>
      </c>
      <c r="B1427" s="60" t="s">
        <v>66</v>
      </c>
      <c r="C1427" s="60" t="s">
        <v>12</v>
      </c>
      <c r="D1427" s="51" t="s">
        <v>2754</v>
      </c>
      <c r="E1427" s="51" t="s">
        <v>2755</v>
      </c>
      <c r="F1427" s="75">
        <v>45082</v>
      </c>
      <c r="G1427" s="75">
        <v>45135</v>
      </c>
      <c r="H1427" s="32" t="str">
        <f t="shared" si="49"/>
        <v>EVEN</v>
      </c>
      <c r="I1427" s="105">
        <v>0</v>
      </c>
      <c r="J1427" s="60" t="str">
        <f>UPPER(TEXT(F1427,"mmm")) &amp; " - " &amp; UPPER(TEXT(G1427,"mmm"))</f>
        <v>JUN - JUL</v>
      </c>
      <c r="K1427" s="60" t="s">
        <v>3133</v>
      </c>
      <c r="L1427" s="99" t="s">
        <v>3895</v>
      </c>
      <c r="M1427" s="32" t="str">
        <f t="shared" si="50"/>
        <v>No</v>
      </c>
      <c r="N1427" s="32">
        <f>G1427 - F1427</f>
        <v>53</v>
      </c>
      <c r="O1427">
        <v>1</v>
      </c>
    </row>
    <row r="1428" spans="1:15" x14ac:dyDescent="0.3">
      <c r="A1428" s="51" t="s">
        <v>2628</v>
      </c>
      <c r="B1428" s="60" t="s">
        <v>66</v>
      </c>
      <c r="C1428" s="60" t="s">
        <v>12</v>
      </c>
      <c r="D1428" s="51" t="s">
        <v>2756</v>
      </c>
      <c r="E1428" s="51" t="s">
        <v>406</v>
      </c>
      <c r="F1428" s="75">
        <v>45082</v>
      </c>
      <c r="G1428" s="75">
        <v>45135</v>
      </c>
      <c r="H1428" s="32" t="str">
        <f t="shared" si="49"/>
        <v>EVEN</v>
      </c>
      <c r="I1428" s="105">
        <v>125000</v>
      </c>
      <c r="J1428" s="60" t="str">
        <f>UPPER(TEXT(F1428,"mmm")) &amp; " - " &amp; UPPER(TEXT(G1428,"mmm"))</f>
        <v>JUN - JUL</v>
      </c>
      <c r="K1428" s="60" t="s">
        <v>3133</v>
      </c>
      <c r="L1428" s="99" t="s">
        <v>3895</v>
      </c>
      <c r="M1428" s="32" t="str">
        <f t="shared" si="50"/>
        <v>Yes</v>
      </c>
      <c r="N1428" s="32">
        <f>G1428 - F1428</f>
        <v>53</v>
      </c>
      <c r="O1428">
        <v>1</v>
      </c>
    </row>
    <row r="1429" spans="1:15" x14ac:dyDescent="0.3">
      <c r="A1429" s="51" t="s">
        <v>2757</v>
      </c>
      <c r="B1429" s="60" t="s">
        <v>66</v>
      </c>
      <c r="C1429" s="60" t="s">
        <v>12</v>
      </c>
      <c r="D1429" s="51" t="s">
        <v>2758</v>
      </c>
      <c r="E1429" s="51" t="s">
        <v>2759</v>
      </c>
      <c r="F1429" s="75">
        <v>45082</v>
      </c>
      <c r="G1429" s="75">
        <v>45140</v>
      </c>
      <c r="H1429" s="32" t="str">
        <f t="shared" si="49"/>
        <v>EVEN</v>
      </c>
      <c r="I1429" s="105">
        <v>0</v>
      </c>
      <c r="J1429" s="60" t="str">
        <f>UPPER(TEXT(F1429,"mmm")) &amp; " - " &amp; UPPER(TEXT(G1429,"mmm"))</f>
        <v>JUN - AUG</v>
      </c>
      <c r="K1429" s="60" t="s">
        <v>3133</v>
      </c>
      <c r="L1429" s="99" t="s">
        <v>3895</v>
      </c>
      <c r="M1429" s="32" t="str">
        <f t="shared" si="50"/>
        <v>No</v>
      </c>
      <c r="N1429" s="32">
        <f>G1429 - F1429</f>
        <v>58</v>
      </c>
      <c r="O1429">
        <v>1</v>
      </c>
    </row>
    <row r="1430" spans="1:15" x14ac:dyDescent="0.3">
      <c r="A1430" s="51" t="s">
        <v>2760</v>
      </c>
      <c r="B1430" s="60" t="s">
        <v>66</v>
      </c>
      <c r="C1430" s="60" t="s">
        <v>12</v>
      </c>
      <c r="D1430" s="51" t="s">
        <v>2761</v>
      </c>
      <c r="E1430" s="51" t="s">
        <v>2762</v>
      </c>
      <c r="F1430" s="75">
        <v>44948</v>
      </c>
      <c r="G1430" s="75">
        <v>45009</v>
      </c>
      <c r="H1430" s="32" t="str">
        <f t="shared" si="49"/>
        <v>EVEN</v>
      </c>
      <c r="I1430" s="105">
        <v>0</v>
      </c>
      <c r="J1430" s="60" t="str">
        <f>UPPER(TEXT(F1430,"mmm")) &amp; " - " &amp; UPPER(TEXT(G1430,"mmm"))</f>
        <v>JAN - MAR</v>
      </c>
      <c r="K1430" s="60" t="s">
        <v>3133</v>
      </c>
      <c r="L1430" s="99" t="s">
        <v>3895</v>
      </c>
      <c r="M1430" s="32" t="str">
        <f t="shared" si="50"/>
        <v>No</v>
      </c>
      <c r="N1430" s="32">
        <f>G1430 - F1430</f>
        <v>61</v>
      </c>
      <c r="O1430">
        <v>1</v>
      </c>
    </row>
    <row r="1431" spans="1:15" x14ac:dyDescent="0.3">
      <c r="A1431" s="51" t="s">
        <v>2349</v>
      </c>
      <c r="B1431" s="60" t="s">
        <v>66</v>
      </c>
      <c r="C1431" s="60" t="s">
        <v>12</v>
      </c>
      <c r="D1431" s="51" t="s">
        <v>1251</v>
      </c>
      <c r="E1431" s="51" t="s">
        <v>2763</v>
      </c>
      <c r="F1431" s="75">
        <v>44743</v>
      </c>
      <c r="G1431" s="75">
        <v>45046</v>
      </c>
      <c r="H1431" s="32" t="str">
        <f t="shared" ref="H1431:H1493" si="51">IF(AND(F1431&gt;=DATE(2022,7,15), F1431&lt;=DATE(2022,12,31)), "ODD", "EVEN")</f>
        <v>EVEN</v>
      </c>
      <c r="I1431" s="105">
        <v>0</v>
      </c>
      <c r="J1431" s="60" t="str">
        <f>UPPER(TEXT(F1431,"mmm")) &amp; " - " &amp; UPPER(TEXT(G1431,"mmm"))</f>
        <v>JUL - APR</v>
      </c>
      <c r="K1431" s="60" t="s">
        <v>3133</v>
      </c>
      <c r="L1431" s="60" t="s">
        <v>895</v>
      </c>
      <c r="M1431" s="32" t="str">
        <f t="shared" si="50"/>
        <v>No</v>
      </c>
      <c r="N1431" s="32">
        <f>G1431 - F1431</f>
        <v>303</v>
      </c>
      <c r="O1431">
        <v>1</v>
      </c>
    </row>
    <row r="1432" spans="1:15" x14ac:dyDescent="0.3">
      <c r="A1432" s="51" t="s">
        <v>1232</v>
      </c>
      <c r="B1432" s="60" t="s">
        <v>66</v>
      </c>
      <c r="C1432" s="60" t="s">
        <v>12</v>
      </c>
      <c r="D1432" s="51" t="s">
        <v>1251</v>
      </c>
      <c r="E1432" s="51" t="s">
        <v>2764</v>
      </c>
      <c r="F1432" s="75">
        <v>44743</v>
      </c>
      <c r="G1432" s="75">
        <v>45107</v>
      </c>
      <c r="H1432" s="32" t="str">
        <f t="shared" si="51"/>
        <v>EVEN</v>
      </c>
      <c r="I1432" s="105">
        <v>0</v>
      </c>
      <c r="J1432" s="60" t="str">
        <f>UPPER(TEXT(F1432,"mmm")) &amp; " - " &amp; UPPER(TEXT(G1432,"mmm"))</f>
        <v>JUL - JUN</v>
      </c>
      <c r="K1432" s="60" t="s">
        <v>3133</v>
      </c>
      <c r="L1432" s="60" t="s">
        <v>895</v>
      </c>
      <c r="M1432" s="32" t="str">
        <f t="shared" si="50"/>
        <v>No</v>
      </c>
      <c r="N1432" s="32">
        <f>G1432 - F1432</f>
        <v>364</v>
      </c>
      <c r="O1432">
        <v>1</v>
      </c>
    </row>
    <row r="1433" spans="1:15" x14ac:dyDescent="0.3">
      <c r="A1433" s="51" t="s">
        <v>2765</v>
      </c>
      <c r="B1433" s="60" t="s">
        <v>66</v>
      </c>
      <c r="C1433" s="60" t="s">
        <v>12</v>
      </c>
      <c r="D1433" s="51" t="s">
        <v>2766</v>
      </c>
      <c r="E1433" s="51" t="s">
        <v>2767</v>
      </c>
      <c r="F1433" s="75">
        <v>44743</v>
      </c>
      <c r="G1433" s="75">
        <v>45046</v>
      </c>
      <c r="H1433" s="32" t="str">
        <f t="shared" si="51"/>
        <v>EVEN</v>
      </c>
      <c r="I1433" s="105">
        <v>0</v>
      </c>
      <c r="J1433" s="60" t="str">
        <f>UPPER(TEXT(F1433,"mmm")) &amp; " - " &amp; UPPER(TEXT(G1433,"mmm"))</f>
        <v>JUL - APR</v>
      </c>
      <c r="K1433" s="60" t="s">
        <v>3133</v>
      </c>
      <c r="L1433" s="60" t="s">
        <v>895</v>
      </c>
      <c r="M1433" s="32" t="str">
        <f t="shared" si="50"/>
        <v>No</v>
      </c>
      <c r="N1433" s="32">
        <f>G1433 - F1433</f>
        <v>303</v>
      </c>
      <c r="O1433">
        <v>1</v>
      </c>
    </row>
    <row r="1434" spans="1:15" x14ac:dyDescent="0.3">
      <c r="A1434" s="51" t="s">
        <v>2768</v>
      </c>
      <c r="B1434" s="60" t="s">
        <v>11</v>
      </c>
      <c r="C1434" s="60" t="s">
        <v>12</v>
      </c>
      <c r="D1434" s="51" t="s">
        <v>2726</v>
      </c>
      <c r="E1434" s="51" t="s">
        <v>1171</v>
      </c>
      <c r="F1434" s="75">
        <v>44927</v>
      </c>
      <c r="G1434" s="75">
        <v>45098</v>
      </c>
      <c r="H1434" s="32" t="str">
        <f t="shared" si="51"/>
        <v>EVEN</v>
      </c>
      <c r="I1434" s="105">
        <v>0</v>
      </c>
      <c r="J1434" s="60" t="str">
        <f>UPPER(TEXT(F1434,"mmm")) &amp; " - " &amp; UPPER(TEXT(G1434,"mmm"))</f>
        <v>JAN - JUN</v>
      </c>
      <c r="K1434" s="60" t="s">
        <v>3133</v>
      </c>
      <c r="L1434" s="60" t="s">
        <v>895</v>
      </c>
      <c r="M1434" s="32" t="str">
        <f t="shared" si="50"/>
        <v>No</v>
      </c>
      <c r="N1434" s="32">
        <f>G1434 - F1434</f>
        <v>171</v>
      </c>
      <c r="O1434">
        <v>1</v>
      </c>
    </row>
    <row r="1435" spans="1:15" x14ac:dyDescent="0.3">
      <c r="A1435" s="51" t="s">
        <v>2769</v>
      </c>
      <c r="B1435" s="60" t="s">
        <v>78</v>
      </c>
      <c r="C1435" s="60" t="s">
        <v>12</v>
      </c>
      <c r="D1435" s="51" t="s">
        <v>2770</v>
      </c>
      <c r="E1435" s="51" t="s">
        <v>2771</v>
      </c>
      <c r="F1435" s="75">
        <v>44743</v>
      </c>
      <c r="G1435" s="75">
        <v>45107</v>
      </c>
      <c r="H1435" s="32" t="str">
        <f t="shared" si="51"/>
        <v>EVEN</v>
      </c>
      <c r="I1435" s="105">
        <v>0</v>
      </c>
      <c r="J1435" s="60" t="str">
        <f>UPPER(TEXT(F1435,"mmm")) &amp; " - " &amp; UPPER(TEXT(G1435,"mmm"))</f>
        <v>JUL - JUN</v>
      </c>
      <c r="K1435" s="60" t="s">
        <v>3133</v>
      </c>
      <c r="L1435" s="99" t="s">
        <v>3895</v>
      </c>
      <c r="M1435" s="32" t="str">
        <f t="shared" si="50"/>
        <v>No</v>
      </c>
      <c r="N1435" s="32">
        <f>G1435 - F1435</f>
        <v>364</v>
      </c>
      <c r="O1435">
        <v>1</v>
      </c>
    </row>
    <row r="1436" spans="1:15" x14ac:dyDescent="0.3">
      <c r="A1436" s="51" t="s">
        <v>2772</v>
      </c>
      <c r="B1436" s="60" t="s">
        <v>78</v>
      </c>
      <c r="C1436" s="60" t="s">
        <v>12</v>
      </c>
      <c r="D1436" s="51" t="s">
        <v>2773</v>
      </c>
      <c r="E1436" s="51" t="s">
        <v>2774</v>
      </c>
      <c r="F1436" s="75">
        <v>45077</v>
      </c>
      <c r="G1436" s="75">
        <v>45107</v>
      </c>
      <c r="H1436" s="32" t="str">
        <f t="shared" si="51"/>
        <v>EVEN</v>
      </c>
      <c r="I1436" s="105">
        <v>5000</v>
      </c>
      <c r="J1436" s="60" t="str">
        <f>UPPER(TEXT(F1436,"mmm")) &amp; " - " &amp; UPPER(TEXT(G1436,"mmm"))</f>
        <v>MAY - JUN</v>
      </c>
      <c r="K1436" s="60" t="s">
        <v>3133</v>
      </c>
      <c r="L1436" s="99" t="s">
        <v>3895</v>
      </c>
      <c r="M1436" s="32" t="str">
        <f t="shared" si="50"/>
        <v>Yes</v>
      </c>
      <c r="N1436" s="32">
        <f>G1436 - F1436</f>
        <v>30</v>
      </c>
      <c r="O1436">
        <v>1</v>
      </c>
    </row>
    <row r="1437" spans="1:15" x14ac:dyDescent="0.3">
      <c r="A1437" s="51" t="s">
        <v>2775</v>
      </c>
      <c r="B1437" s="60" t="s">
        <v>78</v>
      </c>
      <c r="C1437" s="60" t="s">
        <v>12</v>
      </c>
      <c r="D1437" s="51" t="s">
        <v>2776</v>
      </c>
      <c r="E1437" s="51" t="s">
        <v>2777</v>
      </c>
      <c r="F1437" s="75">
        <v>45078</v>
      </c>
      <c r="G1437" s="75">
        <v>45138</v>
      </c>
      <c r="H1437" s="32" t="str">
        <f t="shared" si="51"/>
        <v>EVEN</v>
      </c>
      <c r="I1437" s="105">
        <v>5000</v>
      </c>
      <c r="J1437" s="60" t="str">
        <f>UPPER(TEXT(F1437,"mmm")) &amp; " - " &amp; UPPER(TEXT(G1437,"mmm"))</f>
        <v>JUN - JUL</v>
      </c>
      <c r="K1437" s="60" t="s">
        <v>3133</v>
      </c>
      <c r="L1437" s="99" t="s">
        <v>3895</v>
      </c>
      <c r="M1437" s="32" t="str">
        <f t="shared" si="50"/>
        <v>Yes</v>
      </c>
      <c r="N1437" s="32">
        <f>G1437 - F1437</f>
        <v>60</v>
      </c>
      <c r="O1437">
        <v>1</v>
      </c>
    </row>
    <row r="1438" spans="1:15" x14ac:dyDescent="0.3">
      <c r="A1438" s="51" t="s">
        <v>2778</v>
      </c>
      <c r="B1438" s="60" t="s">
        <v>78</v>
      </c>
      <c r="C1438" s="60" t="s">
        <v>12</v>
      </c>
      <c r="D1438" s="51" t="s">
        <v>2779</v>
      </c>
      <c r="E1438" s="51" t="s">
        <v>2780</v>
      </c>
      <c r="F1438" s="75">
        <v>45082</v>
      </c>
      <c r="G1438" s="75">
        <v>45134</v>
      </c>
      <c r="H1438" s="32" t="str">
        <f t="shared" si="51"/>
        <v>EVEN</v>
      </c>
      <c r="I1438" s="105">
        <v>0</v>
      </c>
      <c r="J1438" s="60" t="str">
        <f>UPPER(TEXT(F1438,"mmm")) &amp; " - " &amp; UPPER(TEXT(G1438,"mmm"))</f>
        <v>JUN - JUL</v>
      </c>
      <c r="K1438" s="60" t="s">
        <v>3133</v>
      </c>
      <c r="L1438" s="99" t="s">
        <v>3895</v>
      </c>
      <c r="M1438" s="32" t="str">
        <f t="shared" si="50"/>
        <v>No</v>
      </c>
      <c r="N1438" s="32">
        <f>G1438 - F1438</f>
        <v>52</v>
      </c>
      <c r="O1438">
        <v>1</v>
      </c>
    </row>
    <row r="1439" spans="1:15" x14ac:dyDescent="0.3">
      <c r="A1439" s="51" t="s">
        <v>2781</v>
      </c>
      <c r="B1439" s="60" t="s">
        <v>78</v>
      </c>
      <c r="C1439" s="60" t="s">
        <v>12</v>
      </c>
      <c r="D1439" s="51" t="s">
        <v>2782</v>
      </c>
      <c r="E1439" s="51" t="s">
        <v>2783</v>
      </c>
      <c r="F1439" s="75">
        <v>45082</v>
      </c>
      <c r="G1439" s="75">
        <v>45163</v>
      </c>
      <c r="H1439" s="32" t="str">
        <f t="shared" si="51"/>
        <v>EVEN</v>
      </c>
      <c r="I1439" s="105">
        <v>60027</v>
      </c>
      <c r="J1439" s="60" t="str">
        <f>UPPER(TEXT(F1439,"mmm")) &amp; " - " &amp; UPPER(TEXT(G1439,"mmm"))</f>
        <v>JUN - AUG</v>
      </c>
      <c r="K1439" s="60" t="s">
        <v>3133</v>
      </c>
      <c r="L1439" s="99" t="s">
        <v>3895</v>
      </c>
      <c r="M1439" s="32" t="str">
        <f t="shared" si="50"/>
        <v>Yes</v>
      </c>
      <c r="N1439" s="32">
        <f>G1439 - F1439</f>
        <v>81</v>
      </c>
      <c r="O1439">
        <v>1</v>
      </c>
    </row>
    <row r="1440" spans="1:15" x14ac:dyDescent="0.3">
      <c r="A1440" s="51" t="s">
        <v>2784</v>
      </c>
      <c r="B1440" s="60" t="s">
        <v>78</v>
      </c>
      <c r="C1440" s="60" t="s">
        <v>12</v>
      </c>
      <c r="D1440" s="51" t="s">
        <v>2785</v>
      </c>
      <c r="E1440" s="51" t="s">
        <v>2786</v>
      </c>
      <c r="F1440" s="75">
        <v>45082</v>
      </c>
      <c r="G1440" s="75">
        <v>45111</v>
      </c>
      <c r="H1440" s="32" t="str">
        <f t="shared" si="51"/>
        <v>EVEN</v>
      </c>
      <c r="I1440" s="105">
        <v>5000</v>
      </c>
      <c r="J1440" s="60" t="str">
        <f>UPPER(TEXT(F1440,"mmm")) &amp; " - " &amp; UPPER(TEXT(G1440,"mmm"))</f>
        <v>JUN - JUL</v>
      </c>
      <c r="K1440" s="60" t="s">
        <v>3133</v>
      </c>
      <c r="L1440" s="99" t="s">
        <v>3895</v>
      </c>
      <c r="M1440" s="32" t="str">
        <f t="shared" si="50"/>
        <v>Yes</v>
      </c>
      <c r="N1440" s="32">
        <f>G1440 - F1440</f>
        <v>29</v>
      </c>
      <c r="O1440">
        <v>1</v>
      </c>
    </row>
    <row r="1441" spans="1:15" x14ac:dyDescent="0.3">
      <c r="A1441" s="51" t="s">
        <v>2592</v>
      </c>
      <c r="B1441" s="60" t="s">
        <v>78</v>
      </c>
      <c r="C1441" s="60" t="s">
        <v>12</v>
      </c>
      <c r="D1441" s="51" t="s">
        <v>2787</v>
      </c>
      <c r="E1441" s="51" t="s">
        <v>2788</v>
      </c>
      <c r="F1441" s="75">
        <v>44824</v>
      </c>
      <c r="G1441" s="75">
        <v>44983</v>
      </c>
      <c r="H1441" s="32" t="str">
        <f t="shared" si="51"/>
        <v>ODD</v>
      </c>
      <c r="I1441" s="105">
        <v>0</v>
      </c>
      <c r="J1441" s="60" t="str">
        <f>UPPER(TEXT(F1441,"mmm")) &amp; " - " &amp; UPPER(TEXT(G1441,"mmm"))</f>
        <v>SEP - FEB</v>
      </c>
      <c r="K1441" s="60" t="s">
        <v>3133</v>
      </c>
      <c r="L1441" s="99" t="s">
        <v>3895</v>
      </c>
      <c r="M1441" s="32" t="str">
        <f t="shared" si="50"/>
        <v>No</v>
      </c>
      <c r="N1441" s="32">
        <f>G1441 - F1441</f>
        <v>159</v>
      </c>
      <c r="O1441">
        <v>1</v>
      </c>
    </row>
    <row r="1442" spans="1:15" x14ac:dyDescent="0.3">
      <c r="A1442" s="51" t="s">
        <v>2598</v>
      </c>
      <c r="B1442" s="60" t="s">
        <v>78</v>
      </c>
      <c r="C1442" s="60" t="s">
        <v>12</v>
      </c>
      <c r="D1442" s="51" t="s">
        <v>2789</v>
      </c>
      <c r="E1442" s="51" t="s">
        <v>2790</v>
      </c>
      <c r="F1442" s="75">
        <v>44819</v>
      </c>
      <c r="G1442" s="75">
        <v>44948</v>
      </c>
      <c r="H1442" s="32" t="str">
        <f t="shared" si="51"/>
        <v>ODD</v>
      </c>
      <c r="I1442" s="105">
        <v>0</v>
      </c>
      <c r="J1442" s="60" t="str">
        <f>UPPER(TEXT(F1442,"mmm")) &amp; " - " &amp; UPPER(TEXT(G1442,"mmm"))</f>
        <v>SEP - JAN</v>
      </c>
      <c r="K1442" s="60" t="s">
        <v>3133</v>
      </c>
      <c r="L1442" s="60" t="s">
        <v>895</v>
      </c>
      <c r="M1442" s="32" t="str">
        <f t="shared" si="50"/>
        <v>No</v>
      </c>
      <c r="N1442" s="32">
        <f>G1442 - F1442</f>
        <v>129</v>
      </c>
      <c r="O1442">
        <v>1</v>
      </c>
    </row>
    <row r="1443" spans="1:15" x14ac:dyDescent="0.3">
      <c r="A1443" s="51" t="s">
        <v>2791</v>
      </c>
      <c r="B1443" s="60" t="s">
        <v>78</v>
      </c>
      <c r="C1443" s="60" t="s">
        <v>12</v>
      </c>
      <c r="D1443" s="51" t="s">
        <v>593</v>
      </c>
      <c r="E1443" s="51" t="s">
        <v>2792</v>
      </c>
      <c r="F1443" s="75">
        <v>44942</v>
      </c>
      <c r="G1443" s="75">
        <v>45041</v>
      </c>
      <c r="H1443" s="32" t="str">
        <f t="shared" si="51"/>
        <v>EVEN</v>
      </c>
      <c r="I1443" s="105">
        <v>0</v>
      </c>
      <c r="J1443" s="60" t="str">
        <f>UPPER(TEXT(F1443,"mmm")) &amp; " - " &amp; UPPER(TEXT(G1443,"mmm"))</f>
        <v>JAN - APR</v>
      </c>
      <c r="K1443" s="60" t="s">
        <v>3133</v>
      </c>
      <c r="L1443" s="60" t="s">
        <v>895</v>
      </c>
      <c r="M1443" s="32" t="str">
        <f t="shared" si="50"/>
        <v>No</v>
      </c>
      <c r="N1443" s="32">
        <f>G1443 - F1443</f>
        <v>99</v>
      </c>
      <c r="O1443">
        <v>1</v>
      </c>
    </row>
    <row r="1444" spans="1:15" x14ac:dyDescent="0.3">
      <c r="A1444" s="51" t="s">
        <v>2443</v>
      </c>
      <c r="B1444" s="60" t="s">
        <v>66</v>
      </c>
      <c r="C1444" s="60" t="s">
        <v>12</v>
      </c>
      <c r="D1444" s="51" t="s">
        <v>2793</v>
      </c>
      <c r="E1444" s="51" t="s">
        <v>2794</v>
      </c>
      <c r="F1444" s="75">
        <v>44753</v>
      </c>
      <c r="G1444" s="75">
        <v>44990</v>
      </c>
      <c r="H1444" s="32" t="str">
        <f t="shared" si="51"/>
        <v>EVEN</v>
      </c>
      <c r="I1444" s="105">
        <v>0</v>
      </c>
      <c r="J1444" s="60" t="str">
        <f>UPPER(TEXT(F1444,"mmm")) &amp; " - " &amp; UPPER(TEXT(G1444,"mmm"))</f>
        <v>JUL - MAR</v>
      </c>
      <c r="K1444" s="60" t="s">
        <v>3133</v>
      </c>
      <c r="L1444" s="99" t="s">
        <v>3895</v>
      </c>
      <c r="M1444" s="32" t="str">
        <f t="shared" si="50"/>
        <v>No</v>
      </c>
      <c r="N1444" s="32">
        <f>G1444 - F1444</f>
        <v>237</v>
      </c>
      <c r="O1444">
        <v>1</v>
      </c>
    </row>
    <row r="1445" spans="1:15" x14ac:dyDescent="0.3">
      <c r="A1445" s="51" t="s">
        <v>2795</v>
      </c>
      <c r="B1445" s="60" t="s">
        <v>66</v>
      </c>
      <c r="C1445" s="60" t="s">
        <v>12</v>
      </c>
      <c r="D1445" s="51" t="s">
        <v>2796</v>
      </c>
      <c r="E1445" s="51" t="s">
        <v>2797</v>
      </c>
      <c r="F1445" s="75">
        <v>44757</v>
      </c>
      <c r="G1445" s="75">
        <v>44788</v>
      </c>
      <c r="H1445" s="32" t="str">
        <f t="shared" si="51"/>
        <v>ODD</v>
      </c>
      <c r="I1445" s="105">
        <v>0</v>
      </c>
      <c r="J1445" s="60" t="str">
        <f>UPPER(TEXT(F1445,"mmm")) &amp; " - " &amp; UPPER(TEXT(G1445,"mmm"))</f>
        <v>JUL - AUG</v>
      </c>
      <c r="K1445" s="60" t="s">
        <v>3133</v>
      </c>
      <c r="L1445" s="99" t="s">
        <v>3895</v>
      </c>
      <c r="M1445" s="32" t="str">
        <f t="shared" si="50"/>
        <v>No</v>
      </c>
      <c r="N1445" s="32">
        <f>G1445 - F1445</f>
        <v>31</v>
      </c>
      <c r="O1445">
        <v>1</v>
      </c>
    </row>
    <row r="1446" spans="1:15" x14ac:dyDescent="0.3">
      <c r="A1446" s="51" t="s">
        <v>2798</v>
      </c>
      <c r="B1446" s="60" t="s">
        <v>66</v>
      </c>
      <c r="C1446" s="60" t="s">
        <v>12</v>
      </c>
      <c r="D1446" s="51" t="s">
        <v>2799</v>
      </c>
      <c r="E1446" s="51" t="s">
        <v>2800</v>
      </c>
      <c r="F1446" s="75">
        <v>44819</v>
      </c>
      <c r="G1446" s="75">
        <v>45061</v>
      </c>
      <c r="H1446" s="32" t="str">
        <f t="shared" si="51"/>
        <v>ODD</v>
      </c>
      <c r="I1446" s="105">
        <v>0</v>
      </c>
      <c r="J1446" s="60" t="str">
        <f>UPPER(TEXT(F1446,"mmm")) &amp; " - " &amp; UPPER(TEXT(G1446,"mmm"))</f>
        <v>SEP - MAY</v>
      </c>
      <c r="K1446" s="60" t="s">
        <v>3133</v>
      </c>
      <c r="L1446" s="99" t="s">
        <v>3895</v>
      </c>
      <c r="M1446" s="32" t="str">
        <f t="shared" si="50"/>
        <v>No</v>
      </c>
      <c r="N1446" s="32">
        <f>G1446 - F1446</f>
        <v>242</v>
      </c>
      <c r="O1446">
        <v>1</v>
      </c>
    </row>
    <row r="1447" spans="1:15" x14ac:dyDescent="0.3">
      <c r="A1447" s="51" t="s">
        <v>2801</v>
      </c>
      <c r="B1447" s="60" t="s">
        <v>66</v>
      </c>
      <c r="C1447" s="60" t="s">
        <v>12</v>
      </c>
      <c r="D1447" s="51" t="s">
        <v>2802</v>
      </c>
      <c r="E1447" s="51" t="s">
        <v>2803</v>
      </c>
      <c r="F1447" s="75">
        <v>44819</v>
      </c>
      <c r="G1447" s="75">
        <v>45061</v>
      </c>
      <c r="H1447" s="32" t="str">
        <f t="shared" si="51"/>
        <v>ODD</v>
      </c>
      <c r="I1447" s="105">
        <v>0</v>
      </c>
      <c r="J1447" s="60" t="str">
        <f>UPPER(TEXT(F1447,"mmm")) &amp; " - " &amp; UPPER(TEXT(G1447,"mmm"))</f>
        <v>SEP - MAY</v>
      </c>
      <c r="K1447" s="60" t="s">
        <v>3133</v>
      </c>
      <c r="L1447" s="99" t="s">
        <v>3895</v>
      </c>
      <c r="M1447" s="32" t="str">
        <f t="shared" si="50"/>
        <v>No</v>
      </c>
      <c r="N1447" s="32">
        <f>G1447 - F1447</f>
        <v>242</v>
      </c>
      <c r="O1447">
        <v>1</v>
      </c>
    </row>
    <row r="1448" spans="1:15" x14ac:dyDescent="0.3">
      <c r="A1448" s="51" t="s">
        <v>1917</v>
      </c>
      <c r="B1448" s="60" t="s">
        <v>66</v>
      </c>
      <c r="C1448" s="60" t="s">
        <v>12</v>
      </c>
      <c r="D1448" s="51" t="s">
        <v>2804</v>
      </c>
      <c r="E1448" s="51" t="s">
        <v>2805</v>
      </c>
      <c r="F1448" s="75">
        <v>45078</v>
      </c>
      <c r="G1448" s="75">
        <v>45138</v>
      </c>
      <c r="H1448" s="32" t="str">
        <f t="shared" si="51"/>
        <v>EVEN</v>
      </c>
      <c r="I1448" s="105">
        <v>50000</v>
      </c>
      <c r="J1448" s="60" t="str">
        <f>UPPER(TEXT(F1448,"mmm")) &amp; " - " &amp; UPPER(TEXT(G1448,"mmm"))</f>
        <v>JUN - JUL</v>
      </c>
      <c r="K1448" s="60" t="s">
        <v>3133</v>
      </c>
      <c r="L1448" s="99" t="s">
        <v>3895</v>
      </c>
      <c r="M1448" s="32" t="str">
        <f t="shared" si="50"/>
        <v>Yes</v>
      </c>
      <c r="N1448" s="32">
        <f>G1448 - F1448</f>
        <v>60</v>
      </c>
      <c r="O1448">
        <v>1</v>
      </c>
    </row>
    <row r="1449" spans="1:15" x14ac:dyDescent="0.3">
      <c r="A1449" s="51" t="s">
        <v>2806</v>
      </c>
      <c r="B1449" s="60" t="s">
        <v>66</v>
      </c>
      <c r="C1449" s="60" t="s">
        <v>12</v>
      </c>
      <c r="D1449" s="51" t="s">
        <v>2807</v>
      </c>
      <c r="E1449" s="51" t="s">
        <v>2808</v>
      </c>
      <c r="F1449" s="75">
        <v>45078</v>
      </c>
      <c r="G1449" s="75">
        <v>45138</v>
      </c>
      <c r="H1449" s="32" t="str">
        <f t="shared" si="51"/>
        <v>EVEN</v>
      </c>
      <c r="I1449" s="105">
        <v>0</v>
      </c>
      <c r="J1449" s="60" t="str">
        <f>UPPER(TEXT(F1449,"mmm")) &amp; " - " &amp; UPPER(TEXT(G1449,"mmm"))</f>
        <v>JUN - JUL</v>
      </c>
      <c r="K1449" s="60" t="s">
        <v>3133</v>
      </c>
      <c r="L1449" s="99" t="s">
        <v>3895</v>
      </c>
      <c r="M1449" s="32" t="str">
        <f t="shared" si="50"/>
        <v>No</v>
      </c>
      <c r="N1449" s="32">
        <f>G1449 - F1449</f>
        <v>60</v>
      </c>
      <c r="O1449">
        <v>1</v>
      </c>
    </row>
    <row r="1450" spans="1:15" x14ac:dyDescent="0.3">
      <c r="A1450" s="51" t="s">
        <v>2809</v>
      </c>
      <c r="B1450" s="60" t="s">
        <v>66</v>
      </c>
      <c r="C1450" s="60" t="s">
        <v>12</v>
      </c>
      <c r="D1450" s="51" t="s">
        <v>2810</v>
      </c>
      <c r="E1450" s="51" t="s">
        <v>2811</v>
      </c>
      <c r="F1450" s="75">
        <v>45079</v>
      </c>
      <c r="G1450" s="75">
        <v>45135</v>
      </c>
      <c r="H1450" s="32" t="str">
        <f t="shared" si="51"/>
        <v>EVEN</v>
      </c>
      <c r="I1450" s="105">
        <v>0</v>
      </c>
      <c r="J1450" s="60" t="str">
        <f>UPPER(TEXT(F1450,"mmm")) &amp; " - " &amp; UPPER(TEXT(G1450,"mmm"))</f>
        <v>JUN - JUL</v>
      </c>
      <c r="K1450" s="60" t="s">
        <v>3133</v>
      </c>
      <c r="L1450" s="99" t="s">
        <v>3895</v>
      </c>
      <c r="M1450" s="32" t="str">
        <f t="shared" si="50"/>
        <v>No</v>
      </c>
      <c r="N1450" s="32">
        <f>G1450 - F1450</f>
        <v>56</v>
      </c>
      <c r="O1450">
        <v>1</v>
      </c>
    </row>
    <row r="1451" spans="1:15" x14ac:dyDescent="0.3">
      <c r="A1451" s="51" t="s">
        <v>2812</v>
      </c>
      <c r="B1451" s="60" t="s">
        <v>66</v>
      </c>
      <c r="C1451" s="60" t="s">
        <v>12</v>
      </c>
      <c r="D1451" s="51" t="s">
        <v>2813</v>
      </c>
      <c r="E1451" s="51" t="s">
        <v>2814</v>
      </c>
      <c r="F1451" s="75">
        <v>45082</v>
      </c>
      <c r="G1451" s="75">
        <v>45135</v>
      </c>
      <c r="H1451" s="32" t="str">
        <f t="shared" si="51"/>
        <v>EVEN</v>
      </c>
      <c r="I1451" s="105">
        <v>70000</v>
      </c>
      <c r="J1451" s="60" t="str">
        <f>UPPER(TEXT(F1451,"mmm")) &amp; " - " &amp; UPPER(TEXT(G1451,"mmm"))</f>
        <v>JUN - JUL</v>
      </c>
      <c r="K1451" s="60" t="s">
        <v>3133</v>
      </c>
      <c r="L1451" s="99" t="s">
        <v>3895</v>
      </c>
      <c r="M1451" s="32" t="str">
        <f t="shared" si="50"/>
        <v>Yes</v>
      </c>
      <c r="N1451" s="32">
        <f>G1451 - F1451</f>
        <v>53</v>
      </c>
      <c r="O1451">
        <v>1</v>
      </c>
    </row>
    <row r="1452" spans="1:15" x14ac:dyDescent="0.3">
      <c r="A1452" s="51" t="s">
        <v>2815</v>
      </c>
      <c r="B1452" s="60" t="s">
        <v>66</v>
      </c>
      <c r="C1452" s="60" t="s">
        <v>12</v>
      </c>
      <c r="D1452" s="51" t="s">
        <v>2816</v>
      </c>
      <c r="E1452" s="51" t="s">
        <v>2817</v>
      </c>
      <c r="F1452" s="75">
        <v>45083</v>
      </c>
      <c r="G1452" s="75">
        <v>45137</v>
      </c>
      <c r="H1452" s="32" t="str">
        <f t="shared" si="51"/>
        <v>EVEN</v>
      </c>
      <c r="I1452" s="105">
        <v>0</v>
      </c>
      <c r="J1452" s="60" t="str">
        <f>UPPER(TEXT(F1452,"mmm")) &amp; " - " &amp; UPPER(TEXT(G1452,"mmm"))</f>
        <v>JUN - JUL</v>
      </c>
      <c r="K1452" s="60" t="s">
        <v>3133</v>
      </c>
      <c r="L1452" s="99" t="s">
        <v>3895</v>
      </c>
      <c r="M1452" s="32" t="str">
        <f t="shared" si="50"/>
        <v>No</v>
      </c>
      <c r="N1452" s="32">
        <f>G1452 - F1452</f>
        <v>54</v>
      </c>
      <c r="O1452">
        <v>1</v>
      </c>
    </row>
    <row r="1453" spans="1:15" x14ac:dyDescent="0.3">
      <c r="A1453" s="51" t="s">
        <v>2818</v>
      </c>
      <c r="B1453" s="60" t="s">
        <v>66</v>
      </c>
      <c r="C1453" s="60" t="s">
        <v>12</v>
      </c>
      <c r="D1453" s="51" t="s">
        <v>2819</v>
      </c>
      <c r="E1453" s="51" t="s">
        <v>2820</v>
      </c>
      <c r="F1453" s="75">
        <v>45089</v>
      </c>
      <c r="G1453" s="75">
        <v>45138</v>
      </c>
      <c r="H1453" s="32" t="str">
        <f t="shared" si="51"/>
        <v>EVEN</v>
      </c>
      <c r="I1453" s="105">
        <v>5000</v>
      </c>
      <c r="J1453" s="60" t="str">
        <f>UPPER(TEXT(F1453,"mmm")) &amp; " - " &amp; UPPER(TEXT(G1453,"mmm"))</f>
        <v>JUN - JUL</v>
      </c>
      <c r="K1453" s="60" t="s">
        <v>3133</v>
      </c>
      <c r="L1453" s="99" t="s">
        <v>3895</v>
      </c>
      <c r="M1453" s="32" t="str">
        <f t="shared" si="50"/>
        <v>Yes</v>
      </c>
      <c r="N1453" s="32">
        <f>G1453 - F1453</f>
        <v>49</v>
      </c>
      <c r="O1453">
        <v>1</v>
      </c>
    </row>
    <row r="1454" spans="1:15" x14ac:dyDescent="0.3">
      <c r="A1454" s="51" t="s">
        <v>2043</v>
      </c>
      <c r="B1454" s="60" t="s">
        <v>66</v>
      </c>
      <c r="C1454" s="60" t="s">
        <v>12</v>
      </c>
      <c r="D1454" s="51" t="s">
        <v>2821</v>
      </c>
      <c r="E1454" s="51" t="s">
        <v>2822</v>
      </c>
      <c r="F1454" s="75">
        <v>45089</v>
      </c>
      <c r="G1454" s="75">
        <v>45128</v>
      </c>
      <c r="H1454" s="32" t="str">
        <f t="shared" si="51"/>
        <v>EVEN</v>
      </c>
      <c r="I1454" s="105">
        <v>0</v>
      </c>
      <c r="J1454" s="60" t="str">
        <f>UPPER(TEXT(F1454,"mmm")) &amp; " - " &amp; UPPER(TEXT(G1454,"mmm"))</f>
        <v>JUN - JUL</v>
      </c>
      <c r="K1454" s="60" t="s">
        <v>3133</v>
      </c>
      <c r="L1454" s="99" t="s">
        <v>3895</v>
      </c>
      <c r="M1454" s="32" t="str">
        <f t="shared" si="50"/>
        <v>No</v>
      </c>
      <c r="N1454" s="32">
        <f>G1454 - F1454</f>
        <v>39</v>
      </c>
      <c r="O1454">
        <v>1</v>
      </c>
    </row>
    <row r="1455" spans="1:15" x14ac:dyDescent="0.3">
      <c r="A1455" s="51" t="s">
        <v>2823</v>
      </c>
      <c r="B1455" s="60" t="s">
        <v>66</v>
      </c>
      <c r="C1455" s="60" t="s">
        <v>12</v>
      </c>
      <c r="D1455" s="51" t="s">
        <v>2824</v>
      </c>
      <c r="E1455" s="51" t="s">
        <v>2825</v>
      </c>
      <c r="F1455" s="75">
        <v>45089</v>
      </c>
      <c r="G1455" s="75">
        <v>45142</v>
      </c>
      <c r="H1455" s="32" t="str">
        <f t="shared" si="51"/>
        <v>EVEN</v>
      </c>
      <c r="I1455" s="105">
        <v>10000</v>
      </c>
      <c r="J1455" s="60" t="str">
        <f>UPPER(TEXT(F1455,"mmm")) &amp; " - " &amp; UPPER(TEXT(G1455,"mmm"))</f>
        <v>JUN - AUG</v>
      </c>
      <c r="K1455" s="60" t="s">
        <v>3133</v>
      </c>
      <c r="L1455" s="99" t="s">
        <v>3895</v>
      </c>
      <c r="M1455" s="32" t="str">
        <f t="shared" si="50"/>
        <v>Yes</v>
      </c>
      <c r="N1455" s="32">
        <f>G1455 - F1455</f>
        <v>53</v>
      </c>
      <c r="O1455">
        <v>1</v>
      </c>
    </row>
    <row r="1456" spans="1:15" x14ac:dyDescent="0.3">
      <c r="A1456" s="51" t="s">
        <v>2176</v>
      </c>
      <c r="B1456" s="60" t="s">
        <v>66</v>
      </c>
      <c r="C1456" s="60" t="s">
        <v>12</v>
      </c>
      <c r="D1456" s="51" t="s">
        <v>2826</v>
      </c>
      <c r="E1456" s="51" t="s">
        <v>2827</v>
      </c>
      <c r="F1456" s="75">
        <v>45097</v>
      </c>
      <c r="G1456" s="75">
        <v>45138</v>
      </c>
      <c r="H1456" s="32" t="str">
        <f t="shared" si="51"/>
        <v>EVEN</v>
      </c>
      <c r="I1456" s="105">
        <v>0</v>
      </c>
      <c r="J1456" s="60" t="str">
        <f>UPPER(TEXT(F1456,"mmm")) &amp; " - " &amp; UPPER(TEXT(G1456,"mmm"))</f>
        <v>JUN - JUL</v>
      </c>
      <c r="K1456" s="60" t="s">
        <v>3133</v>
      </c>
      <c r="L1456" s="99" t="s">
        <v>3895</v>
      </c>
      <c r="M1456" s="32" t="str">
        <f t="shared" si="50"/>
        <v>No</v>
      </c>
      <c r="N1456" s="32">
        <f>G1456 - F1456</f>
        <v>41</v>
      </c>
      <c r="O1456">
        <v>1</v>
      </c>
    </row>
    <row r="1457" spans="1:15" x14ac:dyDescent="0.3">
      <c r="A1457" s="51" t="s">
        <v>2261</v>
      </c>
      <c r="B1457" s="60" t="s">
        <v>66</v>
      </c>
      <c r="C1457" s="60" t="s">
        <v>12</v>
      </c>
      <c r="D1457" s="51" t="s">
        <v>2828</v>
      </c>
      <c r="E1457" s="51" t="s">
        <v>2829</v>
      </c>
      <c r="F1457" s="75">
        <v>45100</v>
      </c>
      <c r="G1457" s="75">
        <v>45138</v>
      </c>
      <c r="H1457" s="32" t="str">
        <f t="shared" si="51"/>
        <v>EVEN</v>
      </c>
      <c r="I1457" s="105">
        <v>15000</v>
      </c>
      <c r="J1457" s="60" t="str">
        <f>UPPER(TEXT(F1457,"mmm")) &amp; " - " &amp; UPPER(TEXT(G1457,"mmm"))</f>
        <v>JUN - JUL</v>
      </c>
      <c r="K1457" s="60" t="s">
        <v>3133</v>
      </c>
      <c r="L1457" s="99" t="s">
        <v>3895</v>
      </c>
      <c r="M1457" s="32" t="str">
        <f t="shared" si="50"/>
        <v>Yes</v>
      </c>
      <c r="N1457" s="32">
        <f>G1457 - F1457</f>
        <v>38</v>
      </c>
      <c r="O1457">
        <v>1</v>
      </c>
    </row>
    <row r="1458" spans="1:15" x14ac:dyDescent="0.3">
      <c r="A1458" s="51" t="s">
        <v>2830</v>
      </c>
      <c r="B1458" s="60" t="s">
        <v>66</v>
      </c>
      <c r="C1458" s="60" t="s">
        <v>12</v>
      </c>
      <c r="D1458" s="51" t="s">
        <v>1233</v>
      </c>
      <c r="E1458" s="51" t="s">
        <v>2831</v>
      </c>
      <c r="F1458" s="75">
        <v>44749</v>
      </c>
      <c r="G1458" s="75">
        <v>45023</v>
      </c>
      <c r="H1458" s="32" t="str">
        <f t="shared" si="51"/>
        <v>EVEN</v>
      </c>
      <c r="I1458" s="105">
        <v>0</v>
      </c>
      <c r="J1458" s="60" t="str">
        <f>UPPER(TEXT(F1458,"mmm")) &amp; " - " &amp; UPPER(TEXT(G1458,"mmm"))</f>
        <v>JUL - APR</v>
      </c>
      <c r="K1458" s="60" t="s">
        <v>3133</v>
      </c>
      <c r="L1458" s="60" t="s">
        <v>895</v>
      </c>
      <c r="M1458" s="32" t="str">
        <f t="shared" si="50"/>
        <v>No</v>
      </c>
      <c r="N1458" s="32">
        <f>G1458 - F1458</f>
        <v>274</v>
      </c>
      <c r="O1458">
        <v>1</v>
      </c>
    </row>
    <row r="1459" spans="1:15" x14ac:dyDescent="0.3">
      <c r="A1459" s="51" t="s">
        <v>1372</v>
      </c>
      <c r="B1459" s="60" t="s">
        <v>66</v>
      </c>
      <c r="C1459" s="60" t="s">
        <v>12</v>
      </c>
      <c r="D1459" s="51" t="s">
        <v>2832</v>
      </c>
      <c r="E1459" s="51" t="s">
        <v>2833</v>
      </c>
      <c r="F1459" s="75">
        <v>44819</v>
      </c>
      <c r="G1459" s="75">
        <v>44948</v>
      </c>
      <c r="H1459" s="32" t="str">
        <f t="shared" si="51"/>
        <v>ODD</v>
      </c>
      <c r="I1459" s="105">
        <v>0</v>
      </c>
      <c r="J1459" s="60" t="str">
        <f>UPPER(TEXT(F1459,"mmm")) &amp; " - " &amp; UPPER(TEXT(G1459,"mmm"))</f>
        <v>SEP - JAN</v>
      </c>
      <c r="K1459" s="60" t="s">
        <v>3133</v>
      </c>
      <c r="L1459" s="60" t="s">
        <v>895</v>
      </c>
      <c r="M1459" s="32" t="str">
        <f t="shared" si="50"/>
        <v>No</v>
      </c>
      <c r="N1459" s="32">
        <f>G1459 - F1459</f>
        <v>129</v>
      </c>
      <c r="O1459">
        <v>1</v>
      </c>
    </row>
    <row r="1460" spans="1:15" x14ac:dyDescent="0.3">
      <c r="A1460" s="51" t="s">
        <v>2531</v>
      </c>
      <c r="B1460" s="60" t="s">
        <v>66</v>
      </c>
      <c r="C1460" s="60" t="s">
        <v>12</v>
      </c>
      <c r="D1460" s="51" t="s">
        <v>2834</v>
      </c>
      <c r="E1460" s="51" t="s">
        <v>2835</v>
      </c>
      <c r="F1460" s="75">
        <v>44927</v>
      </c>
      <c r="G1460" s="75">
        <v>44987</v>
      </c>
      <c r="H1460" s="32" t="str">
        <f t="shared" si="51"/>
        <v>EVEN</v>
      </c>
      <c r="I1460" s="105">
        <v>0</v>
      </c>
      <c r="J1460" s="60" t="str">
        <f>UPPER(TEXT(F1460,"mmm")) &amp; " - " &amp; UPPER(TEXT(G1460,"mmm"))</f>
        <v>JAN - MAR</v>
      </c>
      <c r="K1460" s="60" t="s">
        <v>3133</v>
      </c>
      <c r="L1460" s="60" t="s">
        <v>895</v>
      </c>
      <c r="M1460" s="32" t="str">
        <f t="shared" si="50"/>
        <v>No</v>
      </c>
      <c r="N1460" s="32">
        <f>G1460 - F1460</f>
        <v>60</v>
      </c>
      <c r="O1460">
        <v>1</v>
      </c>
    </row>
    <row r="1461" spans="1:15" x14ac:dyDescent="0.3">
      <c r="A1461" s="51" t="s">
        <v>2836</v>
      </c>
      <c r="B1461" s="60" t="s">
        <v>66</v>
      </c>
      <c r="C1461" s="60" t="s">
        <v>12</v>
      </c>
      <c r="D1461" s="51" t="s">
        <v>2532</v>
      </c>
      <c r="E1461" s="51" t="s">
        <v>2835</v>
      </c>
      <c r="F1461" s="75">
        <v>44927</v>
      </c>
      <c r="G1461" s="75">
        <v>44987</v>
      </c>
      <c r="H1461" s="32" t="str">
        <f t="shared" si="51"/>
        <v>EVEN</v>
      </c>
      <c r="I1461" s="105">
        <v>0</v>
      </c>
      <c r="J1461" s="60" t="str">
        <f>UPPER(TEXT(F1461,"mmm")) &amp; " - " &amp; UPPER(TEXT(G1461,"mmm"))</f>
        <v>JAN - MAR</v>
      </c>
      <c r="K1461" s="60" t="s">
        <v>3133</v>
      </c>
      <c r="L1461" s="60" t="s">
        <v>895</v>
      </c>
      <c r="M1461" s="32" t="str">
        <f t="shared" si="50"/>
        <v>No</v>
      </c>
      <c r="N1461" s="32">
        <f>G1461 - F1461</f>
        <v>60</v>
      </c>
      <c r="O1461">
        <v>1</v>
      </c>
    </row>
    <row r="1462" spans="1:15" x14ac:dyDescent="0.3">
      <c r="A1462" s="51" t="s">
        <v>2534</v>
      </c>
      <c r="B1462" s="60" t="s">
        <v>66</v>
      </c>
      <c r="C1462" s="60" t="s">
        <v>12</v>
      </c>
      <c r="D1462" s="51" t="s">
        <v>2837</v>
      </c>
      <c r="E1462" s="51" t="s">
        <v>2838</v>
      </c>
      <c r="F1462" s="75">
        <v>44927</v>
      </c>
      <c r="G1462" s="75">
        <v>44987</v>
      </c>
      <c r="H1462" s="32" t="str">
        <f t="shared" si="51"/>
        <v>EVEN</v>
      </c>
      <c r="I1462" s="105">
        <v>0</v>
      </c>
      <c r="J1462" s="60" t="str">
        <f>UPPER(TEXT(F1462,"mmm")) &amp; " - " &amp; UPPER(TEXT(G1462,"mmm"))</f>
        <v>JAN - MAR</v>
      </c>
      <c r="K1462" s="60" t="s">
        <v>3133</v>
      </c>
      <c r="L1462" s="60" t="s">
        <v>895</v>
      </c>
      <c r="M1462" s="32" t="str">
        <f t="shared" si="50"/>
        <v>No</v>
      </c>
      <c r="N1462" s="32">
        <f>G1462 - F1462</f>
        <v>60</v>
      </c>
      <c r="O1462">
        <v>1</v>
      </c>
    </row>
    <row r="1463" spans="1:15" x14ac:dyDescent="0.3">
      <c r="A1463" s="51" t="s">
        <v>2839</v>
      </c>
      <c r="B1463" s="60" t="s">
        <v>66</v>
      </c>
      <c r="C1463" s="60" t="s">
        <v>12</v>
      </c>
      <c r="D1463" s="51" t="s">
        <v>2834</v>
      </c>
      <c r="E1463" s="51" t="s">
        <v>2840</v>
      </c>
      <c r="F1463" s="75">
        <v>44927</v>
      </c>
      <c r="G1463" s="75">
        <v>44987</v>
      </c>
      <c r="H1463" s="32" t="str">
        <f t="shared" si="51"/>
        <v>EVEN</v>
      </c>
      <c r="I1463" s="105">
        <v>0</v>
      </c>
      <c r="J1463" s="60" t="str">
        <f>UPPER(TEXT(F1463,"mmm")) &amp; " - " &amp; UPPER(TEXT(G1463,"mmm"))</f>
        <v>JAN - MAR</v>
      </c>
      <c r="K1463" s="60" t="s">
        <v>3133</v>
      </c>
      <c r="L1463" s="60" t="s">
        <v>895</v>
      </c>
      <c r="M1463" s="32" t="str">
        <f t="shared" si="50"/>
        <v>No</v>
      </c>
      <c r="N1463" s="32">
        <f>G1463 - F1463</f>
        <v>60</v>
      </c>
      <c r="O1463">
        <v>1</v>
      </c>
    </row>
    <row r="1464" spans="1:15" x14ac:dyDescent="0.3">
      <c r="A1464" s="51" t="s">
        <v>2841</v>
      </c>
      <c r="B1464" s="60" t="s">
        <v>66</v>
      </c>
      <c r="C1464" s="60" t="s">
        <v>12</v>
      </c>
      <c r="D1464" s="51" t="s">
        <v>2842</v>
      </c>
      <c r="E1464" s="51" t="s">
        <v>2843</v>
      </c>
      <c r="F1464" s="75">
        <v>45082</v>
      </c>
      <c r="G1464" s="75">
        <v>45152</v>
      </c>
      <c r="H1464" s="32" t="str">
        <f t="shared" si="51"/>
        <v>EVEN</v>
      </c>
      <c r="I1464" s="105">
        <v>0</v>
      </c>
      <c r="J1464" s="60" t="str">
        <f>UPPER(TEXT(F1464,"mmm")) &amp; " - " &amp; UPPER(TEXT(G1464,"mmm"))</f>
        <v>JUN - AUG</v>
      </c>
      <c r="K1464" s="60" t="s">
        <v>3133</v>
      </c>
      <c r="L1464" s="60" t="s">
        <v>895</v>
      </c>
      <c r="M1464" s="32" t="str">
        <f t="shared" si="50"/>
        <v>No</v>
      </c>
      <c r="N1464" s="32">
        <f>G1464 - F1464</f>
        <v>70</v>
      </c>
      <c r="O1464">
        <v>1</v>
      </c>
    </row>
    <row r="1465" spans="1:15" x14ac:dyDescent="0.3">
      <c r="A1465" s="51" t="s">
        <v>2844</v>
      </c>
      <c r="B1465" s="60" t="s">
        <v>78</v>
      </c>
      <c r="C1465" s="60" t="s">
        <v>12</v>
      </c>
      <c r="D1465" s="51" t="s">
        <v>2845</v>
      </c>
      <c r="E1465" s="51" t="s">
        <v>2846</v>
      </c>
      <c r="F1465" s="75">
        <v>44781</v>
      </c>
      <c r="G1465" s="75">
        <v>45051</v>
      </c>
      <c r="H1465" s="32" t="str">
        <f t="shared" si="51"/>
        <v>ODD</v>
      </c>
      <c r="I1465" s="105">
        <v>0</v>
      </c>
      <c r="J1465" s="60" t="str">
        <f>UPPER(TEXT(F1465,"mmm")) &amp; " - " &amp; UPPER(TEXT(G1465,"mmm"))</f>
        <v>AUG - MAY</v>
      </c>
      <c r="K1465" s="60" t="s">
        <v>3133</v>
      </c>
      <c r="L1465" s="60" t="s">
        <v>895</v>
      </c>
      <c r="M1465" s="32" t="str">
        <f t="shared" si="50"/>
        <v>No</v>
      </c>
      <c r="N1465" s="32">
        <f>G1465 - F1465</f>
        <v>270</v>
      </c>
      <c r="O1465">
        <v>1</v>
      </c>
    </row>
    <row r="1466" spans="1:15" x14ac:dyDescent="0.3">
      <c r="A1466" s="51" t="s">
        <v>2847</v>
      </c>
      <c r="B1466" s="60" t="s">
        <v>78</v>
      </c>
      <c r="C1466" s="60" t="s">
        <v>12</v>
      </c>
      <c r="D1466" s="51" t="s">
        <v>2604</v>
      </c>
      <c r="E1466" s="51" t="s">
        <v>2848</v>
      </c>
      <c r="F1466" s="75">
        <v>45041</v>
      </c>
      <c r="G1466" s="75">
        <v>45071</v>
      </c>
      <c r="H1466" s="32" t="str">
        <f t="shared" si="51"/>
        <v>EVEN</v>
      </c>
      <c r="I1466" s="105">
        <v>0</v>
      </c>
      <c r="J1466" s="60" t="str">
        <f>UPPER(TEXT(F1466,"mmm")) &amp; " - " &amp; UPPER(TEXT(G1466,"mmm"))</f>
        <v>APR - MAY</v>
      </c>
      <c r="K1466" s="60" t="s">
        <v>3133</v>
      </c>
      <c r="L1466" s="60" t="s">
        <v>895</v>
      </c>
      <c r="M1466" s="32" t="str">
        <f t="shared" si="50"/>
        <v>No</v>
      </c>
      <c r="N1466" s="32">
        <f>G1466 - F1466</f>
        <v>30</v>
      </c>
      <c r="O1466">
        <v>1</v>
      </c>
    </row>
    <row r="1467" spans="1:15" x14ac:dyDescent="0.3">
      <c r="A1467" s="51" t="s">
        <v>2849</v>
      </c>
      <c r="B1467" s="60" t="s">
        <v>78</v>
      </c>
      <c r="C1467" s="60" t="s">
        <v>12</v>
      </c>
      <c r="D1467" s="51" t="s">
        <v>2850</v>
      </c>
      <c r="E1467" s="51" t="s">
        <v>2851</v>
      </c>
      <c r="F1467" s="75">
        <v>45082</v>
      </c>
      <c r="G1467" s="75">
        <v>45152</v>
      </c>
      <c r="H1467" s="32" t="str">
        <f t="shared" si="51"/>
        <v>EVEN</v>
      </c>
      <c r="I1467" s="105">
        <v>0</v>
      </c>
      <c r="J1467" s="60" t="str">
        <f>UPPER(TEXT(F1467,"mmm")) &amp; " - " &amp; UPPER(TEXT(G1467,"mmm"))</f>
        <v>JUN - AUG</v>
      </c>
      <c r="K1467" s="60" t="s">
        <v>3133</v>
      </c>
      <c r="L1467" s="60" t="s">
        <v>895</v>
      </c>
      <c r="M1467" s="32" t="str">
        <f t="shared" si="50"/>
        <v>No</v>
      </c>
      <c r="N1467" s="32">
        <f>G1467 - F1467</f>
        <v>70</v>
      </c>
      <c r="O1467">
        <v>1</v>
      </c>
    </row>
    <row r="1468" spans="1:15" x14ac:dyDescent="0.3">
      <c r="A1468" s="51" t="s">
        <v>2417</v>
      </c>
      <c r="B1468" s="60" t="s">
        <v>66</v>
      </c>
      <c r="C1468" s="60" t="s">
        <v>12</v>
      </c>
      <c r="D1468" s="51" t="s">
        <v>2418</v>
      </c>
      <c r="E1468" s="51" t="s">
        <v>2852</v>
      </c>
      <c r="F1468" s="75">
        <v>44743</v>
      </c>
      <c r="G1468" s="75">
        <v>44957</v>
      </c>
      <c r="H1468" s="32" t="str">
        <f t="shared" si="51"/>
        <v>EVEN</v>
      </c>
      <c r="I1468" s="105">
        <v>15000</v>
      </c>
      <c r="J1468" s="60" t="str">
        <f>UPPER(TEXT(F1468,"mmm")) &amp; " - " &amp; UPPER(TEXT(G1468,"mmm"))</f>
        <v>JUL - JAN</v>
      </c>
      <c r="K1468" s="60" t="s">
        <v>3133</v>
      </c>
      <c r="L1468" s="99" t="s">
        <v>3895</v>
      </c>
      <c r="M1468" s="32" t="str">
        <f t="shared" si="50"/>
        <v>Yes</v>
      </c>
      <c r="N1468" s="32">
        <f>G1468 - F1468</f>
        <v>214</v>
      </c>
      <c r="O1468">
        <v>1</v>
      </c>
    </row>
    <row r="1469" spans="1:15" x14ac:dyDescent="0.3">
      <c r="A1469" s="51" t="s">
        <v>250</v>
      </c>
      <c r="B1469" s="60" t="s">
        <v>66</v>
      </c>
      <c r="C1469" s="60" t="s">
        <v>12</v>
      </c>
      <c r="D1469" s="51" t="s">
        <v>1797</v>
      </c>
      <c r="E1469" s="51" t="s">
        <v>2853</v>
      </c>
      <c r="F1469" s="75">
        <v>44835</v>
      </c>
      <c r="G1469" s="75">
        <v>45139</v>
      </c>
      <c r="H1469" s="32" t="str">
        <f t="shared" si="51"/>
        <v>ODD</v>
      </c>
      <c r="I1469" s="105">
        <v>0</v>
      </c>
      <c r="J1469" s="60" t="str">
        <f>UPPER(TEXT(F1469,"mmm")) &amp; " - " &amp; UPPER(TEXT(G1469,"mmm"))</f>
        <v>OCT - AUG</v>
      </c>
      <c r="K1469" s="60" t="s">
        <v>3133</v>
      </c>
      <c r="L1469" s="99" t="s">
        <v>3895</v>
      </c>
      <c r="M1469" s="32" t="str">
        <f t="shared" si="50"/>
        <v>No</v>
      </c>
      <c r="N1469" s="32">
        <f>G1469 - F1469</f>
        <v>304</v>
      </c>
      <c r="O1469">
        <v>1</v>
      </c>
    </row>
    <row r="1470" spans="1:15" x14ac:dyDescent="0.3">
      <c r="A1470" s="51" t="s">
        <v>2854</v>
      </c>
      <c r="B1470" s="60" t="s">
        <v>66</v>
      </c>
      <c r="C1470" s="60" t="s">
        <v>12</v>
      </c>
      <c r="D1470" s="51" t="s">
        <v>2855</v>
      </c>
      <c r="E1470" s="51" t="s">
        <v>2856</v>
      </c>
      <c r="F1470" s="75">
        <v>44927</v>
      </c>
      <c r="G1470" s="75">
        <v>45106</v>
      </c>
      <c r="H1470" s="32" t="str">
        <f t="shared" si="51"/>
        <v>EVEN</v>
      </c>
      <c r="I1470" s="105">
        <v>0</v>
      </c>
      <c r="J1470" s="60" t="str">
        <f>UPPER(TEXT(F1470,"mmm")) &amp; " - " &amp; UPPER(TEXT(G1470,"mmm"))</f>
        <v>JAN - JUN</v>
      </c>
      <c r="K1470" s="60" t="s">
        <v>3133</v>
      </c>
      <c r="L1470" s="99" t="s">
        <v>3895</v>
      </c>
      <c r="M1470" s="32" t="str">
        <f t="shared" si="50"/>
        <v>No</v>
      </c>
      <c r="N1470" s="32">
        <f>G1470 - F1470</f>
        <v>179</v>
      </c>
      <c r="O1470">
        <v>1</v>
      </c>
    </row>
    <row r="1471" spans="1:15" x14ac:dyDescent="0.3">
      <c r="A1471" s="51" t="s">
        <v>2857</v>
      </c>
      <c r="B1471" s="60" t="s">
        <v>66</v>
      </c>
      <c r="C1471" s="60" t="s">
        <v>12</v>
      </c>
      <c r="D1471" s="51" t="s">
        <v>2858</v>
      </c>
      <c r="E1471" s="51" t="s">
        <v>2859</v>
      </c>
      <c r="F1471" s="75">
        <v>44928</v>
      </c>
      <c r="G1471" s="75">
        <v>45171</v>
      </c>
      <c r="H1471" s="32" t="str">
        <f t="shared" si="51"/>
        <v>EVEN</v>
      </c>
      <c r="I1471" s="105">
        <v>0</v>
      </c>
      <c r="J1471" s="60" t="str">
        <f>UPPER(TEXT(F1471,"mmm")) &amp; " - " &amp; UPPER(TEXT(G1471,"mmm"))</f>
        <v>JAN - SEP</v>
      </c>
      <c r="K1471" s="60" t="s">
        <v>3133</v>
      </c>
      <c r="L1471" s="99" t="s">
        <v>3895</v>
      </c>
      <c r="M1471" s="32" t="str">
        <f t="shared" si="50"/>
        <v>No</v>
      </c>
      <c r="N1471" s="32">
        <f>G1471 - F1471</f>
        <v>243</v>
      </c>
      <c r="O1471">
        <v>1</v>
      </c>
    </row>
    <row r="1472" spans="1:15" x14ac:dyDescent="0.3">
      <c r="A1472" s="51" t="s">
        <v>2860</v>
      </c>
      <c r="B1472" s="60" t="s">
        <v>66</v>
      </c>
      <c r="C1472" s="60" t="s">
        <v>12</v>
      </c>
      <c r="D1472" s="51" t="s">
        <v>2861</v>
      </c>
      <c r="E1472" s="51" t="s">
        <v>2862</v>
      </c>
      <c r="F1472" s="75">
        <v>44928</v>
      </c>
      <c r="G1472" s="75">
        <v>45171</v>
      </c>
      <c r="H1472" s="32" t="str">
        <f t="shared" si="51"/>
        <v>EVEN</v>
      </c>
      <c r="I1472" s="105">
        <v>0</v>
      </c>
      <c r="J1472" s="60" t="str">
        <f>UPPER(TEXT(F1472,"mmm")) &amp; " - " &amp; UPPER(TEXT(G1472,"mmm"))</f>
        <v>JAN - SEP</v>
      </c>
      <c r="K1472" s="60" t="s">
        <v>3133</v>
      </c>
      <c r="L1472" s="99" t="s">
        <v>3895</v>
      </c>
      <c r="M1472" s="32" t="str">
        <f t="shared" si="50"/>
        <v>No</v>
      </c>
      <c r="N1472" s="32">
        <f>G1472 - F1472</f>
        <v>243</v>
      </c>
      <c r="O1472">
        <v>1</v>
      </c>
    </row>
    <row r="1473" spans="1:15" x14ac:dyDescent="0.3">
      <c r="A1473" s="51" t="s">
        <v>2863</v>
      </c>
      <c r="B1473" s="60" t="s">
        <v>66</v>
      </c>
      <c r="C1473" s="60" t="s">
        <v>12</v>
      </c>
      <c r="D1473" s="51" t="s">
        <v>2864</v>
      </c>
      <c r="E1473" s="51" t="s">
        <v>2181</v>
      </c>
      <c r="F1473" s="75">
        <v>44986</v>
      </c>
      <c r="G1473" s="75">
        <v>45107</v>
      </c>
      <c r="H1473" s="32" t="str">
        <f t="shared" si="51"/>
        <v>EVEN</v>
      </c>
      <c r="I1473" s="105">
        <v>5000</v>
      </c>
      <c r="J1473" s="60" t="str">
        <f>UPPER(TEXT(F1473,"mmm")) &amp; " - " &amp; UPPER(TEXT(G1473,"mmm"))</f>
        <v>MAR - JUN</v>
      </c>
      <c r="K1473" s="60" t="s">
        <v>3133</v>
      </c>
      <c r="L1473" s="99" t="s">
        <v>3895</v>
      </c>
      <c r="M1473" s="32" t="str">
        <f t="shared" ref="M1473:M1536" si="52">IF(I1473 &gt; 0, "Yes", "No")</f>
        <v>Yes</v>
      </c>
      <c r="N1473" s="32">
        <f>G1473 - F1473</f>
        <v>121</v>
      </c>
      <c r="O1473">
        <v>1</v>
      </c>
    </row>
    <row r="1474" spans="1:15" x14ac:dyDescent="0.3">
      <c r="A1474" s="51" t="s">
        <v>2630</v>
      </c>
      <c r="B1474" s="60" t="s">
        <v>66</v>
      </c>
      <c r="C1474" s="60" t="s">
        <v>12</v>
      </c>
      <c r="D1474" s="51" t="s">
        <v>2865</v>
      </c>
      <c r="E1474" s="51" t="s">
        <v>2652</v>
      </c>
      <c r="F1474" s="75">
        <v>45078</v>
      </c>
      <c r="G1474" s="75">
        <v>45122</v>
      </c>
      <c r="H1474" s="32" t="str">
        <f t="shared" si="51"/>
        <v>EVEN</v>
      </c>
      <c r="I1474" s="105">
        <v>0</v>
      </c>
      <c r="J1474" s="60" t="str">
        <f>UPPER(TEXT(F1474,"mmm")) &amp; " - " &amp; UPPER(TEXT(G1474,"mmm"))</f>
        <v>JUN - JUL</v>
      </c>
      <c r="K1474" s="60" t="s">
        <v>3133</v>
      </c>
      <c r="L1474" s="99" t="s">
        <v>3895</v>
      </c>
      <c r="M1474" s="32" t="str">
        <f t="shared" si="52"/>
        <v>No</v>
      </c>
      <c r="N1474" s="32">
        <f>G1474 - F1474</f>
        <v>44</v>
      </c>
      <c r="O1474">
        <v>1</v>
      </c>
    </row>
    <row r="1475" spans="1:15" x14ac:dyDescent="0.3">
      <c r="A1475" s="51" t="s">
        <v>2570</v>
      </c>
      <c r="B1475" s="60" t="s">
        <v>66</v>
      </c>
      <c r="C1475" s="60" t="s">
        <v>12</v>
      </c>
      <c r="D1475" s="51" t="s">
        <v>1735</v>
      </c>
      <c r="E1475" s="51" t="s">
        <v>2866</v>
      </c>
      <c r="F1475" s="75">
        <v>45078</v>
      </c>
      <c r="G1475" s="75">
        <v>45107</v>
      </c>
      <c r="H1475" s="32" t="str">
        <f t="shared" si="51"/>
        <v>EVEN</v>
      </c>
      <c r="I1475" s="105">
        <v>0</v>
      </c>
      <c r="J1475" s="60" t="str">
        <f>UPPER(TEXT(F1475,"mmm")) &amp; " - " &amp; UPPER(TEXT(G1475,"mmm"))</f>
        <v>JUN - JUN</v>
      </c>
      <c r="K1475" s="60" t="s">
        <v>3133</v>
      </c>
      <c r="L1475" s="99" t="s">
        <v>3895</v>
      </c>
      <c r="M1475" s="32" t="str">
        <f t="shared" si="52"/>
        <v>No</v>
      </c>
      <c r="N1475" s="32">
        <f>G1475 - F1475</f>
        <v>29</v>
      </c>
      <c r="O1475">
        <v>1</v>
      </c>
    </row>
    <row r="1476" spans="1:15" x14ac:dyDescent="0.3">
      <c r="A1476" s="51" t="s">
        <v>2243</v>
      </c>
      <c r="B1476" s="60" t="s">
        <v>66</v>
      </c>
      <c r="C1476" s="60" t="s">
        <v>12</v>
      </c>
      <c r="D1476" s="51" t="s">
        <v>2867</v>
      </c>
      <c r="E1476" s="51" t="s">
        <v>1919</v>
      </c>
      <c r="F1476" s="75">
        <v>45078</v>
      </c>
      <c r="G1476" s="75">
        <v>45169</v>
      </c>
      <c r="H1476" s="32" t="str">
        <f t="shared" si="51"/>
        <v>EVEN</v>
      </c>
      <c r="I1476" s="105">
        <v>20000</v>
      </c>
      <c r="J1476" s="60" t="str">
        <f>UPPER(TEXT(F1476,"mmm")) &amp; " - " &amp; UPPER(TEXT(G1476,"mmm"))</f>
        <v>JUN - AUG</v>
      </c>
      <c r="K1476" s="60" t="s">
        <v>3133</v>
      </c>
      <c r="L1476" s="99" t="s">
        <v>3895</v>
      </c>
      <c r="M1476" s="32" t="str">
        <f t="shared" si="52"/>
        <v>Yes</v>
      </c>
      <c r="N1476" s="32">
        <f>G1476 - F1476</f>
        <v>91</v>
      </c>
      <c r="O1476">
        <v>1</v>
      </c>
    </row>
    <row r="1477" spans="1:15" x14ac:dyDescent="0.3">
      <c r="A1477" s="51" t="s">
        <v>2868</v>
      </c>
      <c r="B1477" s="60" t="s">
        <v>66</v>
      </c>
      <c r="C1477" s="60" t="s">
        <v>12</v>
      </c>
      <c r="D1477" s="51" t="s">
        <v>604</v>
      </c>
      <c r="E1477" s="51" t="s">
        <v>2869</v>
      </c>
      <c r="F1477" s="75">
        <v>45078</v>
      </c>
      <c r="G1477" s="75">
        <v>45169</v>
      </c>
      <c r="H1477" s="32" t="str">
        <f t="shared" si="51"/>
        <v>EVEN</v>
      </c>
      <c r="I1477" s="105">
        <v>0</v>
      </c>
      <c r="J1477" s="60" t="str">
        <f>UPPER(TEXT(F1477,"mmm")) &amp; " - " &amp; UPPER(TEXT(G1477,"mmm"))</f>
        <v>JUN - AUG</v>
      </c>
      <c r="K1477" s="60" t="s">
        <v>3133</v>
      </c>
      <c r="L1477" s="99" t="s">
        <v>3895</v>
      </c>
      <c r="M1477" s="32" t="str">
        <f t="shared" si="52"/>
        <v>No</v>
      </c>
      <c r="N1477" s="32">
        <f>G1477 - F1477</f>
        <v>91</v>
      </c>
      <c r="O1477">
        <v>1</v>
      </c>
    </row>
    <row r="1478" spans="1:15" x14ac:dyDescent="0.3">
      <c r="A1478" s="51" t="s">
        <v>2870</v>
      </c>
      <c r="B1478" s="60" t="s">
        <v>66</v>
      </c>
      <c r="C1478" s="60" t="s">
        <v>12</v>
      </c>
      <c r="D1478" s="51" t="s">
        <v>2871</v>
      </c>
      <c r="E1478" s="51" t="s">
        <v>2872</v>
      </c>
      <c r="F1478" s="75">
        <v>45082</v>
      </c>
      <c r="G1478" s="75">
        <v>45152</v>
      </c>
      <c r="H1478" s="32" t="str">
        <f t="shared" si="51"/>
        <v>EVEN</v>
      </c>
      <c r="I1478" s="105">
        <v>0</v>
      </c>
      <c r="J1478" s="60" t="str">
        <f>UPPER(TEXT(F1478,"mmm")) &amp; " - " &amp; UPPER(TEXT(G1478,"mmm"))</f>
        <v>JUN - AUG</v>
      </c>
      <c r="K1478" s="60" t="s">
        <v>3133</v>
      </c>
      <c r="L1478" s="99" t="s">
        <v>3895</v>
      </c>
      <c r="M1478" s="32" t="str">
        <f t="shared" si="52"/>
        <v>No</v>
      </c>
      <c r="N1478" s="32">
        <f>G1478 - F1478</f>
        <v>70</v>
      </c>
      <c r="O1478">
        <v>1</v>
      </c>
    </row>
    <row r="1479" spans="1:15" x14ac:dyDescent="0.3">
      <c r="A1479" s="51" t="s">
        <v>2528</v>
      </c>
      <c r="B1479" s="60" t="s">
        <v>66</v>
      </c>
      <c r="C1479" s="60" t="s">
        <v>12</v>
      </c>
      <c r="D1479" s="51" t="s">
        <v>2873</v>
      </c>
      <c r="E1479" s="51" t="s">
        <v>2874</v>
      </c>
      <c r="F1479" s="75">
        <v>45082</v>
      </c>
      <c r="G1479" s="75">
        <v>45143</v>
      </c>
      <c r="H1479" s="32" t="str">
        <f t="shared" si="51"/>
        <v>EVEN</v>
      </c>
      <c r="I1479" s="105">
        <v>0</v>
      </c>
      <c r="J1479" s="60" t="str">
        <f>UPPER(TEXT(F1479,"mmm")) &amp; " - " &amp; UPPER(TEXT(G1479,"mmm"))</f>
        <v>JUN - AUG</v>
      </c>
      <c r="K1479" s="60" t="s">
        <v>3133</v>
      </c>
      <c r="L1479" s="99" t="s">
        <v>3895</v>
      </c>
      <c r="M1479" s="32" t="str">
        <f t="shared" si="52"/>
        <v>No</v>
      </c>
      <c r="N1479" s="32">
        <f>G1479 - F1479</f>
        <v>61</v>
      </c>
      <c r="O1479">
        <v>1</v>
      </c>
    </row>
    <row r="1480" spans="1:15" x14ac:dyDescent="0.3">
      <c r="A1480" s="51" t="s">
        <v>2839</v>
      </c>
      <c r="B1480" s="60" t="s">
        <v>66</v>
      </c>
      <c r="C1480" s="60" t="s">
        <v>12</v>
      </c>
      <c r="D1480" s="51" t="s">
        <v>2875</v>
      </c>
      <c r="E1480" s="51" t="s">
        <v>420</v>
      </c>
      <c r="F1480" s="75">
        <v>45082</v>
      </c>
      <c r="G1480" s="75">
        <v>45135</v>
      </c>
      <c r="H1480" s="32" t="str">
        <f t="shared" si="51"/>
        <v>EVEN</v>
      </c>
      <c r="I1480" s="105">
        <v>30000</v>
      </c>
      <c r="J1480" s="60" t="str">
        <f>UPPER(TEXT(F1480,"mmm")) &amp; " - " &amp; UPPER(TEXT(G1480,"mmm"))</f>
        <v>JUN - JUL</v>
      </c>
      <c r="K1480" s="60" t="s">
        <v>3133</v>
      </c>
      <c r="L1480" s="99" t="s">
        <v>3895</v>
      </c>
      <c r="M1480" s="32" t="str">
        <f t="shared" si="52"/>
        <v>Yes</v>
      </c>
      <c r="N1480" s="32">
        <f>G1480 - F1480</f>
        <v>53</v>
      </c>
      <c r="O1480">
        <v>1</v>
      </c>
    </row>
    <row r="1481" spans="1:15" x14ac:dyDescent="0.3">
      <c r="A1481" s="51" t="s">
        <v>2571</v>
      </c>
      <c r="B1481" s="60" t="s">
        <v>66</v>
      </c>
      <c r="C1481" s="60" t="s">
        <v>12</v>
      </c>
      <c r="D1481" s="51" t="s">
        <v>2876</v>
      </c>
      <c r="E1481" s="51" t="s">
        <v>2877</v>
      </c>
      <c r="F1481" s="75">
        <v>45083</v>
      </c>
      <c r="G1481" s="75">
        <v>45144</v>
      </c>
      <c r="H1481" s="32" t="str">
        <f t="shared" si="51"/>
        <v>EVEN</v>
      </c>
      <c r="I1481" s="105">
        <v>25000</v>
      </c>
      <c r="J1481" s="60" t="str">
        <f>UPPER(TEXT(F1481,"mmm")) &amp; " - " &amp; UPPER(TEXT(G1481,"mmm"))</f>
        <v>JUN - AUG</v>
      </c>
      <c r="K1481" s="60" t="s">
        <v>3133</v>
      </c>
      <c r="L1481" s="99" t="s">
        <v>3895</v>
      </c>
      <c r="M1481" s="32" t="str">
        <f t="shared" si="52"/>
        <v>Yes</v>
      </c>
      <c r="N1481" s="32">
        <f>G1481 - F1481</f>
        <v>61</v>
      </c>
      <c r="O1481">
        <v>1</v>
      </c>
    </row>
    <row r="1482" spans="1:15" x14ac:dyDescent="0.3">
      <c r="A1482" s="51" t="s">
        <v>2481</v>
      </c>
      <c r="B1482" s="60" t="s">
        <v>66</v>
      </c>
      <c r="C1482" s="60" t="s">
        <v>12</v>
      </c>
      <c r="D1482" s="51" t="s">
        <v>2878</v>
      </c>
      <c r="E1482" s="51" t="s">
        <v>2879</v>
      </c>
      <c r="F1482" s="75">
        <v>45089</v>
      </c>
      <c r="G1482" s="75">
        <v>45144</v>
      </c>
      <c r="H1482" s="32" t="str">
        <f t="shared" si="51"/>
        <v>EVEN</v>
      </c>
      <c r="I1482" s="105">
        <v>15000</v>
      </c>
      <c r="J1482" s="60" t="str">
        <f>UPPER(TEXT(F1482,"mmm")) &amp; " - " &amp; UPPER(TEXT(G1482,"mmm"))</f>
        <v>JUN - AUG</v>
      </c>
      <c r="K1482" s="60" t="s">
        <v>3133</v>
      </c>
      <c r="L1482" s="99" t="s">
        <v>3895</v>
      </c>
      <c r="M1482" s="32" t="str">
        <f t="shared" si="52"/>
        <v>Yes</v>
      </c>
      <c r="N1482" s="32">
        <f>G1482 - F1482</f>
        <v>55</v>
      </c>
      <c r="O1482">
        <v>1</v>
      </c>
    </row>
    <row r="1483" spans="1:15" x14ac:dyDescent="0.3">
      <c r="A1483" s="51" t="s">
        <v>2720</v>
      </c>
      <c r="B1483" s="60" t="s">
        <v>66</v>
      </c>
      <c r="C1483" s="60" t="s">
        <v>12</v>
      </c>
      <c r="D1483" s="51" t="s">
        <v>2880</v>
      </c>
      <c r="E1483" s="51" t="s">
        <v>420</v>
      </c>
      <c r="F1483" s="75">
        <v>45098</v>
      </c>
      <c r="G1483" s="75">
        <v>45142</v>
      </c>
      <c r="H1483" s="32" t="str">
        <f t="shared" si="51"/>
        <v>EVEN</v>
      </c>
      <c r="I1483" s="105">
        <v>10000</v>
      </c>
      <c r="J1483" s="60" t="str">
        <f>UPPER(TEXT(F1483,"mmm")) &amp; " - " &amp; UPPER(TEXT(G1483,"mmm"))</f>
        <v>JUN - AUG</v>
      </c>
      <c r="K1483" s="60" t="s">
        <v>3133</v>
      </c>
      <c r="L1483" s="99" t="s">
        <v>3895</v>
      </c>
      <c r="M1483" s="32" t="str">
        <f t="shared" si="52"/>
        <v>Yes</v>
      </c>
      <c r="N1483" s="32">
        <f>G1483 - F1483</f>
        <v>44</v>
      </c>
      <c r="O1483">
        <v>1</v>
      </c>
    </row>
    <row r="1484" spans="1:15" x14ac:dyDescent="0.3">
      <c r="A1484" s="51" t="s">
        <v>2881</v>
      </c>
      <c r="B1484" s="60" t="s">
        <v>66</v>
      </c>
      <c r="C1484" s="60" t="s">
        <v>12</v>
      </c>
      <c r="D1484" s="51" t="s">
        <v>2882</v>
      </c>
      <c r="E1484" s="51" t="s">
        <v>2883</v>
      </c>
      <c r="F1484" s="75">
        <v>44970</v>
      </c>
      <c r="G1484" s="75">
        <v>45107</v>
      </c>
      <c r="H1484" s="32" t="str">
        <f t="shared" si="51"/>
        <v>EVEN</v>
      </c>
      <c r="I1484" s="105">
        <v>0</v>
      </c>
      <c r="J1484" s="60" t="str">
        <f>UPPER(TEXT(F1484,"mmm")) &amp; " - " &amp; UPPER(TEXT(G1484,"mmm"))</f>
        <v>FEB - JUN</v>
      </c>
      <c r="K1484" s="60" t="s">
        <v>3133</v>
      </c>
      <c r="L1484" s="60" t="s">
        <v>895</v>
      </c>
      <c r="M1484" s="32" t="str">
        <f t="shared" si="52"/>
        <v>No</v>
      </c>
      <c r="N1484" s="32">
        <f>G1484 - F1484</f>
        <v>137</v>
      </c>
      <c r="O1484">
        <v>1</v>
      </c>
    </row>
    <row r="1485" spans="1:15" x14ac:dyDescent="0.3">
      <c r="A1485" s="51" t="s">
        <v>2355</v>
      </c>
      <c r="B1485" s="60" t="s">
        <v>66</v>
      </c>
      <c r="C1485" s="60" t="s">
        <v>12</v>
      </c>
      <c r="D1485" s="51" t="s">
        <v>2198</v>
      </c>
      <c r="E1485" s="51" t="s">
        <v>2884</v>
      </c>
      <c r="F1485" s="75">
        <v>44781</v>
      </c>
      <c r="G1485" s="75">
        <v>45051</v>
      </c>
      <c r="H1485" s="32" t="str">
        <f t="shared" si="51"/>
        <v>ODD</v>
      </c>
      <c r="I1485" s="105">
        <v>0</v>
      </c>
      <c r="J1485" s="60" t="str">
        <f>UPPER(TEXT(F1485,"mmm")) &amp; " - " &amp; UPPER(TEXT(G1485,"mmm"))</f>
        <v>AUG - MAY</v>
      </c>
      <c r="K1485" s="60" t="s">
        <v>3133</v>
      </c>
      <c r="L1485" s="60" t="s">
        <v>895</v>
      </c>
      <c r="M1485" s="32" t="str">
        <f t="shared" si="52"/>
        <v>No</v>
      </c>
      <c r="N1485" s="32">
        <f>G1485 - F1485</f>
        <v>270</v>
      </c>
      <c r="O1485">
        <v>1</v>
      </c>
    </row>
    <row r="1486" spans="1:15" x14ac:dyDescent="0.3">
      <c r="A1486" s="51" t="s">
        <v>2238</v>
      </c>
      <c r="B1486" s="60" t="s">
        <v>66</v>
      </c>
      <c r="C1486" s="60" t="s">
        <v>12</v>
      </c>
      <c r="D1486" s="51" t="s">
        <v>2885</v>
      </c>
      <c r="E1486" s="51" t="s">
        <v>2886</v>
      </c>
      <c r="F1486" s="75">
        <v>44969</v>
      </c>
      <c r="G1486" s="75">
        <v>45097</v>
      </c>
      <c r="H1486" s="32" t="str">
        <f t="shared" si="51"/>
        <v>EVEN</v>
      </c>
      <c r="I1486" s="105">
        <v>0</v>
      </c>
      <c r="J1486" s="60" t="str">
        <f>UPPER(TEXT(F1486,"mmm")) &amp; " - " &amp; UPPER(TEXT(G1486,"mmm"))</f>
        <v>FEB - JUN</v>
      </c>
      <c r="K1486" s="60" t="s">
        <v>3133</v>
      </c>
      <c r="L1486" s="60" t="s">
        <v>895</v>
      </c>
      <c r="M1486" s="32" t="str">
        <f t="shared" si="52"/>
        <v>No</v>
      </c>
      <c r="N1486" s="32">
        <f>G1486 - F1486</f>
        <v>128</v>
      </c>
      <c r="O1486">
        <v>1</v>
      </c>
    </row>
    <row r="1487" spans="1:15" x14ac:dyDescent="0.3">
      <c r="A1487" s="51" t="s">
        <v>2557</v>
      </c>
      <c r="B1487" s="60" t="s">
        <v>66</v>
      </c>
      <c r="C1487" s="60" t="s">
        <v>12</v>
      </c>
      <c r="D1487" s="51" t="s">
        <v>2885</v>
      </c>
      <c r="E1487" s="51" t="s">
        <v>2887</v>
      </c>
      <c r="F1487" s="75">
        <v>44970</v>
      </c>
      <c r="G1487" s="75">
        <v>45107</v>
      </c>
      <c r="H1487" s="32" t="str">
        <f t="shared" si="51"/>
        <v>EVEN</v>
      </c>
      <c r="I1487" s="105">
        <v>0</v>
      </c>
      <c r="J1487" s="60" t="str">
        <f>UPPER(TEXT(F1487,"mmm")) &amp; " - " &amp; UPPER(TEXT(G1487,"mmm"))</f>
        <v>FEB - JUN</v>
      </c>
      <c r="K1487" s="60" t="s">
        <v>3133</v>
      </c>
      <c r="L1487" s="60" t="s">
        <v>895</v>
      </c>
      <c r="M1487" s="32" t="str">
        <f t="shared" si="52"/>
        <v>No</v>
      </c>
      <c r="N1487" s="32">
        <f>G1487 - F1487</f>
        <v>137</v>
      </c>
      <c r="O1487">
        <v>1</v>
      </c>
    </row>
    <row r="1488" spans="1:15" x14ac:dyDescent="0.3">
      <c r="A1488" s="62" t="s">
        <v>2888</v>
      </c>
      <c r="B1488" s="77" t="s">
        <v>11</v>
      </c>
      <c r="C1488" s="77" t="s">
        <v>12</v>
      </c>
      <c r="D1488" s="62" t="s">
        <v>2092</v>
      </c>
      <c r="E1488" s="62" t="s">
        <v>2889</v>
      </c>
      <c r="F1488" s="79">
        <v>44956</v>
      </c>
      <c r="G1488" s="79">
        <v>45153</v>
      </c>
      <c r="H1488" s="32" t="str">
        <f t="shared" si="51"/>
        <v>EVEN</v>
      </c>
      <c r="I1488" s="108">
        <v>0</v>
      </c>
      <c r="J1488" s="60" t="str">
        <f>UPPER(TEXT(F1488,"mmm")) &amp; " - " &amp; UPPER(TEXT(G1488,"mmm"))</f>
        <v>JAN - AUG</v>
      </c>
      <c r="K1488" s="60" t="s">
        <v>3133</v>
      </c>
      <c r="L1488" s="77" t="s">
        <v>895</v>
      </c>
      <c r="M1488" s="32" t="str">
        <f t="shared" si="52"/>
        <v>No</v>
      </c>
      <c r="N1488" s="32">
        <f>G1488 - F1488</f>
        <v>197</v>
      </c>
      <c r="O1488">
        <v>1</v>
      </c>
    </row>
    <row r="1489" spans="1:15" x14ac:dyDescent="0.3">
      <c r="A1489" s="62" t="s">
        <v>2890</v>
      </c>
      <c r="B1489" s="77" t="s">
        <v>11</v>
      </c>
      <c r="C1489" s="77" t="s">
        <v>12</v>
      </c>
      <c r="D1489" s="62" t="s">
        <v>2092</v>
      </c>
      <c r="E1489" s="62" t="s">
        <v>2891</v>
      </c>
      <c r="F1489" s="79">
        <v>44956</v>
      </c>
      <c r="G1489" s="79">
        <v>45153</v>
      </c>
      <c r="H1489" s="32" t="str">
        <f t="shared" si="51"/>
        <v>EVEN</v>
      </c>
      <c r="I1489" s="108">
        <v>0</v>
      </c>
      <c r="J1489" s="60" t="str">
        <f>UPPER(TEXT(F1489,"mmm")) &amp; " - " &amp; UPPER(TEXT(G1489,"mmm"))</f>
        <v>JAN - AUG</v>
      </c>
      <c r="K1489" s="60" t="s">
        <v>3133</v>
      </c>
      <c r="L1489" s="77" t="s">
        <v>895</v>
      </c>
      <c r="M1489" s="32" t="str">
        <f t="shared" si="52"/>
        <v>No</v>
      </c>
      <c r="N1489" s="32">
        <f>G1489 - F1489</f>
        <v>197</v>
      </c>
      <c r="O1489">
        <v>1</v>
      </c>
    </row>
    <row r="1490" spans="1:15" x14ac:dyDescent="0.3">
      <c r="A1490" s="62" t="s">
        <v>2892</v>
      </c>
      <c r="B1490" s="77" t="s">
        <v>11</v>
      </c>
      <c r="C1490" s="77" t="s">
        <v>12</v>
      </c>
      <c r="D1490" s="62" t="s">
        <v>2092</v>
      </c>
      <c r="E1490" s="62" t="s">
        <v>2893</v>
      </c>
      <c r="F1490" s="79">
        <v>44956</v>
      </c>
      <c r="G1490" s="79">
        <v>45153</v>
      </c>
      <c r="H1490" s="32" t="str">
        <f t="shared" si="51"/>
        <v>EVEN</v>
      </c>
      <c r="I1490" s="108">
        <v>0</v>
      </c>
      <c r="J1490" s="60" t="str">
        <f>UPPER(TEXT(F1490,"mmm")) &amp; " - " &amp; UPPER(TEXT(G1490,"mmm"))</f>
        <v>JAN - AUG</v>
      </c>
      <c r="K1490" s="60" t="s">
        <v>3133</v>
      </c>
      <c r="L1490" s="77" t="s">
        <v>895</v>
      </c>
      <c r="M1490" s="32" t="str">
        <f t="shared" si="52"/>
        <v>No</v>
      </c>
      <c r="N1490" s="32">
        <f>G1490 - F1490</f>
        <v>197</v>
      </c>
      <c r="O1490">
        <v>1</v>
      </c>
    </row>
    <row r="1491" spans="1:15" x14ac:dyDescent="0.3">
      <c r="A1491" s="62" t="s">
        <v>2894</v>
      </c>
      <c r="B1491" s="77" t="s">
        <v>11</v>
      </c>
      <c r="C1491" s="77" t="s">
        <v>12</v>
      </c>
      <c r="D1491" s="62" t="s">
        <v>2423</v>
      </c>
      <c r="E1491" s="62" t="s">
        <v>2895</v>
      </c>
      <c r="F1491" s="79">
        <v>44986</v>
      </c>
      <c r="G1491" s="79">
        <v>44990</v>
      </c>
      <c r="H1491" s="32" t="str">
        <f t="shared" si="51"/>
        <v>EVEN</v>
      </c>
      <c r="I1491" s="108">
        <v>0</v>
      </c>
      <c r="J1491" s="60" t="str">
        <f>UPPER(TEXT(F1491,"mmm")) &amp; " - " &amp; UPPER(TEXT(G1491,"mmm"))</f>
        <v>MAR - MAR</v>
      </c>
      <c r="K1491" s="60" t="s">
        <v>3133</v>
      </c>
      <c r="L1491" s="77" t="s">
        <v>895</v>
      </c>
      <c r="M1491" s="32" t="str">
        <f t="shared" si="52"/>
        <v>No</v>
      </c>
      <c r="N1491" s="32">
        <f>G1491 - F1491</f>
        <v>4</v>
      </c>
      <c r="O1491">
        <v>1</v>
      </c>
    </row>
    <row r="1492" spans="1:15" x14ac:dyDescent="0.3">
      <c r="A1492" s="62" t="s">
        <v>2293</v>
      </c>
      <c r="B1492" s="77" t="s">
        <v>78</v>
      </c>
      <c r="C1492" s="77" t="s">
        <v>12</v>
      </c>
      <c r="D1492" s="62" t="s">
        <v>2896</v>
      </c>
      <c r="E1492" s="62" t="s">
        <v>2897</v>
      </c>
      <c r="F1492" s="79">
        <v>44743</v>
      </c>
      <c r="G1492" s="79">
        <v>45107</v>
      </c>
      <c r="H1492" s="32" t="str">
        <f t="shared" si="51"/>
        <v>EVEN</v>
      </c>
      <c r="I1492" s="108">
        <v>0</v>
      </c>
      <c r="J1492" s="60" t="str">
        <f>UPPER(TEXT(F1492,"mmm")) &amp; " - " &amp; UPPER(TEXT(G1492,"mmm"))</f>
        <v>JUL - JUN</v>
      </c>
      <c r="K1492" s="60" t="s">
        <v>3133</v>
      </c>
      <c r="L1492" s="99" t="s">
        <v>3895</v>
      </c>
      <c r="M1492" s="32" t="str">
        <f t="shared" si="52"/>
        <v>No</v>
      </c>
      <c r="N1492" s="32">
        <f>G1492 - F1492</f>
        <v>364</v>
      </c>
      <c r="O1492">
        <v>1</v>
      </c>
    </row>
    <row r="1493" spans="1:15" x14ac:dyDescent="0.3">
      <c r="A1493" s="62" t="s">
        <v>2898</v>
      </c>
      <c r="B1493" s="77" t="s">
        <v>78</v>
      </c>
      <c r="C1493" s="77" t="s">
        <v>12</v>
      </c>
      <c r="D1493" s="62" t="s">
        <v>1519</v>
      </c>
      <c r="E1493" s="62" t="s">
        <v>2899</v>
      </c>
      <c r="F1493" s="79">
        <v>44805</v>
      </c>
      <c r="G1493" s="79">
        <v>44865</v>
      </c>
      <c r="H1493" s="32" t="str">
        <f t="shared" si="51"/>
        <v>ODD</v>
      </c>
      <c r="I1493" s="108">
        <v>0</v>
      </c>
      <c r="J1493" s="60" t="str">
        <f>UPPER(TEXT(F1493,"mmm")) &amp; " - " &amp; UPPER(TEXT(G1493,"mmm"))</f>
        <v>SEP - OCT</v>
      </c>
      <c r="K1493" s="60" t="s">
        <v>3133</v>
      </c>
      <c r="L1493" s="99" t="s">
        <v>3895</v>
      </c>
      <c r="M1493" s="32" t="str">
        <f t="shared" si="52"/>
        <v>No</v>
      </c>
      <c r="N1493" s="32">
        <f>G1493 - F1493</f>
        <v>60</v>
      </c>
      <c r="O1493">
        <v>1</v>
      </c>
    </row>
    <row r="1494" spans="1:15" x14ac:dyDescent="0.3">
      <c r="A1494" s="62" t="s">
        <v>2551</v>
      </c>
      <c r="B1494" s="77" t="s">
        <v>78</v>
      </c>
      <c r="C1494" s="77" t="s">
        <v>12</v>
      </c>
      <c r="D1494" s="62" t="s">
        <v>2900</v>
      </c>
      <c r="E1494" s="62" t="s">
        <v>2901</v>
      </c>
      <c r="F1494" s="79">
        <v>44805</v>
      </c>
      <c r="G1494" s="79">
        <v>45179</v>
      </c>
      <c r="H1494" s="32" t="str">
        <f t="shared" ref="H1494:H1557" si="53">IF(AND(F1494&gt;=DATE(2022,7,15), F1494&lt;=DATE(2022,12,31)), "ODD", "EVEN")</f>
        <v>ODD</v>
      </c>
      <c r="I1494" s="108">
        <v>0</v>
      </c>
      <c r="J1494" s="60" t="str">
        <f>UPPER(TEXT(F1494,"mmm")) &amp; " - " &amp; UPPER(TEXT(G1494,"mmm"))</f>
        <v>SEP - SEP</v>
      </c>
      <c r="K1494" s="60" t="s">
        <v>3133</v>
      </c>
      <c r="L1494" s="77" t="s">
        <v>895</v>
      </c>
      <c r="M1494" s="32" t="str">
        <f t="shared" si="52"/>
        <v>No</v>
      </c>
      <c r="N1494" s="32">
        <f>G1494 - F1494</f>
        <v>374</v>
      </c>
      <c r="O1494">
        <v>1</v>
      </c>
    </row>
    <row r="1495" spans="1:15" x14ac:dyDescent="0.3">
      <c r="A1495" s="62" t="s">
        <v>2590</v>
      </c>
      <c r="B1495" s="77" t="s">
        <v>78</v>
      </c>
      <c r="C1495" s="77" t="s">
        <v>12</v>
      </c>
      <c r="D1495" s="62" t="s">
        <v>2900</v>
      </c>
      <c r="E1495" s="62" t="s">
        <v>2902</v>
      </c>
      <c r="F1495" s="79">
        <v>44805</v>
      </c>
      <c r="G1495" s="79">
        <v>45179</v>
      </c>
      <c r="H1495" s="32" t="str">
        <f t="shared" si="53"/>
        <v>ODD</v>
      </c>
      <c r="I1495" s="108">
        <v>0</v>
      </c>
      <c r="J1495" s="60" t="str">
        <f>UPPER(TEXT(F1495,"mmm")) &amp; " - " &amp; UPPER(TEXT(G1495,"mmm"))</f>
        <v>SEP - SEP</v>
      </c>
      <c r="K1495" s="60" t="s">
        <v>3133</v>
      </c>
      <c r="L1495" s="77" t="s">
        <v>895</v>
      </c>
      <c r="M1495" s="32" t="str">
        <f t="shared" si="52"/>
        <v>No</v>
      </c>
      <c r="N1495" s="32">
        <f>G1495 - F1495</f>
        <v>374</v>
      </c>
      <c r="O1495">
        <v>1</v>
      </c>
    </row>
    <row r="1496" spans="1:15" x14ac:dyDescent="0.3">
      <c r="A1496" s="62" t="s">
        <v>2420</v>
      </c>
      <c r="B1496" s="77" t="s">
        <v>78</v>
      </c>
      <c r="C1496" s="77" t="s">
        <v>12</v>
      </c>
      <c r="D1496" s="62" t="s">
        <v>159</v>
      </c>
      <c r="E1496" s="62" t="s">
        <v>2903</v>
      </c>
      <c r="F1496" s="79">
        <v>44812</v>
      </c>
      <c r="G1496" s="79">
        <v>45076</v>
      </c>
      <c r="H1496" s="32" t="str">
        <f t="shared" si="53"/>
        <v>ODD</v>
      </c>
      <c r="I1496" s="108">
        <v>0</v>
      </c>
      <c r="J1496" s="60" t="str">
        <f>UPPER(TEXT(F1496,"mmm")) &amp; " - " &amp; UPPER(TEXT(G1496,"mmm"))</f>
        <v>SEP - MAY</v>
      </c>
      <c r="K1496" s="60" t="s">
        <v>3133</v>
      </c>
      <c r="L1496" s="77" t="s">
        <v>895</v>
      </c>
      <c r="M1496" s="32" t="str">
        <f t="shared" si="52"/>
        <v>No</v>
      </c>
      <c r="N1496" s="32">
        <f>G1496 - F1496</f>
        <v>264</v>
      </c>
      <c r="O1496">
        <v>1</v>
      </c>
    </row>
    <row r="1497" spans="1:15" x14ac:dyDescent="0.3">
      <c r="A1497" s="62" t="s">
        <v>2904</v>
      </c>
      <c r="B1497" s="77" t="s">
        <v>78</v>
      </c>
      <c r="C1497" s="77" t="s">
        <v>12</v>
      </c>
      <c r="D1497" s="62" t="s">
        <v>2423</v>
      </c>
      <c r="E1497" s="62" t="s">
        <v>2905</v>
      </c>
      <c r="F1497" s="79">
        <v>44815</v>
      </c>
      <c r="G1497" s="79">
        <v>45076</v>
      </c>
      <c r="H1497" s="32" t="str">
        <f t="shared" si="53"/>
        <v>ODD</v>
      </c>
      <c r="I1497" s="108">
        <v>0</v>
      </c>
      <c r="J1497" s="60" t="str">
        <f>UPPER(TEXT(F1497,"mmm")) &amp; " - " &amp; UPPER(TEXT(G1497,"mmm"))</f>
        <v>SEP - MAY</v>
      </c>
      <c r="K1497" s="60" t="s">
        <v>3133</v>
      </c>
      <c r="L1497" s="77" t="s">
        <v>895</v>
      </c>
      <c r="M1497" s="32" t="str">
        <f t="shared" si="52"/>
        <v>No</v>
      </c>
      <c r="N1497" s="32">
        <f>G1497 - F1497</f>
        <v>261</v>
      </c>
      <c r="O1497">
        <v>1</v>
      </c>
    </row>
    <row r="1498" spans="1:15" x14ac:dyDescent="0.3">
      <c r="A1498" s="62" t="s">
        <v>2704</v>
      </c>
      <c r="B1498" s="77" t="s">
        <v>78</v>
      </c>
      <c r="C1498" s="77" t="s">
        <v>12</v>
      </c>
      <c r="D1498" s="62" t="s">
        <v>2092</v>
      </c>
      <c r="E1498" s="62" t="s">
        <v>2906</v>
      </c>
      <c r="F1498" s="79">
        <v>44816</v>
      </c>
      <c r="G1498" s="79">
        <v>45153</v>
      </c>
      <c r="H1498" s="32" t="str">
        <f t="shared" si="53"/>
        <v>ODD</v>
      </c>
      <c r="I1498" s="108">
        <v>0</v>
      </c>
      <c r="J1498" s="60" t="str">
        <f>UPPER(TEXT(F1498,"mmm")) &amp; " - " &amp; UPPER(TEXT(G1498,"mmm"))</f>
        <v>SEP - AUG</v>
      </c>
      <c r="K1498" s="60" t="s">
        <v>3133</v>
      </c>
      <c r="L1498" s="77" t="s">
        <v>895</v>
      </c>
      <c r="M1498" s="32" t="str">
        <f t="shared" si="52"/>
        <v>No</v>
      </c>
      <c r="N1498" s="32">
        <f>G1498 - F1498</f>
        <v>337</v>
      </c>
      <c r="O1498">
        <v>1</v>
      </c>
    </row>
    <row r="1499" spans="1:15" x14ac:dyDescent="0.3">
      <c r="A1499" s="62" t="s">
        <v>2422</v>
      </c>
      <c r="B1499" s="77" t="s">
        <v>78</v>
      </c>
      <c r="C1499" s="77" t="s">
        <v>12</v>
      </c>
      <c r="D1499" s="62" t="s">
        <v>2423</v>
      </c>
      <c r="E1499" s="62" t="s">
        <v>2424</v>
      </c>
      <c r="F1499" s="79">
        <v>44815</v>
      </c>
      <c r="G1499" s="79">
        <v>45076</v>
      </c>
      <c r="H1499" s="32" t="str">
        <f t="shared" si="53"/>
        <v>ODD</v>
      </c>
      <c r="I1499" s="108">
        <v>0</v>
      </c>
      <c r="J1499" s="60" t="str">
        <f>UPPER(TEXT(F1499,"mmm")) &amp; " - " &amp; UPPER(TEXT(G1499,"mmm"))</f>
        <v>SEP - MAY</v>
      </c>
      <c r="K1499" s="60" t="s">
        <v>3133</v>
      </c>
      <c r="L1499" s="77" t="s">
        <v>895</v>
      </c>
      <c r="M1499" s="32" t="str">
        <f t="shared" si="52"/>
        <v>No</v>
      </c>
      <c r="N1499" s="32">
        <f>G1499 - F1499</f>
        <v>261</v>
      </c>
      <c r="O1499">
        <v>1</v>
      </c>
    </row>
    <row r="1500" spans="1:15" x14ac:dyDescent="0.3">
      <c r="A1500" s="62" t="s">
        <v>2907</v>
      </c>
      <c r="B1500" s="77" t="s">
        <v>66</v>
      </c>
      <c r="C1500" s="77" t="s">
        <v>12</v>
      </c>
      <c r="D1500" s="62" t="s">
        <v>2908</v>
      </c>
      <c r="E1500" s="62" t="s">
        <v>2909</v>
      </c>
      <c r="F1500" s="79">
        <v>45078</v>
      </c>
      <c r="G1500" s="79">
        <v>45135</v>
      </c>
      <c r="H1500" s="32" t="str">
        <f t="shared" si="53"/>
        <v>EVEN</v>
      </c>
      <c r="I1500" s="108">
        <v>30000</v>
      </c>
      <c r="J1500" s="60" t="str">
        <f>UPPER(TEXT(F1500,"mmm")) &amp; " - " &amp; UPPER(TEXT(G1500,"mmm"))</f>
        <v>JUN - JUL</v>
      </c>
      <c r="K1500" s="60" t="s">
        <v>3133</v>
      </c>
      <c r="L1500" s="99" t="s">
        <v>3895</v>
      </c>
      <c r="M1500" s="32" t="str">
        <f t="shared" si="52"/>
        <v>Yes</v>
      </c>
      <c r="N1500" s="32">
        <f>G1500 - F1500</f>
        <v>57</v>
      </c>
      <c r="O1500">
        <v>1</v>
      </c>
    </row>
    <row r="1501" spans="1:15" x14ac:dyDescent="0.3">
      <c r="A1501" s="62" t="s">
        <v>2760</v>
      </c>
      <c r="B1501" s="77" t="s">
        <v>66</v>
      </c>
      <c r="C1501" s="77" t="s">
        <v>12</v>
      </c>
      <c r="D1501" s="62" t="s">
        <v>2910</v>
      </c>
      <c r="E1501" s="62" t="s">
        <v>389</v>
      </c>
      <c r="F1501" s="79">
        <v>45082</v>
      </c>
      <c r="G1501" s="79">
        <v>45126</v>
      </c>
      <c r="H1501" s="32" t="str">
        <f t="shared" si="53"/>
        <v>EVEN</v>
      </c>
      <c r="I1501" s="108">
        <v>70000</v>
      </c>
      <c r="J1501" s="60" t="str">
        <f>UPPER(TEXT(F1501,"mmm")) &amp; " - " &amp; UPPER(TEXT(G1501,"mmm"))</f>
        <v>JUN - JUL</v>
      </c>
      <c r="K1501" s="60" t="s">
        <v>3133</v>
      </c>
      <c r="L1501" s="99" t="s">
        <v>3895</v>
      </c>
      <c r="M1501" s="32" t="str">
        <f t="shared" si="52"/>
        <v>Yes</v>
      </c>
      <c r="N1501" s="32">
        <f>G1501 - F1501</f>
        <v>44</v>
      </c>
      <c r="O1501">
        <v>1</v>
      </c>
    </row>
    <row r="1502" spans="1:15" x14ac:dyDescent="0.3">
      <c r="A1502" s="62" t="s">
        <v>1883</v>
      </c>
      <c r="B1502" s="77" t="s">
        <v>66</v>
      </c>
      <c r="C1502" s="77" t="s">
        <v>12</v>
      </c>
      <c r="D1502" s="62" t="s">
        <v>2911</v>
      </c>
      <c r="E1502" s="62" t="s">
        <v>2912</v>
      </c>
      <c r="F1502" s="79">
        <v>45082</v>
      </c>
      <c r="G1502" s="79">
        <v>45135</v>
      </c>
      <c r="H1502" s="32" t="str">
        <f t="shared" si="53"/>
        <v>EVEN</v>
      </c>
      <c r="I1502" s="108">
        <v>70000</v>
      </c>
      <c r="J1502" s="60" t="str">
        <f>UPPER(TEXT(F1502,"mmm")) &amp; " - " &amp; UPPER(TEXT(G1502,"mmm"))</f>
        <v>JUN - JUL</v>
      </c>
      <c r="K1502" s="60" t="s">
        <v>3133</v>
      </c>
      <c r="L1502" s="99" t="s">
        <v>3895</v>
      </c>
      <c r="M1502" s="32" t="str">
        <f t="shared" si="52"/>
        <v>Yes</v>
      </c>
      <c r="N1502" s="32">
        <f>G1502 - F1502</f>
        <v>53</v>
      </c>
      <c r="O1502">
        <v>1</v>
      </c>
    </row>
    <row r="1503" spans="1:15" x14ac:dyDescent="0.3">
      <c r="A1503" s="62" t="s">
        <v>2431</v>
      </c>
      <c r="B1503" s="77" t="s">
        <v>66</v>
      </c>
      <c r="C1503" s="77" t="s">
        <v>12</v>
      </c>
      <c r="D1503" s="62" t="s">
        <v>2913</v>
      </c>
      <c r="E1503" s="62" t="s">
        <v>2914</v>
      </c>
      <c r="F1503" s="79">
        <v>44743</v>
      </c>
      <c r="G1503" s="79">
        <v>45087</v>
      </c>
      <c r="H1503" s="32" t="str">
        <f t="shared" si="53"/>
        <v>EVEN</v>
      </c>
      <c r="I1503" s="108">
        <v>30000</v>
      </c>
      <c r="J1503" s="60" t="str">
        <f>UPPER(TEXT(F1503,"mmm")) &amp; " - " &amp; UPPER(TEXT(G1503,"mmm"))</f>
        <v>JUL - JUN</v>
      </c>
      <c r="K1503" s="60" t="s">
        <v>3133</v>
      </c>
      <c r="L1503" s="99" t="s">
        <v>3895</v>
      </c>
      <c r="M1503" s="32" t="str">
        <f t="shared" si="52"/>
        <v>Yes</v>
      </c>
      <c r="N1503" s="32">
        <f>G1503 - F1503</f>
        <v>344</v>
      </c>
      <c r="O1503">
        <v>1</v>
      </c>
    </row>
    <row r="1504" spans="1:15" x14ac:dyDescent="0.3">
      <c r="A1504" s="62" t="s">
        <v>2435</v>
      </c>
      <c r="B1504" s="77" t="s">
        <v>66</v>
      </c>
      <c r="C1504" s="77" t="s">
        <v>12</v>
      </c>
      <c r="D1504" s="62" t="s">
        <v>2915</v>
      </c>
      <c r="E1504" s="62" t="s">
        <v>1107</v>
      </c>
      <c r="F1504" s="79">
        <v>44783</v>
      </c>
      <c r="G1504" s="79">
        <v>44844</v>
      </c>
      <c r="H1504" s="32" t="str">
        <f t="shared" si="53"/>
        <v>ODD</v>
      </c>
      <c r="I1504" s="108">
        <v>0</v>
      </c>
      <c r="J1504" s="60" t="str">
        <f>UPPER(TEXT(F1504,"mmm")) &amp; " - " &amp; UPPER(TEXT(G1504,"mmm"))</f>
        <v>AUG - OCT</v>
      </c>
      <c r="K1504" s="60" t="s">
        <v>3133</v>
      </c>
      <c r="L1504" s="99" t="s">
        <v>3895</v>
      </c>
      <c r="M1504" s="32" t="str">
        <f t="shared" si="52"/>
        <v>No</v>
      </c>
      <c r="N1504" s="32">
        <f>G1504 - F1504</f>
        <v>61</v>
      </c>
      <c r="O1504">
        <v>1</v>
      </c>
    </row>
    <row r="1505" spans="1:15" x14ac:dyDescent="0.3">
      <c r="A1505" s="62" t="s">
        <v>2916</v>
      </c>
      <c r="B1505" s="77" t="s">
        <v>66</v>
      </c>
      <c r="C1505" s="77" t="s">
        <v>12</v>
      </c>
      <c r="D1505" s="62" t="s">
        <v>2468</v>
      </c>
      <c r="E1505" s="62" t="s">
        <v>2917</v>
      </c>
      <c r="F1505" s="79">
        <v>44743</v>
      </c>
      <c r="G1505" s="79">
        <v>45046</v>
      </c>
      <c r="H1505" s="32" t="str">
        <f t="shared" si="53"/>
        <v>EVEN</v>
      </c>
      <c r="I1505" s="108">
        <v>0</v>
      </c>
      <c r="J1505" s="60" t="str">
        <f>UPPER(TEXT(F1505,"mmm")) &amp; " - " &amp; UPPER(TEXT(G1505,"mmm"))</f>
        <v>JUL - APR</v>
      </c>
      <c r="K1505" s="60" t="s">
        <v>3133</v>
      </c>
      <c r="L1505" s="99" t="s">
        <v>3895</v>
      </c>
      <c r="M1505" s="32" t="str">
        <f t="shared" si="52"/>
        <v>No</v>
      </c>
      <c r="N1505" s="32">
        <f>G1505 - F1505</f>
        <v>303</v>
      </c>
      <c r="O1505">
        <v>1</v>
      </c>
    </row>
    <row r="1506" spans="1:15" x14ac:dyDescent="0.3">
      <c r="A1506" s="62" t="s">
        <v>2437</v>
      </c>
      <c r="B1506" s="77" t="s">
        <v>66</v>
      </c>
      <c r="C1506" s="77" t="s">
        <v>12</v>
      </c>
      <c r="D1506" s="62" t="s">
        <v>2438</v>
      </c>
      <c r="E1506" s="62" t="s">
        <v>2918</v>
      </c>
      <c r="F1506" s="79">
        <v>44743</v>
      </c>
      <c r="G1506" s="79">
        <v>45076</v>
      </c>
      <c r="H1506" s="32" t="str">
        <f t="shared" si="53"/>
        <v>EVEN</v>
      </c>
      <c r="I1506" s="108">
        <v>0</v>
      </c>
      <c r="J1506" s="60" t="str">
        <f>UPPER(TEXT(F1506,"mmm")) &amp; " - " &amp; UPPER(TEXT(G1506,"mmm"))</f>
        <v>JUL - MAY</v>
      </c>
      <c r="K1506" s="60" t="s">
        <v>3133</v>
      </c>
      <c r="L1506" s="99" t="s">
        <v>3895</v>
      </c>
      <c r="M1506" s="32" t="str">
        <f t="shared" si="52"/>
        <v>No</v>
      </c>
      <c r="N1506" s="32">
        <f>G1506 - F1506</f>
        <v>333</v>
      </c>
      <c r="O1506">
        <v>1</v>
      </c>
    </row>
    <row r="1507" spans="1:15" x14ac:dyDescent="0.3">
      <c r="A1507" s="62" t="s">
        <v>2919</v>
      </c>
      <c r="B1507" s="77" t="s">
        <v>66</v>
      </c>
      <c r="C1507" s="77" t="s">
        <v>12</v>
      </c>
      <c r="D1507" s="62" t="s">
        <v>2920</v>
      </c>
      <c r="E1507" s="62" t="s">
        <v>408</v>
      </c>
      <c r="F1507" s="79">
        <v>44746</v>
      </c>
      <c r="G1507" s="79">
        <v>44930</v>
      </c>
      <c r="H1507" s="32" t="str">
        <f t="shared" si="53"/>
        <v>EVEN</v>
      </c>
      <c r="I1507" s="108">
        <v>0</v>
      </c>
      <c r="J1507" s="60" t="str">
        <f>UPPER(TEXT(F1507,"mmm")) &amp; " - " &amp; UPPER(TEXT(G1507,"mmm"))</f>
        <v>JUL - JAN</v>
      </c>
      <c r="K1507" s="60" t="s">
        <v>3133</v>
      </c>
      <c r="L1507" s="99" t="s">
        <v>3895</v>
      </c>
      <c r="M1507" s="32" t="str">
        <f t="shared" si="52"/>
        <v>No</v>
      </c>
      <c r="N1507" s="32">
        <f>G1507 - F1507</f>
        <v>184</v>
      </c>
      <c r="O1507">
        <v>1</v>
      </c>
    </row>
    <row r="1508" spans="1:15" x14ac:dyDescent="0.3">
      <c r="A1508" s="62" t="s">
        <v>2921</v>
      </c>
      <c r="B1508" s="77" t="s">
        <v>66</v>
      </c>
      <c r="C1508" s="77" t="s">
        <v>12</v>
      </c>
      <c r="D1508" s="62" t="s">
        <v>2920</v>
      </c>
      <c r="E1508" s="62" t="s">
        <v>408</v>
      </c>
      <c r="F1508" s="79">
        <v>44746</v>
      </c>
      <c r="G1508" s="79">
        <v>44930</v>
      </c>
      <c r="H1508" s="32" t="str">
        <f t="shared" si="53"/>
        <v>EVEN</v>
      </c>
      <c r="I1508" s="108">
        <v>0</v>
      </c>
      <c r="J1508" s="60" t="str">
        <f>UPPER(TEXT(F1508,"mmm")) &amp; " - " &amp; UPPER(TEXT(G1508,"mmm"))</f>
        <v>JUL - JAN</v>
      </c>
      <c r="K1508" s="60" t="s">
        <v>3133</v>
      </c>
      <c r="L1508" s="99" t="s">
        <v>3895</v>
      </c>
      <c r="M1508" s="32" t="str">
        <f t="shared" si="52"/>
        <v>No</v>
      </c>
      <c r="N1508" s="32">
        <f>G1508 - F1508</f>
        <v>184</v>
      </c>
      <c r="O1508">
        <v>1</v>
      </c>
    </row>
    <row r="1509" spans="1:15" x14ac:dyDescent="0.3">
      <c r="A1509" s="62" t="s">
        <v>2922</v>
      </c>
      <c r="B1509" s="77" t="s">
        <v>66</v>
      </c>
      <c r="C1509" s="77" t="s">
        <v>12</v>
      </c>
      <c r="D1509" s="62" t="s">
        <v>2923</v>
      </c>
      <c r="E1509" s="62" t="s">
        <v>1438</v>
      </c>
      <c r="F1509" s="79">
        <v>44774</v>
      </c>
      <c r="G1509" s="79">
        <v>44956</v>
      </c>
      <c r="H1509" s="32" t="str">
        <f t="shared" si="53"/>
        <v>ODD</v>
      </c>
      <c r="I1509" s="108">
        <v>0</v>
      </c>
      <c r="J1509" s="60" t="str">
        <f>UPPER(TEXT(F1509,"mmm")) &amp; " - " &amp; UPPER(TEXT(G1509,"mmm"))</f>
        <v>AUG - JAN</v>
      </c>
      <c r="K1509" s="60" t="s">
        <v>3133</v>
      </c>
      <c r="L1509" s="99" t="s">
        <v>3895</v>
      </c>
      <c r="M1509" s="32" t="str">
        <f t="shared" si="52"/>
        <v>No</v>
      </c>
      <c r="N1509" s="32">
        <f>G1509 - F1509</f>
        <v>182</v>
      </c>
      <c r="O1509">
        <v>1</v>
      </c>
    </row>
    <row r="1510" spans="1:15" x14ac:dyDescent="0.3">
      <c r="A1510" s="62" t="s">
        <v>2924</v>
      </c>
      <c r="B1510" s="77" t="s">
        <v>66</v>
      </c>
      <c r="C1510" s="77" t="s">
        <v>12</v>
      </c>
      <c r="D1510" s="62" t="s">
        <v>2925</v>
      </c>
      <c r="E1510" s="62" t="s">
        <v>2585</v>
      </c>
      <c r="F1510" s="79">
        <v>44792</v>
      </c>
      <c r="G1510" s="79">
        <v>44986</v>
      </c>
      <c r="H1510" s="32" t="str">
        <f t="shared" si="53"/>
        <v>ODD</v>
      </c>
      <c r="I1510" s="108">
        <v>1000</v>
      </c>
      <c r="J1510" s="60" t="str">
        <f>UPPER(TEXT(F1510,"mmm")) &amp; " - " &amp; UPPER(TEXT(G1510,"mmm"))</f>
        <v>AUG - MAR</v>
      </c>
      <c r="K1510" s="60" t="s">
        <v>3133</v>
      </c>
      <c r="L1510" s="99" t="s">
        <v>3895</v>
      </c>
      <c r="M1510" s="32" t="str">
        <f t="shared" si="52"/>
        <v>Yes</v>
      </c>
      <c r="N1510" s="32">
        <f>G1510 - F1510</f>
        <v>194</v>
      </c>
      <c r="O1510">
        <v>1</v>
      </c>
    </row>
    <row r="1511" spans="1:15" x14ac:dyDescent="0.3">
      <c r="A1511" s="62" t="s">
        <v>2434</v>
      </c>
      <c r="B1511" s="77" t="s">
        <v>66</v>
      </c>
      <c r="C1511" s="77" t="s">
        <v>12</v>
      </c>
      <c r="D1511" s="62" t="s">
        <v>2926</v>
      </c>
      <c r="E1511" s="62" t="s">
        <v>2927</v>
      </c>
      <c r="F1511" s="79">
        <v>44792</v>
      </c>
      <c r="G1511" s="79">
        <v>44958</v>
      </c>
      <c r="H1511" s="32" t="str">
        <f t="shared" si="53"/>
        <v>ODD</v>
      </c>
      <c r="I1511" s="108">
        <v>0</v>
      </c>
      <c r="J1511" s="60" t="str">
        <f>UPPER(TEXT(F1511,"mmm")) &amp; " - " &amp; UPPER(TEXT(G1511,"mmm"))</f>
        <v>AUG - FEB</v>
      </c>
      <c r="K1511" s="60" t="s">
        <v>3133</v>
      </c>
      <c r="L1511" s="99" t="s">
        <v>3895</v>
      </c>
      <c r="M1511" s="32" t="str">
        <f t="shared" si="52"/>
        <v>No</v>
      </c>
      <c r="N1511" s="32">
        <f>G1511 - F1511</f>
        <v>166</v>
      </c>
      <c r="O1511">
        <v>1</v>
      </c>
    </row>
    <row r="1512" spans="1:15" x14ac:dyDescent="0.3">
      <c r="A1512" s="62" t="s">
        <v>2928</v>
      </c>
      <c r="B1512" s="77" t="s">
        <v>66</v>
      </c>
      <c r="C1512" s="77" t="s">
        <v>12</v>
      </c>
      <c r="D1512" s="62" t="s">
        <v>2929</v>
      </c>
      <c r="E1512" s="62" t="s">
        <v>2930</v>
      </c>
      <c r="F1512" s="79">
        <v>44927</v>
      </c>
      <c r="G1512" s="79">
        <v>45107</v>
      </c>
      <c r="H1512" s="32" t="str">
        <f t="shared" si="53"/>
        <v>EVEN</v>
      </c>
      <c r="I1512" s="108">
        <v>25000</v>
      </c>
      <c r="J1512" s="60" t="str">
        <f>UPPER(TEXT(F1512,"mmm")) &amp; " - " &amp; UPPER(TEXT(G1512,"mmm"))</f>
        <v>JAN - JUN</v>
      </c>
      <c r="K1512" s="60" t="s">
        <v>3133</v>
      </c>
      <c r="L1512" s="99" t="s">
        <v>3895</v>
      </c>
      <c r="M1512" s="32" t="str">
        <f t="shared" si="52"/>
        <v>Yes</v>
      </c>
      <c r="N1512" s="32">
        <f>G1512 - F1512</f>
        <v>180</v>
      </c>
      <c r="O1512">
        <v>1</v>
      </c>
    </row>
    <row r="1513" spans="1:15" x14ac:dyDescent="0.3">
      <c r="A1513" s="62" t="s">
        <v>2931</v>
      </c>
      <c r="B1513" s="77" t="s">
        <v>66</v>
      </c>
      <c r="C1513" s="77" t="s">
        <v>12</v>
      </c>
      <c r="D1513" s="62" t="s">
        <v>2932</v>
      </c>
      <c r="E1513" s="62" t="s">
        <v>2933</v>
      </c>
      <c r="F1513" s="79">
        <v>44927</v>
      </c>
      <c r="G1513" s="79">
        <v>45138</v>
      </c>
      <c r="H1513" s="32" t="str">
        <f t="shared" si="53"/>
        <v>EVEN</v>
      </c>
      <c r="I1513" s="108">
        <v>0</v>
      </c>
      <c r="J1513" s="60" t="str">
        <f>UPPER(TEXT(F1513,"mmm")) &amp; " - " &amp; UPPER(TEXT(G1513,"mmm"))</f>
        <v>JAN - JUL</v>
      </c>
      <c r="K1513" s="60" t="s">
        <v>3133</v>
      </c>
      <c r="L1513" s="99" t="s">
        <v>3895</v>
      </c>
      <c r="M1513" s="32" t="str">
        <f t="shared" si="52"/>
        <v>No</v>
      </c>
      <c r="N1513" s="32">
        <f>G1513 - F1513</f>
        <v>211</v>
      </c>
      <c r="O1513">
        <v>1</v>
      </c>
    </row>
    <row r="1514" spans="1:15" x14ac:dyDescent="0.3">
      <c r="A1514" s="62" t="s">
        <v>2812</v>
      </c>
      <c r="B1514" s="77" t="s">
        <v>66</v>
      </c>
      <c r="C1514" s="77" t="s">
        <v>12</v>
      </c>
      <c r="D1514" s="62" t="s">
        <v>35</v>
      </c>
      <c r="E1514" s="62" t="s">
        <v>277</v>
      </c>
      <c r="F1514" s="79">
        <v>44958</v>
      </c>
      <c r="G1514" s="79">
        <v>45046</v>
      </c>
      <c r="H1514" s="32" t="str">
        <f t="shared" si="53"/>
        <v>EVEN</v>
      </c>
      <c r="I1514" s="108">
        <v>5000</v>
      </c>
      <c r="J1514" s="60" t="str">
        <f>UPPER(TEXT(F1514,"mmm")) &amp; " - " &amp; UPPER(TEXT(G1514,"mmm"))</f>
        <v>FEB - APR</v>
      </c>
      <c r="K1514" s="60" t="s">
        <v>3133</v>
      </c>
      <c r="L1514" s="99" t="s">
        <v>3895</v>
      </c>
      <c r="M1514" s="32" t="str">
        <f t="shared" si="52"/>
        <v>Yes</v>
      </c>
      <c r="N1514" s="32">
        <f>G1514 - F1514</f>
        <v>88</v>
      </c>
      <c r="O1514">
        <v>1</v>
      </c>
    </row>
    <row r="1515" spans="1:15" x14ac:dyDescent="0.3">
      <c r="A1515" s="62" t="s">
        <v>2934</v>
      </c>
      <c r="B1515" s="77" t="s">
        <v>66</v>
      </c>
      <c r="C1515" s="77" t="s">
        <v>12</v>
      </c>
      <c r="D1515" s="62" t="s">
        <v>2935</v>
      </c>
      <c r="E1515" s="62" t="s">
        <v>389</v>
      </c>
      <c r="F1515" s="79">
        <v>44958</v>
      </c>
      <c r="G1515" s="79">
        <v>45046</v>
      </c>
      <c r="H1515" s="32" t="str">
        <f t="shared" si="53"/>
        <v>EVEN</v>
      </c>
      <c r="I1515" s="108">
        <v>0</v>
      </c>
      <c r="J1515" s="60" t="str">
        <f>UPPER(TEXT(F1515,"mmm")) &amp; " - " &amp; UPPER(TEXT(G1515,"mmm"))</f>
        <v>FEB - APR</v>
      </c>
      <c r="K1515" s="60" t="s">
        <v>3133</v>
      </c>
      <c r="L1515" s="99" t="s">
        <v>3895</v>
      </c>
      <c r="M1515" s="32" t="str">
        <f t="shared" si="52"/>
        <v>No</v>
      </c>
      <c r="N1515" s="32">
        <f>G1515 - F1515</f>
        <v>88</v>
      </c>
      <c r="O1515">
        <v>1</v>
      </c>
    </row>
    <row r="1516" spans="1:15" x14ac:dyDescent="0.3">
      <c r="A1516" s="62" t="s">
        <v>1193</v>
      </c>
      <c r="B1516" s="77" t="s">
        <v>66</v>
      </c>
      <c r="C1516" s="77" t="s">
        <v>12</v>
      </c>
      <c r="D1516" s="62" t="s">
        <v>2935</v>
      </c>
      <c r="E1516" s="62" t="s">
        <v>389</v>
      </c>
      <c r="F1516" s="79">
        <v>44958</v>
      </c>
      <c r="G1516" s="79">
        <v>45046</v>
      </c>
      <c r="H1516" s="32" t="str">
        <f t="shared" si="53"/>
        <v>EVEN</v>
      </c>
      <c r="I1516" s="108">
        <v>0</v>
      </c>
      <c r="J1516" s="60" t="str">
        <f>UPPER(TEXT(F1516,"mmm")) &amp; " - " &amp; UPPER(TEXT(G1516,"mmm"))</f>
        <v>FEB - APR</v>
      </c>
      <c r="K1516" s="60" t="s">
        <v>3133</v>
      </c>
      <c r="L1516" s="99" t="s">
        <v>3895</v>
      </c>
      <c r="M1516" s="32" t="str">
        <f t="shared" si="52"/>
        <v>No</v>
      </c>
      <c r="N1516" s="32">
        <f>G1516 - F1516</f>
        <v>88</v>
      </c>
      <c r="O1516">
        <v>1</v>
      </c>
    </row>
    <row r="1517" spans="1:15" x14ac:dyDescent="0.3">
      <c r="A1517" s="62" t="s">
        <v>2936</v>
      </c>
      <c r="B1517" s="77" t="s">
        <v>66</v>
      </c>
      <c r="C1517" s="77" t="s">
        <v>12</v>
      </c>
      <c r="D1517" s="62" t="s">
        <v>2937</v>
      </c>
      <c r="E1517" s="62" t="s">
        <v>2938</v>
      </c>
      <c r="F1517" s="79">
        <v>45075</v>
      </c>
      <c r="G1517" s="79">
        <v>45136</v>
      </c>
      <c r="H1517" s="32" t="str">
        <f t="shared" si="53"/>
        <v>EVEN</v>
      </c>
      <c r="I1517" s="108">
        <v>0</v>
      </c>
      <c r="J1517" s="60" t="str">
        <f>UPPER(TEXT(F1517,"mmm")) &amp; " - " &amp; UPPER(TEXT(G1517,"mmm"))</f>
        <v>MAY - JUL</v>
      </c>
      <c r="K1517" s="60" t="s">
        <v>3133</v>
      </c>
      <c r="L1517" s="99" t="s">
        <v>3895</v>
      </c>
      <c r="M1517" s="32" t="str">
        <f t="shared" si="52"/>
        <v>No</v>
      </c>
      <c r="N1517" s="32">
        <f>G1517 - F1517</f>
        <v>61</v>
      </c>
      <c r="O1517">
        <v>1</v>
      </c>
    </row>
    <row r="1518" spans="1:15" x14ac:dyDescent="0.3">
      <c r="A1518" s="62" t="s">
        <v>2534</v>
      </c>
      <c r="B1518" s="77" t="s">
        <v>66</v>
      </c>
      <c r="C1518" s="77" t="s">
        <v>12</v>
      </c>
      <c r="D1518" s="62" t="s">
        <v>2939</v>
      </c>
      <c r="E1518" s="62" t="s">
        <v>2940</v>
      </c>
      <c r="F1518" s="79">
        <v>45078</v>
      </c>
      <c r="G1518" s="79">
        <v>45138</v>
      </c>
      <c r="H1518" s="32" t="str">
        <f t="shared" si="53"/>
        <v>EVEN</v>
      </c>
      <c r="I1518" s="108">
        <v>0</v>
      </c>
      <c r="J1518" s="60" t="str">
        <f>UPPER(TEXT(F1518,"mmm")) &amp; " - " &amp; UPPER(TEXT(G1518,"mmm"))</f>
        <v>JUN - JUL</v>
      </c>
      <c r="K1518" s="60" t="s">
        <v>3133</v>
      </c>
      <c r="L1518" s="99" t="s">
        <v>3895</v>
      </c>
      <c r="M1518" s="32" t="str">
        <f t="shared" si="52"/>
        <v>No</v>
      </c>
      <c r="N1518" s="32">
        <f>G1518 - F1518</f>
        <v>60</v>
      </c>
      <c r="O1518">
        <v>1</v>
      </c>
    </row>
    <row r="1519" spans="1:15" x14ac:dyDescent="0.3">
      <c r="A1519" s="62" t="s">
        <v>2836</v>
      </c>
      <c r="B1519" s="77" t="s">
        <v>66</v>
      </c>
      <c r="C1519" s="77" t="s">
        <v>12</v>
      </c>
      <c r="D1519" s="62" t="s">
        <v>2941</v>
      </c>
      <c r="E1519" s="62" t="s">
        <v>2942</v>
      </c>
      <c r="F1519" s="79">
        <v>45078</v>
      </c>
      <c r="G1519" s="79">
        <v>45138</v>
      </c>
      <c r="H1519" s="32" t="str">
        <f t="shared" si="53"/>
        <v>EVEN</v>
      </c>
      <c r="I1519" s="108">
        <v>0</v>
      </c>
      <c r="J1519" s="60" t="str">
        <f>UPPER(TEXT(F1519,"mmm")) &amp; " - " &amp; UPPER(TEXT(G1519,"mmm"))</f>
        <v>JUN - JUL</v>
      </c>
      <c r="K1519" s="60" t="s">
        <v>3133</v>
      </c>
      <c r="L1519" s="99" t="s">
        <v>3895</v>
      </c>
      <c r="M1519" s="32" t="str">
        <f t="shared" si="52"/>
        <v>No</v>
      </c>
      <c r="N1519" s="32">
        <f>G1519 - F1519</f>
        <v>60</v>
      </c>
      <c r="O1519">
        <v>1</v>
      </c>
    </row>
    <row r="1520" spans="1:15" x14ac:dyDescent="0.3">
      <c r="A1520" s="62" t="s">
        <v>2943</v>
      </c>
      <c r="B1520" s="77" t="s">
        <v>66</v>
      </c>
      <c r="C1520" s="77" t="s">
        <v>12</v>
      </c>
      <c r="D1520" s="62" t="s">
        <v>2944</v>
      </c>
      <c r="E1520" s="62" t="s">
        <v>958</v>
      </c>
      <c r="F1520" s="79">
        <v>45078</v>
      </c>
      <c r="G1520" s="79">
        <v>45137</v>
      </c>
      <c r="H1520" s="32" t="str">
        <f t="shared" si="53"/>
        <v>EVEN</v>
      </c>
      <c r="I1520" s="108">
        <v>0</v>
      </c>
      <c r="J1520" s="60" t="str">
        <f>UPPER(TEXT(F1520,"mmm")) &amp; " - " &amp; UPPER(TEXT(G1520,"mmm"))</f>
        <v>JUN - JUL</v>
      </c>
      <c r="K1520" s="60" t="s">
        <v>3133</v>
      </c>
      <c r="L1520" s="99" t="s">
        <v>3895</v>
      </c>
      <c r="M1520" s="32" t="str">
        <f t="shared" si="52"/>
        <v>No</v>
      </c>
      <c r="N1520" s="32">
        <f>G1520 - F1520</f>
        <v>59</v>
      </c>
      <c r="O1520">
        <v>1</v>
      </c>
    </row>
    <row r="1521" spans="1:15" x14ac:dyDescent="0.3">
      <c r="A1521" s="62" t="s">
        <v>2437</v>
      </c>
      <c r="B1521" s="77" t="s">
        <v>66</v>
      </c>
      <c r="C1521" s="77" t="s">
        <v>12</v>
      </c>
      <c r="D1521" s="62" t="s">
        <v>2945</v>
      </c>
      <c r="E1521" s="62" t="s">
        <v>393</v>
      </c>
      <c r="F1521" s="79">
        <v>45081</v>
      </c>
      <c r="G1521" s="79">
        <v>45142</v>
      </c>
      <c r="H1521" s="32" t="str">
        <f t="shared" si="53"/>
        <v>EVEN</v>
      </c>
      <c r="I1521" s="108">
        <v>0</v>
      </c>
      <c r="J1521" s="60" t="str">
        <f>UPPER(TEXT(F1521,"mmm")) &amp; " - " &amp; UPPER(TEXT(G1521,"mmm"))</f>
        <v>JUN - AUG</v>
      </c>
      <c r="K1521" s="60" t="s">
        <v>3133</v>
      </c>
      <c r="L1521" s="99" t="s">
        <v>3895</v>
      </c>
      <c r="M1521" s="32" t="str">
        <f t="shared" si="52"/>
        <v>No</v>
      </c>
      <c r="N1521" s="32">
        <f>G1521 - F1521</f>
        <v>61</v>
      </c>
      <c r="O1521">
        <v>1</v>
      </c>
    </row>
    <row r="1522" spans="1:15" x14ac:dyDescent="0.3">
      <c r="A1522" s="62" t="s">
        <v>2094</v>
      </c>
      <c r="B1522" s="77" t="s">
        <v>66</v>
      </c>
      <c r="C1522" s="77" t="s">
        <v>12</v>
      </c>
      <c r="D1522" s="62" t="s">
        <v>2946</v>
      </c>
      <c r="E1522" s="62" t="s">
        <v>2947</v>
      </c>
      <c r="F1522" s="79">
        <v>45081</v>
      </c>
      <c r="G1522" s="79">
        <v>45173</v>
      </c>
      <c r="H1522" s="32" t="str">
        <f t="shared" si="53"/>
        <v>EVEN</v>
      </c>
      <c r="I1522" s="108">
        <v>0</v>
      </c>
      <c r="J1522" s="60" t="str">
        <f>UPPER(TEXT(F1522,"mmm")) &amp; " - " &amp; UPPER(TEXT(G1522,"mmm"))</f>
        <v>JUN - SEP</v>
      </c>
      <c r="K1522" s="60" t="s">
        <v>3133</v>
      </c>
      <c r="L1522" s="99" t="s">
        <v>3895</v>
      </c>
      <c r="M1522" s="32" t="str">
        <f t="shared" si="52"/>
        <v>No</v>
      </c>
      <c r="N1522" s="32">
        <f>G1522 - F1522</f>
        <v>92</v>
      </c>
      <c r="O1522">
        <v>1</v>
      </c>
    </row>
    <row r="1523" spans="1:15" x14ac:dyDescent="0.3">
      <c r="A1523" s="62" t="s">
        <v>2948</v>
      </c>
      <c r="B1523" s="77" t="s">
        <v>66</v>
      </c>
      <c r="C1523" s="77" t="s">
        <v>12</v>
      </c>
      <c r="D1523" s="62" t="s">
        <v>2949</v>
      </c>
      <c r="E1523" s="62" t="s">
        <v>2912</v>
      </c>
      <c r="F1523" s="79">
        <v>45082</v>
      </c>
      <c r="G1523" s="79">
        <v>45135</v>
      </c>
      <c r="H1523" s="32" t="str">
        <f t="shared" si="53"/>
        <v>EVEN</v>
      </c>
      <c r="I1523" s="108">
        <v>70000</v>
      </c>
      <c r="J1523" s="60" t="str">
        <f>UPPER(TEXT(F1523,"mmm")) &amp; " - " &amp; UPPER(TEXT(G1523,"mmm"))</f>
        <v>JUN - JUL</v>
      </c>
      <c r="K1523" s="60" t="s">
        <v>3133</v>
      </c>
      <c r="L1523" s="99" t="s">
        <v>3895</v>
      </c>
      <c r="M1523" s="32" t="str">
        <f t="shared" si="52"/>
        <v>Yes</v>
      </c>
      <c r="N1523" s="32">
        <f>G1523 - F1523</f>
        <v>53</v>
      </c>
      <c r="O1523">
        <v>1</v>
      </c>
    </row>
    <row r="1524" spans="1:15" x14ac:dyDescent="0.3">
      <c r="A1524" s="62" t="s">
        <v>2950</v>
      </c>
      <c r="B1524" s="77" t="s">
        <v>66</v>
      </c>
      <c r="C1524" s="77" t="s">
        <v>12</v>
      </c>
      <c r="D1524" s="62" t="s">
        <v>2951</v>
      </c>
      <c r="E1524" s="62" t="s">
        <v>2952</v>
      </c>
      <c r="F1524" s="79">
        <v>45082</v>
      </c>
      <c r="G1524" s="79">
        <v>45135</v>
      </c>
      <c r="H1524" s="32" t="str">
        <f t="shared" si="53"/>
        <v>EVEN</v>
      </c>
      <c r="I1524" s="108">
        <v>70000</v>
      </c>
      <c r="J1524" s="60" t="str">
        <f>UPPER(TEXT(F1524,"mmm")) &amp; " - " &amp; UPPER(TEXT(G1524,"mmm"))</f>
        <v>JUN - JUL</v>
      </c>
      <c r="K1524" s="60" t="s">
        <v>3133</v>
      </c>
      <c r="L1524" s="99" t="s">
        <v>3895</v>
      </c>
      <c r="M1524" s="32" t="str">
        <f t="shared" si="52"/>
        <v>Yes</v>
      </c>
      <c r="N1524" s="32">
        <f>G1524 - F1524</f>
        <v>53</v>
      </c>
      <c r="O1524">
        <v>1</v>
      </c>
    </row>
    <row r="1525" spans="1:15" x14ac:dyDescent="0.3">
      <c r="A1525" s="62" t="s">
        <v>2425</v>
      </c>
      <c r="B1525" s="77" t="s">
        <v>66</v>
      </c>
      <c r="C1525" s="77" t="s">
        <v>12</v>
      </c>
      <c r="D1525" s="62" t="s">
        <v>2953</v>
      </c>
      <c r="E1525" s="62" t="s">
        <v>2954</v>
      </c>
      <c r="F1525" s="79">
        <v>45082</v>
      </c>
      <c r="G1525" s="79">
        <v>45141</v>
      </c>
      <c r="H1525" s="32" t="str">
        <f t="shared" si="53"/>
        <v>EVEN</v>
      </c>
      <c r="I1525" s="108">
        <v>14000</v>
      </c>
      <c r="J1525" s="60" t="str">
        <f>UPPER(TEXT(F1525,"mmm")) &amp; " - " &amp; UPPER(TEXT(G1525,"mmm"))</f>
        <v>JUN - AUG</v>
      </c>
      <c r="K1525" s="60" t="s">
        <v>3133</v>
      </c>
      <c r="L1525" s="99" t="s">
        <v>3895</v>
      </c>
      <c r="M1525" s="32" t="str">
        <f t="shared" si="52"/>
        <v>Yes</v>
      </c>
      <c r="N1525" s="32">
        <f>G1525 - F1525</f>
        <v>59</v>
      </c>
      <c r="O1525">
        <v>1</v>
      </c>
    </row>
    <row r="1526" spans="1:15" x14ac:dyDescent="0.3">
      <c r="A1526" s="62" t="s">
        <v>2955</v>
      </c>
      <c r="B1526" s="77" t="s">
        <v>66</v>
      </c>
      <c r="C1526" s="77" t="s">
        <v>12</v>
      </c>
      <c r="D1526" s="62" t="s">
        <v>2956</v>
      </c>
      <c r="E1526" s="62" t="s">
        <v>2957</v>
      </c>
      <c r="F1526" s="79">
        <v>45082</v>
      </c>
      <c r="G1526" s="79">
        <v>45169</v>
      </c>
      <c r="H1526" s="32" t="str">
        <f t="shared" si="53"/>
        <v>EVEN</v>
      </c>
      <c r="I1526" s="108">
        <v>0</v>
      </c>
      <c r="J1526" s="60" t="str">
        <f>UPPER(TEXT(F1526,"mmm")) &amp; " - " &amp; UPPER(TEXT(G1526,"mmm"))</f>
        <v>JUN - AUG</v>
      </c>
      <c r="K1526" s="60" t="s">
        <v>3133</v>
      </c>
      <c r="L1526" s="99" t="s">
        <v>3895</v>
      </c>
      <c r="M1526" s="32" t="str">
        <f t="shared" si="52"/>
        <v>No</v>
      </c>
      <c r="N1526" s="32">
        <f>G1526 - F1526</f>
        <v>87</v>
      </c>
      <c r="O1526">
        <v>1</v>
      </c>
    </row>
    <row r="1527" spans="1:15" x14ac:dyDescent="0.3">
      <c r="A1527" s="62" t="s">
        <v>1849</v>
      </c>
      <c r="B1527" s="77" t="s">
        <v>66</v>
      </c>
      <c r="C1527" s="77" t="s">
        <v>12</v>
      </c>
      <c r="D1527" s="62" t="s">
        <v>2958</v>
      </c>
      <c r="E1527" s="62" t="s">
        <v>2269</v>
      </c>
      <c r="F1527" s="79">
        <v>45082</v>
      </c>
      <c r="G1527" s="79">
        <v>45135</v>
      </c>
      <c r="H1527" s="32" t="str">
        <f t="shared" si="53"/>
        <v>EVEN</v>
      </c>
      <c r="I1527" s="108">
        <v>70000</v>
      </c>
      <c r="J1527" s="60" t="str">
        <f>UPPER(TEXT(F1527,"mmm")) &amp; " - " &amp; UPPER(TEXT(G1527,"mmm"))</f>
        <v>JUN - JUL</v>
      </c>
      <c r="K1527" s="60" t="s">
        <v>3133</v>
      </c>
      <c r="L1527" s="99" t="s">
        <v>3895</v>
      </c>
      <c r="M1527" s="32" t="str">
        <f t="shared" si="52"/>
        <v>Yes</v>
      </c>
      <c r="N1527" s="32">
        <f>G1527 - F1527</f>
        <v>53</v>
      </c>
      <c r="O1527">
        <v>1</v>
      </c>
    </row>
    <row r="1528" spans="1:15" x14ac:dyDescent="0.3">
      <c r="A1528" s="62" t="s">
        <v>2959</v>
      </c>
      <c r="B1528" s="77" t="s">
        <v>66</v>
      </c>
      <c r="C1528" s="77" t="s">
        <v>12</v>
      </c>
      <c r="D1528" s="62" t="s">
        <v>2960</v>
      </c>
      <c r="E1528" s="62" t="s">
        <v>2899</v>
      </c>
      <c r="F1528" s="79">
        <v>45082</v>
      </c>
      <c r="G1528" s="79">
        <v>45128</v>
      </c>
      <c r="H1528" s="32" t="str">
        <f t="shared" si="53"/>
        <v>EVEN</v>
      </c>
      <c r="I1528" s="108">
        <v>6000</v>
      </c>
      <c r="J1528" s="60" t="str">
        <f>UPPER(TEXT(F1528,"mmm")) &amp; " - " &amp; UPPER(TEXT(G1528,"mmm"))</f>
        <v>JUN - JUL</v>
      </c>
      <c r="K1528" s="60" t="s">
        <v>3133</v>
      </c>
      <c r="L1528" s="99" t="s">
        <v>3895</v>
      </c>
      <c r="M1528" s="32" t="str">
        <f t="shared" si="52"/>
        <v>Yes</v>
      </c>
      <c r="N1528" s="32">
        <f>G1528 - F1528</f>
        <v>46</v>
      </c>
      <c r="O1528">
        <v>1</v>
      </c>
    </row>
    <row r="1529" spans="1:15" x14ac:dyDescent="0.3">
      <c r="A1529" s="62" t="s">
        <v>2961</v>
      </c>
      <c r="B1529" s="77" t="s">
        <v>66</v>
      </c>
      <c r="C1529" s="77" t="s">
        <v>12</v>
      </c>
      <c r="D1529" s="62" t="s">
        <v>2956</v>
      </c>
      <c r="E1529" s="62" t="s">
        <v>2957</v>
      </c>
      <c r="F1529" s="79">
        <v>45082</v>
      </c>
      <c r="G1529" s="79">
        <v>45169</v>
      </c>
      <c r="H1529" s="32" t="str">
        <f t="shared" si="53"/>
        <v>EVEN</v>
      </c>
      <c r="I1529" s="108">
        <v>0</v>
      </c>
      <c r="J1529" s="60" t="str">
        <f>UPPER(TEXT(F1529,"mmm")) &amp; " - " &amp; UPPER(TEXT(G1529,"mmm"))</f>
        <v>JUN - AUG</v>
      </c>
      <c r="K1529" s="60" t="s">
        <v>3133</v>
      </c>
      <c r="L1529" s="99" t="s">
        <v>3895</v>
      </c>
      <c r="M1529" s="32" t="str">
        <f t="shared" si="52"/>
        <v>No</v>
      </c>
      <c r="N1529" s="32">
        <f>G1529 - F1529</f>
        <v>87</v>
      </c>
      <c r="O1529">
        <v>1</v>
      </c>
    </row>
    <row r="1530" spans="1:15" x14ac:dyDescent="0.3">
      <c r="A1530" s="62" t="s">
        <v>2962</v>
      </c>
      <c r="B1530" s="77" t="s">
        <v>66</v>
      </c>
      <c r="C1530" s="77" t="s">
        <v>12</v>
      </c>
      <c r="D1530" s="62" t="s">
        <v>2963</v>
      </c>
      <c r="E1530" s="62" t="s">
        <v>2964</v>
      </c>
      <c r="F1530" s="79">
        <v>45082</v>
      </c>
      <c r="G1530" s="79">
        <v>45135</v>
      </c>
      <c r="H1530" s="32" t="str">
        <f t="shared" si="53"/>
        <v>EVEN</v>
      </c>
      <c r="I1530" s="108">
        <v>0</v>
      </c>
      <c r="J1530" s="60" t="str">
        <f>UPPER(TEXT(F1530,"mmm")) &amp; " - " &amp; UPPER(TEXT(G1530,"mmm"))</f>
        <v>JUN - JUL</v>
      </c>
      <c r="K1530" s="60" t="s">
        <v>3133</v>
      </c>
      <c r="L1530" s="99" t="s">
        <v>3895</v>
      </c>
      <c r="M1530" s="32" t="str">
        <f t="shared" si="52"/>
        <v>No</v>
      </c>
      <c r="N1530" s="32">
        <f>G1530 - F1530</f>
        <v>53</v>
      </c>
      <c r="O1530">
        <v>1</v>
      </c>
    </row>
    <row r="1531" spans="1:15" x14ac:dyDescent="0.3">
      <c r="A1531" s="62" t="s">
        <v>2434</v>
      </c>
      <c r="B1531" s="77" t="s">
        <v>66</v>
      </c>
      <c r="C1531" s="77" t="s">
        <v>12</v>
      </c>
      <c r="D1531" s="62" t="s">
        <v>2965</v>
      </c>
      <c r="E1531" s="62" t="s">
        <v>2966</v>
      </c>
      <c r="F1531" s="79">
        <v>45082</v>
      </c>
      <c r="G1531" s="79">
        <v>45143</v>
      </c>
      <c r="H1531" s="32" t="str">
        <f t="shared" si="53"/>
        <v>EVEN</v>
      </c>
      <c r="I1531" s="108">
        <v>20000</v>
      </c>
      <c r="J1531" s="60" t="str">
        <f>UPPER(TEXT(F1531,"mmm")) &amp; " - " &amp; UPPER(TEXT(G1531,"mmm"))</f>
        <v>JUN - AUG</v>
      </c>
      <c r="K1531" s="60" t="s">
        <v>3133</v>
      </c>
      <c r="L1531" s="99" t="s">
        <v>3895</v>
      </c>
      <c r="M1531" s="32" t="str">
        <f t="shared" si="52"/>
        <v>Yes</v>
      </c>
      <c r="N1531" s="32">
        <f>G1531 - F1531</f>
        <v>61</v>
      </c>
      <c r="O1531">
        <v>1</v>
      </c>
    </row>
    <row r="1532" spans="1:15" x14ac:dyDescent="0.3">
      <c r="A1532" s="62" t="s">
        <v>360</v>
      </c>
      <c r="B1532" s="77" t="s">
        <v>66</v>
      </c>
      <c r="C1532" s="77" t="s">
        <v>12</v>
      </c>
      <c r="D1532" s="62" t="s">
        <v>2967</v>
      </c>
      <c r="E1532" s="62" t="s">
        <v>2366</v>
      </c>
      <c r="F1532" s="79">
        <v>45083</v>
      </c>
      <c r="G1532" s="79">
        <v>45142</v>
      </c>
      <c r="H1532" s="32" t="str">
        <f t="shared" si="53"/>
        <v>EVEN</v>
      </c>
      <c r="I1532" s="108">
        <v>25000</v>
      </c>
      <c r="J1532" s="60" t="str">
        <f>UPPER(TEXT(F1532,"mmm")) &amp; " - " &amp; UPPER(TEXT(G1532,"mmm"))</f>
        <v>JUN - AUG</v>
      </c>
      <c r="K1532" s="60" t="s">
        <v>3133</v>
      </c>
      <c r="L1532" s="99" t="s">
        <v>3895</v>
      </c>
      <c r="M1532" s="32" t="str">
        <f t="shared" si="52"/>
        <v>Yes</v>
      </c>
      <c r="N1532" s="32">
        <f>G1532 - F1532</f>
        <v>59</v>
      </c>
      <c r="O1532">
        <v>1</v>
      </c>
    </row>
    <row r="1533" spans="1:15" x14ac:dyDescent="0.3">
      <c r="A1533" s="62" t="s">
        <v>2238</v>
      </c>
      <c r="B1533" s="77" t="s">
        <v>66</v>
      </c>
      <c r="C1533" s="77" t="s">
        <v>12</v>
      </c>
      <c r="D1533" s="62" t="s">
        <v>2968</v>
      </c>
      <c r="E1533" s="62" t="s">
        <v>2969</v>
      </c>
      <c r="F1533" s="79">
        <v>45085</v>
      </c>
      <c r="G1533" s="79">
        <v>45141</v>
      </c>
      <c r="H1533" s="32" t="str">
        <f t="shared" si="53"/>
        <v>EVEN</v>
      </c>
      <c r="I1533" s="108">
        <v>25000</v>
      </c>
      <c r="J1533" s="60" t="str">
        <f>UPPER(TEXT(F1533,"mmm")) &amp; " - " &amp; UPPER(TEXT(G1533,"mmm"))</f>
        <v>JUN - AUG</v>
      </c>
      <c r="K1533" s="60" t="s">
        <v>3133</v>
      </c>
      <c r="L1533" s="99" t="s">
        <v>3895</v>
      </c>
      <c r="M1533" s="32" t="str">
        <f t="shared" si="52"/>
        <v>Yes</v>
      </c>
      <c r="N1533" s="32">
        <f>G1533 - F1533</f>
        <v>56</v>
      </c>
      <c r="O1533">
        <v>1</v>
      </c>
    </row>
    <row r="1534" spans="1:15" x14ac:dyDescent="0.3">
      <c r="A1534" s="62" t="s">
        <v>2970</v>
      </c>
      <c r="B1534" s="77" t="s">
        <v>66</v>
      </c>
      <c r="C1534" s="77" t="s">
        <v>12</v>
      </c>
      <c r="D1534" s="62" t="s">
        <v>2971</v>
      </c>
      <c r="E1534" s="62" t="s">
        <v>2972</v>
      </c>
      <c r="F1534" s="79">
        <v>45089</v>
      </c>
      <c r="G1534" s="79">
        <v>45163</v>
      </c>
      <c r="H1534" s="32" t="str">
        <f t="shared" si="53"/>
        <v>EVEN</v>
      </c>
      <c r="I1534" s="108">
        <v>25000</v>
      </c>
      <c r="J1534" s="60" t="str">
        <f>UPPER(TEXT(F1534,"mmm")) &amp; " - " &amp; UPPER(TEXT(G1534,"mmm"))</f>
        <v>JUN - AUG</v>
      </c>
      <c r="K1534" s="60" t="s">
        <v>3133</v>
      </c>
      <c r="L1534" s="99" t="s">
        <v>3895</v>
      </c>
      <c r="M1534" s="32" t="str">
        <f t="shared" si="52"/>
        <v>Yes</v>
      </c>
      <c r="N1534" s="32">
        <f>G1534 - F1534</f>
        <v>74</v>
      </c>
      <c r="O1534">
        <v>1</v>
      </c>
    </row>
    <row r="1535" spans="1:15" x14ac:dyDescent="0.3">
      <c r="A1535" s="62" t="s">
        <v>2691</v>
      </c>
      <c r="B1535" s="77" t="s">
        <v>66</v>
      </c>
      <c r="C1535" s="77" t="s">
        <v>12</v>
      </c>
      <c r="D1535" s="62" t="s">
        <v>2973</v>
      </c>
      <c r="E1535" s="62" t="s">
        <v>2974</v>
      </c>
      <c r="F1535" s="79">
        <v>45089</v>
      </c>
      <c r="G1535" s="79">
        <v>45149</v>
      </c>
      <c r="H1535" s="32" t="str">
        <f t="shared" si="53"/>
        <v>EVEN</v>
      </c>
      <c r="I1535" s="108">
        <v>0</v>
      </c>
      <c r="J1535" s="60" t="str">
        <f>UPPER(TEXT(F1535,"mmm")) &amp; " - " &amp; UPPER(TEXT(G1535,"mmm"))</f>
        <v>JUN - AUG</v>
      </c>
      <c r="K1535" s="60" t="s">
        <v>3133</v>
      </c>
      <c r="L1535" s="99" t="s">
        <v>3895</v>
      </c>
      <c r="M1535" s="32" t="str">
        <f t="shared" si="52"/>
        <v>No</v>
      </c>
      <c r="N1535" s="32">
        <f>G1535 - F1535</f>
        <v>60</v>
      </c>
      <c r="O1535">
        <v>1</v>
      </c>
    </row>
    <row r="1536" spans="1:15" x14ac:dyDescent="0.3">
      <c r="A1536" s="62" t="s">
        <v>2975</v>
      </c>
      <c r="B1536" s="77" t="s">
        <v>66</v>
      </c>
      <c r="C1536" s="77" t="s">
        <v>12</v>
      </c>
      <c r="D1536" s="62" t="s">
        <v>2976</v>
      </c>
      <c r="E1536" s="62" t="s">
        <v>277</v>
      </c>
      <c r="F1536" s="79">
        <v>45094</v>
      </c>
      <c r="G1536" s="79">
        <v>45140</v>
      </c>
      <c r="H1536" s="32" t="str">
        <f t="shared" si="53"/>
        <v>EVEN</v>
      </c>
      <c r="I1536" s="108">
        <v>0</v>
      </c>
      <c r="J1536" s="60" t="str">
        <f>UPPER(TEXT(F1536,"mmm")) &amp; " - " &amp; UPPER(TEXT(G1536,"mmm"))</f>
        <v>JUN - AUG</v>
      </c>
      <c r="K1536" s="60" t="s">
        <v>3133</v>
      </c>
      <c r="L1536" s="99" t="s">
        <v>3895</v>
      </c>
      <c r="M1536" s="32" t="str">
        <f t="shared" si="52"/>
        <v>No</v>
      </c>
      <c r="N1536" s="32">
        <f>G1536 - F1536</f>
        <v>46</v>
      </c>
      <c r="O1536">
        <v>1</v>
      </c>
    </row>
    <row r="1537" spans="1:17" x14ac:dyDescent="0.3">
      <c r="A1537" s="62" t="s">
        <v>2179</v>
      </c>
      <c r="B1537" s="77" t="s">
        <v>66</v>
      </c>
      <c r="C1537" s="77" t="s">
        <v>12</v>
      </c>
      <c r="D1537" s="62" t="s">
        <v>2977</v>
      </c>
      <c r="E1537" s="62" t="s">
        <v>2978</v>
      </c>
      <c r="F1537" s="79">
        <v>45099</v>
      </c>
      <c r="G1537" s="79">
        <v>45169</v>
      </c>
      <c r="H1537" s="32" t="str">
        <f t="shared" si="53"/>
        <v>EVEN</v>
      </c>
      <c r="I1537" s="108">
        <v>0</v>
      </c>
      <c r="J1537" s="60" t="str">
        <f>UPPER(TEXT(F1537,"mmm")) &amp; " - " &amp; UPPER(TEXT(G1537,"mmm"))</f>
        <v>JUN - AUG</v>
      </c>
      <c r="K1537" s="60" t="s">
        <v>3133</v>
      </c>
      <c r="L1537" s="99" t="s">
        <v>3895</v>
      </c>
      <c r="M1537" s="32" t="str">
        <f t="shared" ref="M1537:M1600" si="54">IF(I1537 &gt; 0, "Yes", "No")</f>
        <v>No</v>
      </c>
      <c r="N1537" s="32">
        <f>G1537 - F1537</f>
        <v>70</v>
      </c>
      <c r="O1537">
        <v>1</v>
      </c>
    </row>
    <row r="1538" spans="1:17" x14ac:dyDescent="0.3">
      <c r="A1538" s="62" t="s">
        <v>2095</v>
      </c>
      <c r="B1538" s="77" t="s">
        <v>66</v>
      </c>
      <c r="C1538" s="77" t="s">
        <v>12</v>
      </c>
      <c r="D1538" s="62" t="s">
        <v>2092</v>
      </c>
      <c r="E1538" s="62" t="s">
        <v>2979</v>
      </c>
      <c r="F1538" s="79">
        <v>44816</v>
      </c>
      <c r="G1538" s="79">
        <v>45153</v>
      </c>
      <c r="H1538" s="32" t="str">
        <f t="shared" si="53"/>
        <v>ODD</v>
      </c>
      <c r="I1538" s="108">
        <v>0</v>
      </c>
      <c r="J1538" s="60" t="str">
        <f>UPPER(TEXT(F1538,"mmm")) &amp; " - " &amp; UPPER(TEXT(G1538,"mmm"))</f>
        <v>SEP - AUG</v>
      </c>
      <c r="K1538" s="60" t="s">
        <v>3133</v>
      </c>
      <c r="L1538" s="77" t="s">
        <v>895</v>
      </c>
      <c r="M1538" s="32" t="str">
        <f t="shared" si="54"/>
        <v>No</v>
      </c>
      <c r="N1538" s="32">
        <f>G1538 - F1538</f>
        <v>337</v>
      </c>
      <c r="O1538">
        <v>1</v>
      </c>
    </row>
    <row r="1539" spans="1:17" x14ac:dyDescent="0.3">
      <c r="A1539" s="62" t="s">
        <v>2048</v>
      </c>
      <c r="B1539" s="77" t="s">
        <v>66</v>
      </c>
      <c r="C1539" s="77" t="s">
        <v>12</v>
      </c>
      <c r="D1539" s="62" t="s">
        <v>1233</v>
      </c>
      <c r="E1539" s="62" t="s">
        <v>2980</v>
      </c>
      <c r="F1539" s="79">
        <v>44713</v>
      </c>
      <c r="G1539" s="79">
        <v>44743</v>
      </c>
      <c r="H1539" s="32" t="str">
        <f t="shared" ref="H1539" si="55">IF((AND(F1539&gt;=DATE(2019,7,15),F1539&lt;=DATE(2019,12,31))),"ODD", "EVEN")</f>
        <v>EVEN</v>
      </c>
      <c r="I1539" s="108">
        <v>0</v>
      </c>
      <c r="J1539" s="3" t="str">
        <f>UPPER(TEXT(F1539,"mmm")) &amp; " - " &amp; UPPER(TEXT(G1539,"mmm"))</f>
        <v>JUN - JUL</v>
      </c>
      <c r="K1539" s="60" t="s">
        <v>3133</v>
      </c>
      <c r="L1539" s="77" t="s">
        <v>895</v>
      </c>
      <c r="M1539" s="32" t="str">
        <f t="shared" si="54"/>
        <v>No</v>
      </c>
      <c r="N1539" s="32">
        <f>G1539 - F1539</f>
        <v>30</v>
      </c>
      <c r="O1539">
        <v>1</v>
      </c>
      <c r="P1539" s="79"/>
      <c r="Q1539" s="79"/>
    </row>
    <row r="1540" spans="1:17" x14ac:dyDescent="0.3">
      <c r="A1540" s="62" t="s">
        <v>1830</v>
      </c>
      <c r="B1540" s="77" t="s">
        <v>66</v>
      </c>
      <c r="C1540" s="77" t="s">
        <v>12</v>
      </c>
      <c r="D1540" s="62" t="s">
        <v>2981</v>
      </c>
      <c r="E1540" s="62" t="s">
        <v>2982</v>
      </c>
      <c r="F1540" s="79">
        <v>44749</v>
      </c>
      <c r="G1540" s="79">
        <v>45114</v>
      </c>
      <c r="H1540" s="32" t="str">
        <f t="shared" si="53"/>
        <v>EVEN</v>
      </c>
      <c r="I1540" s="108">
        <v>0</v>
      </c>
      <c r="J1540" s="60" t="str">
        <f>UPPER(TEXT(F1540,"mmm")) &amp; " - " &amp; UPPER(TEXT(G1540,"mmm"))</f>
        <v>JUL - JUL</v>
      </c>
      <c r="K1540" s="60" t="s">
        <v>3133</v>
      </c>
      <c r="L1540" s="77" t="s">
        <v>895</v>
      </c>
      <c r="M1540" s="32" t="str">
        <f t="shared" si="54"/>
        <v>No</v>
      </c>
      <c r="N1540" s="32">
        <f>G1540 - F1540</f>
        <v>365</v>
      </c>
      <c r="O1540">
        <v>1</v>
      </c>
    </row>
    <row r="1541" spans="1:17" x14ac:dyDescent="0.3">
      <c r="A1541" s="62" t="s">
        <v>2670</v>
      </c>
      <c r="B1541" s="77" t="s">
        <v>66</v>
      </c>
      <c r="C1541" s="77" t="s">
        <v>12</v>
      </c>
      <c r="D1541" s="62" t="s">
        <v>2198</v>
      </c>
      <c r="E1541" s="62" t="s">
        <v>2983</v>
      </c>
      <c r="F1541" s="79">
        <v>44781</v>
      </c>
      <c r="G1541" s="79">
        <v>45051</v>
      </c>
      <c r="H1541" s="32" t="str">
        <f t="shared" si="53"/>
        <v>ODD</v>
      </c>
      <c r="I1541" s="108">
        <v>0</v>
      </c>
      <c r="J1541" s="60" t="str">
        <f>UPPER(TEXT(F1541,"mmm")) &amp; " - " &amp; UPPER(TEXT(G1541,"mmm"))</f>
        <v>AUG - MAY</v>
      </c>
      <c r="K1541" s="60" t="s">
        <v>3133</v>
      </c>
      <c r="L1541" s="77" t="s">
        <v>895</v>
      </c>
      <c r="M1541" s="32" t="str">
        <f t="shared" si="54"/>
        <v>No</v>
      </c>
      <c r="N1541" s="32">
        <f>G1541 - F1541</f>
        <v>270</v>
      </c>
      <c r="O1541">
        <v>1</v>
      </c>
    </row>
    <row r="1542" spans="1:17" x14ac:dyDescent="0.3">
      <c r="A1542" s="62" t="s">
        <v>2984</v>
      </c>
      <c r="B1542" s="77" t="s">
        <v>66</v>
      </c>
      <c r="C1542" s="77" t="s">
        <v>12</v>
      </c>
      <c r="D1542" s="62" t="s">
        <v>2198</v>
      </c>
      <c r="E1542" s="62" t="s">
        <v>2985</v>
      </c>
      <c r="F1542" s="79">
        <v>44781</v>
      </c>
      <c r="G1542" s="79">
        <v>45051</v>
      </c>
      <c r="H1542" s="32" t="str">
        <f t="shared" si="53"/>
        <v>ODD</v>
      </c>
      <c r="I1542" s="108">
        <v>0</v>
      </c>
      <c r="J1542" s="60" t="str">
        <f>UPPER(TEXT(F1542,"mmm")) &amp; " - " &amp; UPPER(TEXT(G1542,"mmm"))</f>
        <v>AUG - MAY</v>
      </c>
      <c r="K1542" s="60" t="s">
        <v>3133</v>
      </c>
      <c r="L1542" s="77" t="s">
        <v>895</v>
      </c>
      <c r="M1542" s="32" t="str">
        <f t="shared" si="54"/>
        <v>No</v>
      </c>
      <c r="N1542" s="32">
        <f>G1542 - F1542</f>
        <v>270</v>
      </c>
      <c r="O1542">
        <v>1</v>
      </c>
    </row>
    <row r="1543" spans="1:17" x14ac:dyDescent="0.3">
      <c r="A1543" s="62" t="s">
        <v>2666</v>
      </c>
      <c r="B1543" s="77" t="s">
        <v>66</v>
      </c>
      <c r="C1543" s="77" t="s">
        <v>12</v>
      </c>
      <c r="D1543" s="62" t="s">
        <v>2986</v>
      </c>
      <c r="E1543" s="62" t="s">
        <v>2987</v>
      </c>
      <c r="F1543" s="79">
        <v>44795</v>
      </c>
      <c r="G1543" s="79">
        <v>45194</v>
      </c>
      <c r="H1543" s="32" t="str">
        <f t="shared" si="53"/>
        <v>ODD</v>
      </c>
      <c r="I1543" s="108">
        <v>0</v>
      </c>
      <c r="J1543" s="60" t="str">
        <f>UPPER(TEXT(F1543,"mmm")) &amp; " - " &amp; UPPER(TEXT(G1543,"mmm"))</f>
        <v>AUG - SEP</v>
      </c>
      <c r="K1543" s="60" t="s">
        <v>3133</v>
      </c>
      <c r="L1543" s="77" t="s">
        <v>895</v>
      </c>
      <c r="M1543" s="32" t="str">
        <f t="shared" si="54"/>
        <v>No</v>
      </c>
      <c r="N1543" s="32">
        <f>G1543 - F1543</f>
        <v>399</v>
      </c>
      <c r="O1543">
        <v>1</v>
      </c>
    </row>
    <row r="1544" spans="1:17" x14ac:dyDescent="0.3">
      <c r="A1544" s="62" t="s">
        <v>2959</v>
      </c>
      <c r="B1544" s="77" t="s">
        <v>66</v>
      </c>
      <c r="C1544" s="77" t="s">
        <v>12</v>
      </c>
      <c r="D1544" s="62" t="s">
        <v>2986</v>
      </c>
      <c r="E1544" s="62" t="s">
        <v>2987</v>
      </c>
      <c r="F1544" s="79">
        <v>44795</v>
      </c>
      <c r="G1544" s="79">
        <v>45194</v>
      </c>
      <c r="H1544" s="32" t="str">
        <f t="shared" si="53"/>
        <v>ODD</v>
      </c>
      <c r="I1544" s="108">
        <v>0</v>
      </c>
      <c r="J1544" s="60" t="str">
        <f>UPPER(TEXT(F1544,"mmm")) &amp; " - " &amp; UPPER(TEXT(G1544,"mmm"))</f>
        <v>AUG - SEP</v>
      </c>
      <c r="K1544" s="60" t="s">
        <v>3133</v>
      </c>
      <c r="L1544" s="77" t="s">
        <v>895</v>
      </c>
      <c r="M1544" s="32" t="str">
        <f t="shared" si="54"/>
        <v>No</v>
      </c>
      <c r="N1544" s="32">
        <f>G1544 - F1544</f>
        <v>399</v>
      </c>
      <c r="O1544">
        <v>1</v>
      </c>
    </row>
    <row r="1545" spans="1:17" x14ac:dyDescent="0.3">
      <c r="A1545" s="62" t="s">
        <v>2907</v>
      </c>
      <c r="B1545" s="77" t="s">
        <v>66</v>
      </c>
      <c r="C1545" s="77" t="s">
        <v>12</v>
      </c>
      <c r="D1545" s="62" t="s">
        <v>2988</v>
      </c>
      <c r="E1545" s="62" t="s">
        <v>1719</v>
      </c>
      <c r="F1545" s="79">
        <v>44805</v>
      </c>
      <c r="G1545" s="79">
        <v>44958</v>
      </c>
      <c r="H1545" s="32" t="str">
        <f t="shared" si="53"/>
        <v>ODD</v>
      </c>
      <c r="I1545" s="108">
        <v>0</v>
      </c>
      <c r="J1545" s="60" t="str">
        <f>UPPER(TEXT(F1545,"mmm")) &amp; " - " &amp; UPPER(TEXT(G1545,"mmm"))</f>
        <v>SEP - FEB</v>
      </c>
      <c r="K1545" s="60" t="s">
        <v>3133</v>
      </c>
      <c r="L1545" s="77" t="s">
        <v>895</v>
      </c>
      <c r="M1545" s="32" t="str">
        <f t="shared" si="54"/>
        <v>No</v>
      </c>
      <c r="N1545" s="32">
        <f>G1545 - F1545</f>
        <v>153</v>
      </c>
      <c r="O1545">
        <v>1</v>
      </c>
    </row>
    <row r="1546" spans="1:17" x14ac:dyDescent="0.3">
      <c r="A1546" s="62" t="s">
        <v>2425</v>
      </c>
      <c r="B1546" s="77" t="s">
        <v>66</v>
      </c>
      <c r="C1546" s="77" t="s">
        <v>12</v>
      </c>
      <c r="D1546" s="62" t="s">
        <v>2423</v>
      </c>
      <c r="E1546" s="62" t="s">
        <v>2989</v>
      </c>
      <c r="F1546" s="79">
        <v>44815</v>
      </c>
      <c r="G1546" s="79">
        <v>45076</v>
      </c>
      <c r="H1546" s="32" t="str">
        <f t="shared" si="53"/>
        <v>ODD</v>
      </c>
      <c r="I1546" s="108">
        <v>0</v>
      </c>
      <c r="J1546" s="60" t="str">
        <f>UPPER(TEXT(F1546,"mmm")) &amp; " - " &amp; UPPER(TEXT(G1546,"mmm"))</f>
        <v>SEP - MAY</v>
      </c>
      <c r="K1546" s="60" t="s">
        <v>3133</v>
      </c>
      <c r="L1546" s="77" t="s">
        <v>895</v>
      </c>
      <c r="M1546" s="32" t="str">
        <f t="shared" si="54"/>
        <v>No</v>
      </c>
      <c r="N1546" s="32">
        <f>G1546 - F1546</f>
        <v>261</v>
      </c>
      <c r="O1546">
        <v>1</v>
      </c>
    </row>
    <row r="1547" spans="1:17" x14ac:dyDescent="0.3">
      <c r="A1547" s="62" t="s">
        <v>2428</v>
      </c>
      <c r="B1547" s="77" t="s">
        <v>66</v>
      </c>
      <c r="C1547" s="77" t="s">
        <v>12</v>
      </c>
      <c r="D1547" s="62" t="s">
        <v>2990</v>
      </c>
      <c r="E1547" s="62" t="s">
        <v>2991</v>
      </c>
      <c r="F1547" s="79">
        <v>44815</v>
      </c>
      <c r="G1547" s="79">
        <v>45076</v>
      </c>
      <c r="H1547" s="32" t="str">
        <f t="shared" si="53"/>
        <v>ODD</v>
      </c>
      <c r="I1547" s="108">
        <v>0</v>
      </c>
      <c r="J1547" s="60" t="str">
        <f>UPPER(TEXT(F1547,"mmm")) &amp; " - " &amp; UPPER(TEXT(G1547,"mmm"))</f>
        <v>SEP - MAY</v>
      </c>
      <c r="K1547" s="60" t="s">
        <v>3133</v>
      </c>
      <c r="L1547" s="77" t="s">
        <v>895</v>
      </c>
      <c r="M1547" s="32" t="str">
        <f t="shared" si="54"/>
        <v>No</v>
      </c>
      <c r="N1547" s="32">
        <f>G1547 - F1547</f>
        <v>261</v>
      </c>
      <c r="O1547">
        <v>1</v>
      </c>
    </row>
    <row r="1548" spans="1:17" x14ac:dyDescent="0.3">
      <c r="A1548" s="62" t="s">
        <v>2094</v>
      </c>
      <c r="B1548" s="77" t="s">
        <v>66</v>
      </c>
      <c r="C1548" s="77" t="s">
        <v>12</v>
      </c>
      <c r="D1548" s="62" t="s">
        <v>2423</v>
      </c>
      <c r="E1548" s="62" t="s">
        <v>2992</v>
      </c>
      <c r="F1548" s="79">
        <v>44815</v>
      </c>
      <c r="G1548" s="79">
        <v>45076</v>
      </c>
      <c r="H1548" s="32" t="str">
        <f t="shared" si="53"/>
        <v>ODD</v>
      </c>
      <c r="I1548" s="108">
        <v>0</v>
      </c>
      <c r="J1548" s="60" t="str">
        <f>UPPER(TEXT(F1548,"mmm")) &amp; " - " &amp; UPPER(TEXT(G1548,"mmm"))</f>
        <v>SEP - MAY</v>
      </c>
      <c r="K1548" s="60" t="s">
        <v>3133</v>
      </c>
      <c r="L1548" s="77" t="s">
        <v>895</v>
      </c>
      <c r="M1548" s="32" t="str">
        <f t="shared" si="54"/>
        <v>No</v>
      </c>
      <c r="N1548" s="32">
        <f>G1548 - F1548</f>
        <v>261</v>
      </c>
      <c r="O1548">
        <v>1</v>
      </c>
    </row>
    <row r="1549" spans="1:17" x14ac:dyDescent="0.3">
      <c r="A1549" s="62" t="s">
        <v>2993</v>
      </c>
      <c r="B1549" s="77" t="s">
        <v>66</v>
      </c>
      <c r="C1549" s="77" t="s">
        <v>12</v>
      </c>
      <c r="D1549" s="62" t="s">
        <v>2092</v>
      </c>
      <c r="E1549" s="62" t="s">
        <v>2994</v>
      </c>
      <c r="F1549" s="79">
        <v>44816</v>
      </c>
      <c r="G1549" s="79">
        <v>45153</v>
      </c>
      <c r="H1549" s="32" t="str">
        <f t="shared" si="53"/>
        <v>ODD</v>
      </c>
      <c r="I1549" s="108">
        <v>0</v>
      </c>
      <c r="J1549" s="60" t="str">
        <f>UPPER(TEXT(F1549,"mmm")) &amp; " - " &amp; UPPER(TEXT(G1549,"mmm"))</f>
        <v>SEP - AUG</v>
      </c>
      <c r="K1549" s="60" t="s">
        <v>3133</v>
      </c>
      <c r="L1549" s="77" t="s">
        <v>895</v>
      </c>
      <c r="M1549" s="32" t="str">
        <f t="shared" si="54"/>
        <v>No</v>
      </c>
      <c r="N1549" s="32">
        <f>G1549 - F1549</f>
        <v>337</v>
      </c>
      <c r="O1549">
        <v>1</v>
      </c>
    </row>
    <row r="1550" spans="1:17" x14ac:dyDescent="0.3">
      <c r="A1550" s="62" t="s">
        <v>1349</v>
      </c>
      <c r="B1550" s="77" t="s">
        <v>66</v>
      </c>
      <c r="C1550" s="77" t="s">
        <v>12</v>
      </c>
      <c r="D1550" s="62" t="s">
        <v>2092</v>
      </c>
      <c r="E1550" s="62" t="s">
        <v>2995</v>
      </c>
      <c r="F1550" s="79">
        <v>44816</v>
      </c>
      <c r="G1550" s="79">
        <v>45153</v>
      </c>
      <c r="H1550" s="32" t="str">
        <f t="shared" si="53"/>
        <v>ODD</v>
      </c>
      <c r="I1550" s="108">
        <v>0</v>
      </c>
      <c r="J1550" s="60" t="str">
        <f>UPPER(TEXT(F1550,"mmm")) &amp; " - " &amp; UPPER(TEXT(G1550,"mmm"))</f>
        <v>SEP - AUG</v>
      </c>
      <c r="K1550" s="60" t="s">
        <v>3133</v>
      </c>
      <c r="L1550" s="77" t="s">
        <v>895</v>
      </c>
      <c r="M1550" s="32" t="str">
        <f t="shared" si="54"/>
        <v>No</v>
      </c>
      <c r="N1550" s="32">
        <f>G1550 - F1550</f>
        <v>337</v>
      </c>
      <c r="O1550">
        <v>1</v>
      </c>
    </row>
    <row r="1551" spans="1:17" x14ac:dyDescent="0.3">
      <c r="A1551" s="62" t="s">
        <v>2961</v>
      </c>
      <c r="B1551" s="77" t="s">
        <v>66</v>
      </c>
      <c r="C1551" s="77" t="s">
        <v>12</v>
      </c>
      <c r="D1551" s="62" t="s">
        <v>593</v>
      </c>
      <c r="E1551" s="62" t="s">
        <v>2996</v>
      </c>
      <c r="F1551" s="79">
        <v>44820</v>
      </c>
      <c r="G1551" s="79">
        <v>45006</v>
      </c>
      <c r="H1551" s="32" t="str">
        <f t="shared" si="53"/>
        <v>ODD</v>
      </c>
      <c r="I1551" s="108">
        <v>0</v>
      </c>
      <c r="J1551" s="60" t="str">
        <f>UPPER(TEXT(F1551,"mmm")) &amp; " - " &amp; UPPER(TEXT(G1551,"mmm"))</f>
        <v>SEP - MAR</v>
      </c>
      <c r="K1551" s="60" t="s">
        <v>3133</v>
      </c>
      <c r="L1551" s="77" t="s">
        <v>895</v>
      </c>
      <c r="M1551" s="32" t="str">
        <f t="shared" si="54"/>
        <v>No</v>
      </c>
      <c r="N1551" s="32">
        <f>G1551 - F1551</f>
        <v>186</v>
      </c>
      <c r="O1551">
        <v>1</v>
      </c>
    </row>
    <row r="1552" spans="1:17" x14ac:dyDescent="0.3">
      <c r="A1552" s="62" t="s">
        <v>2997</v>
      </c>
      <c r="B1552" s="77" t="s">
        <v>66</v>
      </c>
      <c r="C1552" s="77" t="s">
        <v>12</v>
      </c>
      <c r="D1552" s="62" t="s">
        <v>2423</v>
      </c>
      <c r="E1552" s="62" t="s">
        <v>2998</v>
      </c>
      <c r="F1552" s="79">
        <v>44625</v>
      </c>
      <c r="G1552" s="79">
        <v>44874</v>
      </c>
      <c r="H1552" s="32" t="str">
        <f t="shared" ref="H1552" si="56">IF((AND(F1552&gt;=DATE(2019,7,15),F1552&lt;=DATE(2019,12,31))),"ODD", "EVEN")</f>
        <v>EVEN</v>
      </c>
      <c r="I1552" s="108">
        <v>0</v>
      </c>
      <c r="J1552" s="3" t="str">
        <f>UPPER(TEXT(F1552,"mmm")) &amp; " - " &amp; UPPER(TEXT(G1552,"mmm"))</f>
        <v>MAR - NOV</v>
      </c>
      <c r="K1552" s="60" t="s">
        <v>3133</v>
      </c>
      <c r="L1552" s="77" t="s">
        <v>895</v>
      </c>
      <c r="M1552" s="32" t="str">
        <f t="shared" si="54"/>
        <v>No</v>
      </c>
      <c r="N1552" s="32">
        <f>G1552 - F1552</f>
        <v>249</v>
      </c>
      <c r="O1552">
        <v>1</v>
      </c>
      <c r="P1552" s="79"/>
      <c r="Q1552" s="79"/>
    </row>
    <row r="1553" spans="1:15" x14ac:dyDescent="0.3">
      <c r="A1553" s="62" t="s">
        <v>2670</v>
      </c>
      <c r="B1553" s="77" t="s">
        <v>66</v>
      </c>
      <c r="C1553" s="77" t="s">
        <v>12</v>
      </c>
      <c r="D1553" s="62" t="s">
        <v>598</v>
      </c>
      <c r="E1553" s="62" t="s">
        <v>2999</v>
      </c>
      <c r="F1553" s="79">
        <v>44927</v>
      </c>
      <c r="G1553" s="79">
        <v>45199</v>
      </c>
      <c r="H1553" s="32" t="str">
        <f t="shared" si="53"/>
        <v>EVEN</v>
      </c>
      <c r="I1553" s="108">
        <v>0</v>
      </c>
      <c r="J1553" s="60" t="str">
        <f>UPPER(TEXT(F1553,"mmm")) &amp; " - " &amp; UPPER(TEXT(G1553,"mmm"))</f>
        <v>JAN - SEP</v>
      </c>
      <c r="K1553" s="60" t="s">
        <v>3133</v>
      </c>
      <c r="L1553" s="77" t="s">
        <v>895</v>
      </c>
      <c r="M1553" s="32" t="str">
        <f t="shared" si="54"/>
        <v>No</v>
      </c>
      <c r="N1553" s="32">
        <f>G1553 - F1553</f>
        <v>272</v>
      </c>
      <c r="O1553">
        <v>1</v>
      </c>
    </row>
    <row r="1554" spans="1:15" x14ac:dyDescent="0.3">
      <c r="A1554" s="62" t="s">
        <v>2434</v>
      </c>
      <c r="B1554" s="77" t="s">
        <v>66</v>
      </c>
      <c r="C1554" s="77" t="s">
        <v>12</v>
      </c>
      <c r="D1554" s="62" t="s">
        <v>3000</v>
      </c>
      <c r="E1554" s="62" t="s">
        <v>3001</v>
      </c>
      <c r="F1554" s="79">
        <v>44927</v>
      </c>
      <c r="G1554" s="79">
        <v>44986</v>
      </c>
      <c r="H1554" s="32" t="str">
        <f t="shared" si="53"/>
        <v>EVEN</v>
      </c>
      <c r="I1554" s="108">
        <v>0</v>
      </c>
      <c r="J1554" s="60" t="str">
        <f>UPPER(TEXT(F1554,"mmm")) &amp; " - " &amp; UPPER(TEXT(G1554,"mmm"))</f>
        <v>JAN - MAR</v>
      </c>
      <c r="K1554" s="60" t="s">
        <v>3133</v>
      </c>
      <c r="L1554" s="77" t="s">
        <v>895</v>
      </c>
      <c r="M1554" s="32" t="str">
        <f t="shared" si="54"/>
        <v>No</v>
      </c>
      <c r="N1554" s="32">
        <f>G1554 - F1554</f>
        <v>59</v>
      </c>
      <c r="O1554">
        <v>1</v>
      </c>
    </row>
    <row r="1555" spans="1:15" x14ac:dyDescent="0.3">
      <c r="A1555" s="62" t="s">
        <v>3002</v>
      </c>
      <c r="B1555" s="77" t="s">
        <v>66</v>
      </c>
      <c r="C1555" s="77" t="s">
        <v>12</v>
      </c>
      <c r="D1555" s="62" t="s">
        <v>3003</v>
      </c>
      <c r="E1555" s="62" t="s">
        <v>3004</v>
      </c>
      <c r="F1555" s="79">
        <v>44985</v>
      </c>
      <c r="G1555" s="79">
        <v>45069</v>
      </c>
      <c r="H1555" s="32" t="str">
        <f t="shared" si="53"/>
        <v>EVEN</v>
      </c>
      <c r="I1555" s="108">
        <v>0</v>
      </c>
      <c r="J1555" s="60" t="str">
        <f>UPPER(TEXT(F1555,"mmm")) &amp; " - " &amp; UPPER(TEXT(G1555,"mmm"))</f>
        <v>FEB - MAY</v>
      </c>
      <c r="K1555" s="60" t="s">
        <v>3133</v>
      </c>
      <c r="L1555" s="77" t="s">
        <v>895</v>
      </c>
      <c r="M1555" s="32" t="str">
        <f t="shared" si="54"/>
        <v>No</v>
      </c>
      <c r="N1555" s="32">
        <f>G1555 - F1555</f>
        <v>84</v>
      </c>
      <c r="O1555">
        <v>1</v>
      </c>
    </row>
    <row r="1556" spans="1:15" x14ac:dyDescent="0.3">
      <c r="A1556" s="62" t="s">
        <v>3005</v>
      </c>
      <c r="B1556" s="77" t="s">
        <v>66</v>
      </c>
      <c r="C1556" s="77" t="s">
        <v>12</v>
      </c>
      <c r="D1556" s="62" t="s">
        <v>935</v>
      </c>
      <c r="E1556" s="62" t="s">
        <v>3006</v>
      </c>
      <c r="F1556" s="79">
        <v>44988</v>
      </c>
      <c r="G1556" s="79">
        <v>45050</v>
      </c>
      <c r="H1556" s="32" t="str">
        <f t="shared" si="53"/>
        <v>EVEN</v>
      </c>
      <c r="I1556" s="108">
        <v>0</v>
      </c>
      <c r="J1556" s="60" t="str">
        <f>UPPER(TEXT(F1556,"mmm")) &amp; " - " &amp; UPPER(TEXT(G1556,"mmm"))</f>
        <v>MAR - MAY</v>
      </c>
      <c r="K1556" s="60" t="s">
        <v>3133</v>
      </c>
      <c r="L1556" s="77" t="s">
        <v>895</v>
      </c>
      <c r="M1556" s="32" t="str">
        <f t="shared" si="54"/>
        <v>No</v>
      </c>
      <c r="N1556" s="32">
        <f>G1556 - F1556</f>
        <v>62</v>
      </c>
      <c r="O1556">
        <v>1</v>
      </c>
    </row>
    <row r="1557" spans="1:15" x14ac:dyDescent="0.3">
      <c r="A1557" s="62" t="s">
        <v>2670</v>
      </c>
      <c r="B1557" s="77" t="s">
        <v>66</v>
      </c>
      <c r="C1557" s="77" t="s">
        <v>12</v>
      </c>
      <c r="D1557" s="62" t="s">
        <v>2604</v>
      </c>
      <c r="E1557" s="62" t="s">
        <v>3007</v>
      </c>
      <c r="F1557" s="79">
        <v>45041</v>
      </c>
      <c r="G1557" s="79">
        <v>45071</v>
      </c>
      <c r="H1557" s="32" t="str">
        <f t="shared" si="53"/>
        <v>EVEN</v>
      </c>
      <c r="I1557" s="108">
        <v>0</v>
      </c>
      <c r="J1557" s="60" t="str">
        <f>UPPER(TEXT(F1557,"mmm")) &amp; " - " &amp; UPPER(TEXT(G1557,"mmm"))</f>
        <v>APR - MAY</v>
      </c>
      <c r="K1557" s="60" t="s">
        <v>3133</v>
      </c>
      <c r="L1557" s="77" t="s">
        <v>895</v>
      </c>
      <c r="M1557" s="32" t="str">
        <f t="shared" si="54"/>
        <v>No</v>
      </c>
      <c r="N1557" s="32">
        <f>G1557 - F1557</f>
        <v>30</v>
      </c>
      <c r="O1557">
        <v>1</v>
      </c>
    </row>
    <row r="1558" spans="1:15" x14ac:dyDescent="0.3">
      <c r="A1558" s="62" t="s">
        <v>2349</v>
      </c>
      <c r="B1558" s="77" t="s">
        <v>66</v>
      </c>
      <c r="C1558" s="77" t="s">
        <v>12</v>
      </c>
      <c r="D1558" s="62" t="s">
        <v>3008</v>
      </c>
      <c r="E1558" s="62" t="s">
        <v>3009</v>
      </c>
      <c r="F1558" s="79">
        <v>45078</v>
      </c>
      <c r="G1558" s="79">
        <v>45189</v>
      </c>
      <c r="H1558" s="32" t="str">
        <f t="shared" ref="H1558:H1621" si="57">IF(AND(F1558&gt;=DATE(2022,7,15), F1558&lt;=DATE(2022,12,31)), "ODD", "EVEN")</f>
        <v>EVEN</v>
      </c>
      <c r="I1558" s="108">
        <v>0</v>
      </c>
      <c r="J1558" s="60" t="str">
        <f>UPPER(TEXT(F1558,"mmm")) &amp; " - " &amp; UPPER(TEXT(G1558,"mmm"))</f>
        <v>JUN - SEP</v>
      </c>
      <c r="K1558" s="60" t="s">
        <v>3133</v>
      </c>
      <c r="L1558" s="77" t="s">
        <v>895</v>
      </c>
      <c r="M1558" s="32" t="str">
        <f t="shared" si="54"/>
        <v>No</v>
      </c>
      <c r="N1558" s="32">
        <f>G1558 - F1558</f>
        <v>111</v>
      </c>
      <c r="O1558">
        <v>1</v>
      </c>
    </row>
    <row r="1559" spans="1:15" x14ac:dyDescent="0.3">
      <c r="A1559" s="62" t="s">
        <v>2534</v>
      </c>
      <c r="B1559" s="77" t="s">
        <v>66</v>
      </c>
      <c r="C1559" s="77" t="s">
        <v>12</v>
      </c>
      <c r="D1559" s="62" t="s">
        <v>3010</v>
      </c>
      <c r="E1559" s="62" t="s">
        <v>3009</v>
      </c>
      <c r="F1559" s="79">
        <v>45078</v>
      </c>
      <c r="G1559" s="79">
        <v>45189</v>
      </c>
      <c r="H1559" s="32" t="str">
        <f t="shared" si="57"/>
        <v>EVEN</v>
      </c>
      <c r="I1559" s="108">
        <v>0</v>
      </c>
      <c r="J1559" s="60" t="str">
        <f>UPPER(TEXT(F1559,"mmm")) &amp; " - " &amp; UPPER(TEXT(G1559,"mmm"))</f>
        <v>JUN - SEP</v>
      </c>
      <c r="K1559" s="60" t="s">
        <v>3133</v>
      </c>
      <c r="L1559" s="77" t="s">
        <v>895</v>
      </c>
      <c r="M1559" s="32" t="str">
        <f t="shared" si="54"/>
        <v>No</v>
      </c>
      <c r="N1559" s="32">
        <f>G1559 - F1559</f>
        <v>111</v>
      </c>
      <c r="O1559">
        <v>1</v>
      </c>
    </row>
    <row r="1560" spans="1:15" x14ac:dyDescent="0.3">
      <c r="A1560" s="62" t="s">
        <v>2836</v>
      </c>
      <c r="B1560" s="77" t="s">
        <v>66</v>
      </c>
      <c r="C1560" s="77" t="s">
        <v>12</v>
      </c>
      <c r="D1560" s="62" t="s">
        <v>3011</v>
      </c>
      <c r="E1560" s="62" t="s">
        <v>3009</v>
      </c>
      <c r="F1560" s="79">
        <v>45078</v>
      </c>
      <c r="G1560" s="79">
        <v>45189</v>
      </c>
      <c r="H1560" s="32" t="str">
        <f t="shared" si="57"/>
        <v>EVEN</v>
      </c>
      <c r="I1560" s="108">
        <v>0</v>
      </c>
      <c r="J1560" s="60" t="str">
        <f>UPPER(TEXT(F1560,"mmm")) &amp; " - " &amp; UPPER(TEXT(G1560,"mmm"))</f>
        <v>JUN - SEP</v>
      </c>
      <c r="K1560" s="60" t="s">
        <v>3133</v>
      </c>
      <c r="L1560" s="77" t="s">
        <v>895</v>
      </c>
      <c r="M1560" s="32" t="str">
        <f t="shared" si="54"/>
        <v>No</v>
      </c>
      <c r="N1560" s="32">
        <f>G1560 - F1560</f>
        <v>111</v>
      </c>
      <c r="O1560">
        <v>1</v>
      </c>
    </row>
    <row r="1561" spans="1:15" x14ac:dyDescent="0.3">
      <c r="A1561" s="62" t="s">
        <v>3012</v>
      </c>
      <c r="B1561" s="77" t="s">
        <v>66</v>
      </c>
      <c r="C1561" s="77" t="s">
        <v>12</v>
      </c>
      <c r="D1561" s="62" t="s">
        <v>142</v>
      </c>
      <c r="E1561" s="62" t="s">
        <v>3013</v>
      </c>
      <c r="F1561" s="79">
        <v>45082</v>
      </c>
      <c r="G1561" s="79">
        <v>45122</v>
      </c>
      <c r="H1561" s="32" t="str">
        <f t="shared" si="57"/>
        <v>EVEN</v>
      </c>
      <c r="I1561" s="108">
        <v>0</v>
      </c>
      <c r="J1561" s="60" t="str">
        <f>UPPER(TEXT(F1561,"mmm")) &amp; " - " &amp; UPPER(TEXT(G1561,"mmm"))</f>
        <v>JUN - JUL</v>
      </c>
      <c r="K1561" s="60" t="s">
        <v>3133</v>
      </c>
      <c r="L1561" s="77" t="s">
        <v>895</v>
      </c>
      <c r="M1561" s="32" t="str">
        <f t="shared" si="54"/>
        <v>No</v>
      </c>
      <c r="N1561" s="32">
        <f>G1561 - F1561</f>
        <v>40</v>
      </c>
      <c r="O1561">
        <v>1</v>
      </c>
    </row>
    <row r="1562" spans="1:15" x14ac:dyDescent="0.3">
      <c r="A1562" s="62" t="s">
        <v>3014</v>
      </c>
      <c r="B1562" s="77" t="s">
        <v>78</v>
      </c>
      <c r="C1562" s="77" t="s">
        <v>12</v>
      </c>
      <c r="D1562" s="62" t="s">
        <v>1596</v>
      </c>
      <c r="E1562" s="62" t="s">
        <v>2323</v>
      </c>
      <c r="F1562" s="79">
        <v>44835</v>
      </c>
      <c r="G1562" s="79">
        <v>45138</v>
      </c>
      <c r="H1562" s="32" t="str">
        <f t="shared" si="57"/>
        <v>ODD</v>
      </c>
      <c r="I1562" s="108">
        <v>0</v>
      </c>
      <c r="J1562" s="60" t="str">
        <f>UPPER(TEXT(F1562,"mmm")) &amp; " - " &amp; UPPER(TEXT(G1562,"mmm"))</f>
        <v>OCT - JUL</v>
      </c>
      <c r="K1562" s="60" t="s">
        <v>3133</v>
      </c>
      <c r="L1562" s="77" t="s">
        <v>895</v>
      </c>
      <c r="M1562" s="32" t="str">
        <f t="shared" si="54"/>
        <v>No</v>
      </c>
      <c r="N1562" s="32">
        <f>G1562 - F1562</f>
        <v>303</v>
      </c>
      <c r="O1562">
        <v>1</v>
      </c>
    </row>
    <row r="1563" spans="1:15" x14ac:dyDescent="0.3">
      <c r="A1563" s="62" t="s">
        <v>3015</v>
      </c>
      <c r="B1563" s="77" t="s">
        <v>78</v>
      </c>
      <c r="C1563" s="77" t="s">
        <v>12</v>
      </c>
      <c r="D1563" s="62" t="s">
        <v>2423</v>
      </c>
      <c r="E1563" s="62" t="s">
        <v>3016</v>
      </c>
      <c r="F1563" s="79">
        <v>44874</v>
      </c>
      <c r="G1563" s="79">
        <v>45076</v>
      </c>
      <c r="H1563" s="32" t="str">
        <f t="shared" si="57"/>
        <v>ODD</v>
      </c>
      <c r="I1563" s="108">
        <v>0</v>
      </c>
      <c r="J1563" s="60" t="str">
        <f>UPPER(TEXT(F1563,"mmm")) &amp; " - " &amp; UPPER(TEXT(G1563,"mmm"))</f>
        <v>NOV - MAY</v>
      </c>
      <c r="K1563" s="60" t="s">
        <v>3133</v>
      </c>
      <c r="L1563" s="77" t="s">
        <v>895</v>
      </c>
      <c r="M1563" s="32" t="str">
        <f t="shared" si="54"/>
        <v>No</v>
      </c>
      <c r="N1563" s="32">
        <f>G1563 - F1563</f>
        <v>202</v>
      </c>
      <c r="O1563">
        <v>1</v>
      </c>
    </row>
    <row r="1564" spans="1:15" x14ac:dyDescent="0.3">
      <c r="A1564" s="62" t="s">
        <v>3017</v>
      </c>
      <c r="B1564" s="77" t="s">
        <v>78</v>
      </c>
      <c r="C1564" s="77" t="s">
        <v>12</v>
      </c>
      <c r="D1564" s="62" t="s">
        <v>3018</v>
      </c>
      <c r="E1564" s="62" t="s">
        <v>469</v>
      </c>
      <c r="F1564" s="79">
        <v>44986</v>
      </c>
      <c r="G1564" s="79">
        <v>45108</v>
      </c>
      <c r="H1564" s="32" t="str">
        <f t="shared" si="57"/>
        <v>EVEN</v>
      </c>
      <c r="I1564" s="108">
        <v>10000</v>
      </c>
      <c r="J1564" s="60" t="str">
        <f>UPPER(TEXT(F1564,"mmm")) &amp; " - " &amp; UPPER(TEXT(G1564,"mmm"))</f>
        <v>MAR - JUL</v>
      </c>
      <c r="K1564" s="60" t="s">
        <v>3133</v>
      </c>
      <c r="L1564" s="99" t="s">
        <v>3895</v>
      </c>
      <c r="M1564" s="32" t="str">
        <f t="shared" si="54"/>
        <v>Yes</v>
      </c>
      <c r="N1564" s="32">
        <f>G1564 - F1564</f>
        <v>122</v>
      </c>
      <c r="O1564">
        <v>1</v>
      </c>
    </row>
    <row r="1565" spans="1:15" x14ac:dyDescent="0.3">
      <c r="A1565" s="62" t="s">
        <v>3014</v>
      </c>
      <c r="B1565" s="77" t="s">
        <v>78</v>
      </c>
      <c r="C1565" s="77" t="s">
        <v>12</v>
      </c>
      <c r="D1565" s="62" t="s">
        <v>3019</v>
      </c>
      <c r="E1565" s="62" t="s">
        <v>3020</v>
      </c>
      <c r="F1565" s="79">
        <v>45103</v>
      </c>
      <c r="G1565" s="79">
        <v>45124</v>
      </c>
      <c r="H1565" s="32" t="str">
        <f t="shared" si="57"/>
        <v>EVEN</v>
      </c>
      <c r="I1565" s="108">
        <v>0</v>
      </c>
      <c r="J1565" s="60" t="str">
        <f>UPPER(TEXT(F1565,"mmm")) &amp; " - " &amp; UPPER(TEXT(G1565,"mmm"))</f>
        <v>JUN - JUL</v>
      </c>
      <c r="K1565" s="60" t="s">
        <v>3133</v>
      </c>
      <c r="L1565" s="99" t="s">
        <v>3895</v>
      </c>
      <c r="M1565" s="32" t="str">
        <f t="shared" si="54"/>
        <v>No</v>
      </c>
      <c r="N1565" s="32">
        <f>G1565 - F1565</f>
        <v>21</v>
      </c>
      <c r="O1565">
        <v>1</v>
      </c>
    </row>
    <row r="1566" spans="1:15" x14ac:dyDescent="0.3">
      <c r="A1566" s="62" t="s">
        <v>2026</v>
      </c>
      <c r="B1566" s="77" t="s">
        <v>66</v>
      </c>
      <c r="C1566" s="77" t="s">
        <v>12</v>
      </c>
      <c r="D1566" s="62" t="s">
        <v>3021</v>
      </c>
      <c r="E1566" s="62" t="s">
        <v>3022</v>
      </c>
      <c r="F1566" s="79">
        <v>44988</v>
      </c>
      <c r="G1566" s="79">
        <v>45050</v>
      </c>
      <c r="H1566" s="32" t="str">
        <f t="shared" si="57"/>
        <v>EVEN</v>
      </c>
      <c r="I1566" s="108">
        <v>0</v>
      </c>
      <c r="J1566" s="60" t="str">
        <f>UPPER(TEXT(F1566,"mmm")) &amp; " - " &amp; UPPER(TEXT(G1566,"mmm"))</f>
        <v>MAR - MAY</v>
      </c>
      <c r="K1566" s="60" t="s">
        <v>3133</v>
      </c>
      <c r="L1566" s="77" t="s">
        <v>895</v>
      </c>
      <c r="M1566" s="32" t="str">
        <f t="shared" si="54"/>
        <v>No</v>
      </c>
      <c r="N1566" s="32">
        <f>G1566 - F1566</f>
        <v>62</v>
      </c>
      <c r="O1566">
        <v>1</v>
      </c>
    </row>
    <row r="1567" spans="1:15" x14ac:dyDescent="0.3">
      <c r="A1567" s="62" t="s">
        <v>2601</v>
      </c>
      <c r="B1567" s="77" t="s">
        <v>66</v>
      </c>
      <c r="C1567" s="77" t="s">
        <v>12</v>
      </c>
      <c r="D1567" s="62" t="s">
        <v>260</v>
      </c>
      <c r="E1567" s="62" t="s">
        <v>1683</v>
      </c>
      <c r="F1567" s="79">
        <v>45019</v>
      </c>
      <c r="G1567" s="79">
        <v>45037</v>
      </c>
      <c r="H1567" s="32" t="str">
        <f t="shared" si="57"/>
        <v>EVEN</v>
      </c>
      <c r="I1567" s="108">
        <v>0</v>
      </c>
      <c r="J1567" s="60" t="str">
        <f>UPPER(TEXT(F1567,"mmm")) &amp; " - " &amp; UPPER(TEXT(G1567,"mmm"))</f>
        <v>APR - APR</v>
      </c>
      <c r="K1567" s="60" t="s">
        <v>3133</v>
      </c>
      <c r="L1567" s="99" t="s">
        <v>3895</v>
      </c>
      <c r="M1567" s="32" t="str">
        <f t="shared" si="54"/>
        <v>No</v>
      </c>
      <c r="N1567" s="32">
        <f>G1567 - F1567</f>
        <v>18</v>
      </c>
      <c r="O1567">
        <v>1</v>
      </c>
    </row>
    <row r="1568" spans="1:15" x14ac:dyDescent="0.3">
      <c r="A1568" s="62" t="s">
        <v>2570</v>
      </c>
      <c r="B1568" s="77" t="s">
        <v>66</v>
      </c>
      <c r="C1568" s="77" t="s">
        <v>12</v>
      </c>
      <c r="D1568" s="62" t="s">
        <v>1504</v>
      </c>
      <c r="E1568" s="62" t="s">
        <v>1503</v>
      </c>
      <c r="F1568" s="79">
        <v>44805</v>
      </c>
      <c r="G1568" s="79">
        <v>44834</v>
      </c>
      <c r="H1568" s="32" t="str">
        <f t="shared" si="57"/>
        <v>ODD</v>
      </c>
      <c r="I1568" s="108">
        <v>0</v>
      </c>
      <c r="J1568" s="60" t="str">
        <f>UPPER(TEXT(F1568,"mmm")) &amp; " - " &amp; UPPER(TEXT(G1568,"mmm"))</f>
        <v>SEP - SEP</v>
      </c>
      <c r="K1568" s="60" t="s">
        <v>3133</v>
      </c>
      <c r="L1568" s="99" t="s">
        <v>3895</v>
      </c>
      <c r="M1568" s="32" t="str">
        <f t="shared" si="54"/>
        <v>No</v>
      </c>
      <c r="N1568" s="32">
        <f>G1568 - F1568</f>
        <v>29</v>
      </c>
      <c r="O1568">
        <v>1</v>
      </c>
    </row>
    <row r="1569" spans="1:15" x14ac:dyDescent="0.3">
      <c r="A1569" s="62" t="s">
        <v>360</v>
      </c>
      <c r="B1569" s="77" t="s">
        <v>66</v>
      </c>
      <c r="C1569" s="77" t="s">
        <v>12</v>
      </c>
      <c r="D1569" s="62" t="s">
        <v>2423</v>
      </c>
      <c r="E1569" s="62" t="s">
        <v>3023</v>
      </c>
      <c r="F1569" s="79">
        <v>44815</v>
      </c>
      <c r="G1569" s="79">
        <v>45076</v>
      </c>
      <c r="H1569" s="32" t="str">
        <f t="shared" si="57"/>
        <v>ODD</v>
      </c>
      <c r="I1569" s="108">
        <v>0</v>
      </c>
      <c r="J1569" s="60" t="str">
        <f>UPPER(TEXT(F1569,"mmm")) &amp; " - " &amp; UPPER(TEXT(G1569,"mmm"))</f>
        <v>SEP - MAY</v>
      </c>
      <c r="K1569" s="60" t="s">
        <v>3133</v>
      </c>
      <c r="L1569" s="77" t="s">
        <v>895</v>
      </c>
      <c r="M1569" s="32" t="str">
        <f t="shared" si="54"/>
        <v>No</v>
      </c>
      <c r="N1569" s="32">
        <f>G1569 - F1569</f>
        <v>261</v>
      </c>
      <c r="O1569">
        <v>1</v>
      </c>
    </row>
    <row r="1570" spans="1:15" x14ac:dyDescent="0.3">
      <c r="A1570" s="62" t="s">
        <v>2997</v>
      </c>
      <c r="B1570" s="77" t="s">
        <v>66</v>
      </c>
      <c r="C1570" s="77" t="s">
        <v>12</v>
      </c>
      <c r="D1570" s="62" t="s">
        <v>3024</v>
      </c>
      <c r="E1570" s="62" t="s">
        <v>3025</v>
      </c>
      <c r="F1570" s="79">
        <v>44934</v>
      </c>
      <c r="G1570" s="79">
        <v>44993</v>
      </c>
      <c r="H1570" s="32" t="str">
        <f t="shared" si="57"/>
        <v>EVEN</v>
      </c>
      <c r="I1570" s="108">
        <v>5000</v>
      </c>
      <c r="J1570" s="60" t="str">
        <f>UPPER(TEXT(F1570,"mmm")) &amp; " - " &amp; UPPER(TEXT(G1570,"mmm"))</f>
        <v>JAN - MAR</v>
      </c>
      <c r="K1570" s="60" t="s">
        <v>3133</v>
      </c>
      <c r="L1570" s="99" t="s">
        <v>3895</v>
      </c>
      <c r="M1570" s="32" t="str">
        <f t="shared" si="54"/>
        <v>Yes</v>
      </c>
      <c r="N1570" s="32">
        <f>G1570 - F1570</f>
        <v>59</v>
      </c>
      <c r="O1570">
        <v>1</v>
      </c>
    </row>
    <row r="1571" spans="1:15" x14ac:dyDescent="0.3">
      <c r="A1571" s="62" t="s">
        <v>3026</v>
      </c>
      <c r="B1571" s="77" t="s">
        <v>66</v>
      </c>
      <c r="C1571" s="77" t="s">
        <v>12</v>
      </c>
      <c r="D1571" s="62" t="s">
        <v>3027</v>
      </c>
      <c r="E1571" s="62" t="s">
        <v>3028</v>
      </c>
      <c r="F1571" s="79">
        <v>44958</v>
      </c>
      <c r="G1571" s="79">
        <v>45046</v>
      </c>
      <c r="H1571" s="32" t="str">
        <f t="shared" si="57"/>
        <v>EVEN</v>
      </c>
      <c r="I1571" s="108">
        <v>0</v>
      </c>
      <c r="J1571" s="60" t="str">
        <f>UPPER(TEXT(F1571,"mmm")) &amp; " - " &amp; UPPER(TEXT(G1571,"mmm"))</f>
        <v>FEB - APR</v>
      </c>
      <c r="K1571" s="60" t="s">
        <v>3133</v>
      </c>
      <c r="L1571" s="99" t="s">
        <v>3895</v>
      </c>
      <c r="M1571" s="32" t="str">
        <f t="shared" si="54"/>
        <v>No</v>
      </c>
      <c r="N1571" s="32">
        <f>G1571 - F1571</f>
        <v>88</v>
      </c>
      <c r="O1571">
        <v>1</v>
      </c>
    </row>
    <row r="1572" spans="1:15" x14ac:dyDescent="0.3">
      <c r="A1572" s="62" t="s">
        <v>2922</v>
      </c>
      <c r="B1572" s="77" t="s">
        <v>66</v>
      </c>
      <c r="C1572" s="77" t="s">
        <v>12</v>
      </c>
      <c r="D1572" s="62" t="s">
        <v>935</v>
      </c>
      <c r="E1572" s="62" t="s">
        <v>1438</v>
      </c>
      <c r="F1572" s="79">
        <v>44988</v>
      </c>
      <c r="G1572" s="79">
        <v>45050</v>
      </c>
      <c r="H1572" s="32" t="str">
        <f t="shared" si="57"/>
        <v>EVEN</v>
      </c>
      <c r="I1572" s="108">
        <v>0</v>
      </c>
      <c r="J1572" s="60" t="str">
        <f>UPPER(TEXT(F1572,"mmm")) &amp; " - " &amp; UPPER(TEXT(G1572,"mmm"))</f>
        <v>MAR - MAY</v>
      </c>
      <c r="K1572" s="60" t="s">
        <v>3133</v>
      </c>
      <c r="L1572" s="77" t="s">
        <v>895</v>
      </c>
      <c r="M1572" s="32" t="str">
        <f t="shared" si="54"/>
        <v>No</v>
      </c>
      <c r="N1572" s="32">
        <f>G1572 - F1572</f>
        <v>62</v>
      </c>
      <c r="O1572">
        <v>1</v>
      </c>
    </row>
    <row r="1573" spans="1:15" x14ac:dyDescent="0.3">
      <c r="A1573" s="62" t="s">
        <v>3029</v>
      </c>
      <c r="B1573" s="77" t="s">
        <v>66</v>
      </c>
      <c r="C1573" s="77" t="s">
        <v>12</v>
      </c>
      <c r="D1573" s="62" t="s">
        <v>3030</v>
      </c>
      <c r="E1573" s="62" t="s">
        <v>3031</v>
      </c>
      <c r="F1573" s="79">
        <v>45051</v>
      </c>
      <c r="G1573" s="79">
        <v>45199</v>
      </c>
      <c r="H1573" s="32" t="str">
        <f t="shared" si="57"/>
        <v>EVEN</v>
      </c>
      <c r="I1573" s="108">
        <v>0</v>
      </c>
      <c r="J1573" s="60" t="str">
        <f>UPPER(TEXT(F1573,"mmm")) &amp; " - " &amp; UPPER(TEXT(G1573,"mmm"))</f>
        <v>MAY - SEP</v>
      </c>
      <c r="K1573" s="60" t="s">
        <v>3133</v>
      </c>
      <c r="L1573" s="99" t="s">
        <v>3895</v>
      </c>
      <c r="M1573" s="32" t="str">
        <f t="shared" si="54"/>
        <v>No</v>
      </c>
      <c r="N1573" s="32">
        <f>G1573 - F1573</f>
        <v>148</v>
      </c>
      <c r="O1573">
        <v>1</v>
      </c>
    </row>
    <row r="1574" spans="1:15" x14ac:dyDescent="0.3">
      <c r="A1574" s="62" t="s">
        <v>2443</v>
      </c>
      <c r="B1574" s="77" t="s">
        <v>66</v>
      </c>
      <c r="C1574" s="77" t="s">
        <v>12</v>
      </c>
      <c r="D1574" s="62" t="s">
        <v>3032</v>
      </c>
      <c r="E1574" s="62" t="s">
        <v>3033</v>
      </c>
      <c r="F1574" s="79">
        <v>45082</v>
      </c>
      <c r="G1574" s="79">
        <v>45138</v>
      </c>
      <c r="H1574" s="32" t="str">
        <f t="shared" si="57"/>
        <v>EVEN</v>
      </c>
      <c r="I1574" s="108">
        <v>0</v>
      </c>
      <c r="J1574" s="60" t="str">
        <f>UPPER(TEXT(F1574,"mmm")) &amp; " - " &amp; UPPER(TEXT(G1574,"mmm"))</f>
        <v>JUN - JUL</v>
      </c>
      <c r="K1574" s="60" t="s">
        <v>3133</v>
      </c>
      <c r="L1574" s="99" t="s">
        <v>3895</v>
      </c>
      <c r="M1574" s="32" t="str">
        <f t="shared" si="54"/>
        <v>No</v>
      </c>
      <c r="N1574" s="32">
        <f>G1574 - F1574</f>
        <v>56</v>
      </c>
      <c r="O1574">
        <v>1</v>
      </c>
    </row>
    <row r="1575" spans="1:15" x14ac:dyDescent="0.3">
      <c r="A1575" s="62" t="s">
        <v>2254</v>
      </c>
      <c r="B1575" s="77" t="s">
        <v>66</v>
      </c>
      <c r="C1575" s="77" t="s">
        <v>12</v>
      </c>
      <c r="D1575" s="62" t="s">
        <v>3034</v>
      </c>
      <c r="E1575" s="62" t="s">
        <v>3035</v>
      </c>
      <c r="F1575" s="79">
        <v>44743</v>
      </c>
      <c r="G1575" s="79">
        <v>44788</v>
      </c>
      <c r="H1575" s="32" t="str">
        <f t="shared" si="57"/>
        <v>EVEN</v>
      </c>
      <c r="I1575" s="108">
        <v>0</v>
      </c>
      <c r="J1575" s="60" t="str">
        <f>UPPER(TEXT(F1575,"mmm")) &amp; " - " &amp; UPPER(TEXT(G1575,"mmm"))</f>
        <v>JUL - AUG</v>
      </c>
      <c r="K1575" s="60" t="s">
        <v>3133</v>
      </c>
      <c r="L1575" s="99" t="s">
        <v>3895</v>
      </c>
      <c r="M1575" s="32" t="str">
        <f t="shared" si="54"/>
        <v>No</v>
      </c>
      <c r="N1575" s="32">
        <f>G1575 - F1575</f>
        <v>45</v>
      </c>
      <c r="O1575">
        <v>1</v>
      </c>
    </row>
    <row r="1576" spans="1:15" x14ac:dyDescent="0.3">
      <c r="A1576" s="62" t="s">
        <v>3036</v>
      </c>
      <c r="B1576" s="77" t="s">
        <v>66</v>
      </c>
      <c r="C1576" s="77" t="s">
        <v>12</v>
      </c>
      <c r="D1576" s="62" t="s">
        <v>3037</v>
      </c>
      <c r="E1576" s="62" t="s">
        <v>3038</v>
      </c>
      <c r="F1576" s="79">
        <v>44743</v>
      </c>
      <c r="G1576" s="79">
        <v>44927</v>
      </c>
      <c r="H1576" s="32" t="str">
        <f t="shared" si="57"/>
        <v>EVEN</v>
      </c>
      <c r="I1576" s="108">
        <v>0</v>
      </c>
      <c r="J1576" s="60" t="str">
        <f>UPPER(TEXT(F1576,"mmm")) &amp; " - " &amp; UPPER(TEXT(G1576,"mmm"))</f>
        <v>JUL - JAN</v>
      </c>
      <c r="K1576" s="60" t="s">
        <v>3133</v>
      </c>
      <c r="L1576" s="99" t="s">
        <v>3895</v>
      </c>
      <c r="M1576" s="32" t="str">
        <f t="shared" si="54"/>
        <v>No</v>
      </c>
      <c r="N1576" s="32">
        <f>G1576 - F1576</f>
        <v>184</v>
      </c>
      <c r="O1576">
        <v>1</v>
      </c>
    </row>
    <row r="1577" spans="1:15" x14ac:dyDescent="0.3">
      <c r="A1577" s="62" t="s">
        <v>3039</v>
      </c>
      <c r="B1577" s="77" t="s">
        <v>66</v>
      </c>
      <c r="C1577" s="77" t="s">
        <v>12</v>
      </c>
      <c r="D1577" s="62" t="s">
        <v>121</v>
      </c>
      <c r="E1577" s="62" t="s">
        <v>3040</v>
      </c>
      <c r="F1577" s="79">
        <v>44982</v>
      </c>
      <c r="G1577" s="79">
        <v>45224</v>
      </c>
      <c r="H1577" s="32" t="str">
        <f t="shared" si="57"/>
        <v>EVEN</v>
      </c>
      <c r="I1577" s="108">
        <v>0</v>
      </c>
      <c r="J1577" s="60" t="str">
        <f>UPPER(TEXT(F1577,"mmm")) &amp; " - " &amp; UPPER(TEXT(G1577,"mmm"))</f>
        <v>FEB - OCT</v>
      </c>
      <c r="K1577" s="60" t="s">
        <v>3133</v>
      </c>
      <c r="L1577" s="77" t="s">
        <v>895</v>
      </c>
      <c r="M1577" s="32" t="str">
        <f t="shared" si="54"/>
        <v>No</v>
      </c>
      <c r="N1577" s="32">
        <f>G1577 - F1577</f>
        <v>242</v>
      </c>
      <c r="O1577">
        <v>1</v>
      </c>
    </row>
    <row r="1578" spans="1:15" x14ac:dyDescent="0.3">
      <c r="A1578" s="62" t="s">
        <v>3041</v>
      </c>
      <c r="B1578" s="77" t="s">
        <v>66</v>
      </c>
      <c r="C1578" s="77" t="s">
        <v>12</v>
      </c>
      <c r="D1578" s="62" t="s">
        <v>121</v>
      </c>
      <c r="E1578" s="62" t="s">
        <v>3042</v>
      </c>
      <c r="F1578" s="79">
        <v>44982</v>
      </c>
      <c r="G1578" s="79">
        <v>45224</v>
      </c>
      <c r="H1578" s="32" t="str">
        <f t="shared" si="57"/>
        <v>EVEN</v>
      </c>
      <c r="I1578" s="108">
        <v>0</v>
      </c>
      <c r="J1578" s="60" t="str">
        <f>UPPER(TEXT(F1578,"mmm")) &amp; " - " &amp; UPPER(TEXT(G1578,"mmm"))</f>
        <v>FEB - OCT</v>
      </c>
      <c r="K1578" s="60" t="s">
        <v>3133</v>
      </c>
      <c r="L1578" s="77" t="s">
        <v>895</v>
      </c>
      <c r="M1578" s="32" t="str">
        <f t="shared" si="54"/>
        <v>No</v>
      </c>
      <c r="N1578" s="32">
        <f>G1578 - F1578</f>
        <v>242</v>
      </c>
      <c r="O1578">
        <v>1</v>
      </c>
    </row>
    <row r="1579" spans="1:15" x14ac:dyDescent="0.3">
      <c r="A1579" s="62" t="s">
        <v>3043</v>
      </c>
      <c r="B1579" s="77" t="s">
        <v>66</v>
      </c>
      <c r="C1579" s="77" t="s">
        <v>12</v>
      </c>
      <c r="D1579" s="62" t="s">
        <v>3044</v>
      </c>
      <c r="E1579" s="62" t="s">
        <v>3045</v>
      </c>
      <c r="F1579" s="79">
        <v>45017</v>
      </c>
      <c r="G1579" s="79">
        <v>45291</v>
      </c>
      <c r="H1579" s="32" t="str">
        <f t="shared" si="57"/>
        <v>EVEN</v>
      </c>
      <c r="I1579" s="108">
        <v>10000</v>
      </c>
      <c r="J1579" s="60" t="str">
        <f>UPPER(TEXT(F1579,"mmm")) &amp; " - " &amp; UPPER(TEXT(G1579,"mmm"))</f>
        <v>APR - DEC</v>
      </c>
      <c r="K1579" s="60" t="s">
        <v>3133</v>
      </c>
      <c r="L1579" s="99" t="s">
        <v>3895</v>
      </c>
      <c r="M1579" s="32" t="str">
        <f t="shared" si="54"/>
        <v>Yes</v>
      </c>
      <c r="N1579" s="32">
        <f>G1579 - F1579</f>
        <v>274</v>
      </c>
      <c r="O1579">
        <v>1</v>
      </c>
    </row>
    <row r="1580" spans="1:15" x14ac:dyDescent="0.3">
      <c r="A1580" s="62" t="s">
        <v>3046</v>
      </c>
      <c r="B1580" s="77" t="s">
        <v>66</v>
      </c>
      <c r="C1580" s="77" t="s">
        <v>12</v>
      </c>
      <c r="D1580" s="62" t="s">
        <v>3047</v>
      </c>
      <c r="E1580" s="62" t="s">
        <v>3048</v>
      </c>
      <c r="F1580" s="79">
        <v>45082</v>
      </c>
      <c r="G1580" s="79">
        <v>45135</v>
      </c>
      <c r="H1580" s="32" t="str">
        <f t="shared" si="57"/>
        <v>EVEN</v>
      </c>
      <c r="I1580" s="108">
        <v>25000</v>
      </c>
      <c r="J1580" s="60" t="str">
        <f>UPPER(TEXT(F1580,"mmm")) &amp; " - " &amp; UPPER(TEXT(G1580,"mmm"))</f>
        <v>JUN - JUL</v>
      </c>
      <c r="K1580" s="60" t="s">
        <v>3133</v>
      </c>
      <c r="L1580" s="99" t="s">
        <v>3895</v>
      </c>
      <c r="M1580" s="32" t="str">
        <f t="shared" si="54"/>
        <v>Yes</v>
      </c>
      <c r="N1580" s="32">
        <f>G1580 - F1580</f>
        <v>53</v>
      </c>
      <c r="O1580">
        <v>1</v>
      </c>
    </row>
    <row r="1581" spans="1:15" x14ac:dyDescent="0.3">
      <c r="A1581" s="62" t="s">
        <v>3049</v>
      </c>
      <c r="B1581" s="77" t="s">
        <v>66</v>
      </c>
      <c r="C1581" s="77" t="s">
        <v>12</v>
      </c>
      <c r="D1581" s="62" t="s">
        <v>3050</v>
      </c>
      <c r="E1581" s="62" t="s">
        <v>3051</v>
      </c>
      <c r="F1581" s="79">
        <v>45082</v>
      </c>
      <c r="G1581" s="79">
        <v>45135</v>
      </c>
      <c r="H1581" s="32" t="str">
        <f t="shared" si="57"/>
        <v>EVEN</v>
      </c>
      <c r="I1581" s="108">
        <v>25000</v>
      </c>
      <c r="J1581" s="60" t="str">
        <f>UPPER(TEXT(F1581,"mmm")) &amp; " - " &amp; UPPER(TEXT(G1581,"mmm"))</f>
        <v>JUN - JUL</v>
      </c>
      <c r="K1581" s="60" t="s">
        <v>3133</v>
      </c>
      <c r="L1581" s="99" t="s">
        <v>3895</v>
      </c>
      <c r="M1581" s="32" t="str">
        <f t="shared" si="54"/>
        <v>Yes</v>
      </c>
      <c r="N1581" s="32">
        <f>G1581 - F1581</f>
        <v>53</v>
      </c>
      <c r="O1581">
        <v>1</v>
      </c>
    </row>
    <row r="1582" spans="1:15" x14ac:dyDescent="0.3">
      <c r="A1582" s="62" t="s">
        <v>2305</v>
      </c>
      <c r="B1582" s="77" t="s">
        <v>66</v>
      </c>
      <c r="C1582" s="77" t="s">
        <v>12</v>
      </c>
      <c r="D1582" s="62" t="s">
        <v>3052</v>
      </c>
      <c r="E1582" s="62" t="s">
        <v>998</v>
      </c>
      <c r="F1582" s="79">
        <v>45083</v>
      </c>
      <c r="G1582" s="79">
        <v>45144</v>
      </c>
      <c r="H1582" s="32" t="str">
        <f t="shared" si="57"/>
        <v>EVEN</v>
      </c>
      <c r="I1582" s="108">
        <v>10000</v>
      </c>
      <c r="J1582" s="60" t="str">
        <f>UPPER(TEXT(F1582,"mmm")) &amp; " - " &amp; UPPER(TEXT(G1582,"mmm"))</f>
        <v>JUN - AUG</v>
      </c>
      <c r="K1582" s="60" t="s">
        <v>3133</v>
      </c>
      <c r="L1582" s="99" t="s">
        <v>3895</v>
      </c>
      <c r="M1582" s="32" t="str">
        <f t="shared" si="54"/>
        <v>Yes</v>
      </c>
      <c r="N1582" s="32">
        <f>G1582 - F1582</f>
        <v>61</v>
      </c>
      <c r="O1582">
        <v>1</v>
      </c>
    </row>
    <row r="1583" spans="1:15" x14ac:dyDescent="0.3">
      <c r="A1583" s="62" t="s">
        <v>2254</v>
      </c>
      <c r="B1583" s="77" t="s">
        <v>66</v>
      </c>
      <c r="C1583" s="77" t="s">
        <v>12</v>
      </c>
      <c r="D1583" s="62" t="s">
        <v>3053</v>
      </c>
      <c r="E1583" s="62" t="s">
        <v>3054</v>
      </c>
      <c r="F1583" s="79">
        <v>45088</v>
      </c>
      <c r="G1583" s="79">
        <v>45122</v>
      </c>
      <c r="H1583" s="32" t="str">
        <f t="shared" si="57"/>
        <v>EVEN</v>
      </c>
      <c r="I1583" s="108">
        <v>0</v>
      </c>
      <c r="J1583" s="60" t="str">
        <f>UPPER(TEXT(F1583,"mmm")) &amp; " - " &amp; UPPER(TEXT(G1583,"mmm"))</f>
        <v>JUN - JUL</v>
      </c>
      <c r="K1583" s="60" t="s">
        <v>3133</v>
      </c>
      <c r="L1583" s="99" t="s">
        <v>3895</v>
      </c>
      <c r="M1583" s="32" t="str">
        <f t="shared" si="54"/>
        <v>No</v>
      </c>
      <c r="N1583" s="32">
        <f>G1583 - F1583</f>
        <v>34</v>
      </c>
      <c r="O1583">
        <v>1</v>
      </c>
    </row>
    <row r="1584" spans="1:15" x14ac:dyDescent="0.3">
      <c r="A1584" s="62" t="s">
        <v>3055</v>
      </c>
      <c r="B1584" s="77" t="s">
        <v>66</v>
      </c>
      <c r="C1584" s="77" t="s">
        <v>12</v>
      </c>
      <c r="D1584" s="62" t="s">
        <v>3056</v>
      </c>
      <c r="E1584" s="62" t="s">
        <v>1438</v>
      </c>
      <c r="F1584" s="79">
        <v>45089</v>
      </c>
      <c r="G1584" s="79">
        <v>45224</v>
      </c>
      <c r="H1584" s="32" t="str">
        <f t="shared" si="57"/>
        <v>EVEN</v>
      </c>
      <c r="I1584" s="108">
        <v>0</v>
      </c>
      <c r="J1584" s="60" t="str">
        <f>UPPER(TEXT(F1584,"mmm")) &amp; " - " &amp; UPPER(TEXT(G1584,"mmm"))</f>
        <v>JUN - OCT</v>
      </c>
      <c r="K1584" s="60" t="s">
        <v>3133</v>
      </c>
      <c r="L1584" s="99" t="s">
        <v>3895</v>
      </c>
      <c r="M1584" s="32" t="str">
        <f t="shared" si="54"/>
        <v>No</v>
      </c>
      <c r="N1584" s="32">
        <f>G1584 - F1584</f>
        <v>135</v>
      </c>
      <c r="O1584">
        <v>1</v>
      </c>
    </row>
    <row r="1585" spans="1:15" x14ac:dyDescent="0.3">
      <c r="A1585" s="62" t="s">
        <v>3057</v>
      </c>
      <c r="B1585" s="77" t="s">
        <v>66</v>
      </c>
      <c r="C1585" s="77" t="s">
        <v>12</v>
      </c>
      <c r="D1585" s="62" t="s">
        <v>3058</v>
      </c>
      <c r="E1585" s="62" t="s">
        <v>1438</v>
      </c>
      <c r="F1585" s="79">
        <v>45089</v>
      </c>
      <c r="G1585" s="79">
        <v>45211</v>
      </c>
      <c r="H1585" s="32" t="str">
        <f t="shared" si="57"/>
        <v>EVEN</v>
      </c>
      <c r="I1585" s="108">
        <v>0</v>
      </c>
      <c r="J1585" s="60" t="str">
        <f>UPPER(TEXT(F1585,"mmm")) &amp; " - " &amp; UPPER(TEXT(G1585,"mmm"))</f>
        <v>JUN - OCT</v>
      </c>
      <c r="K1585" s="60" t="s">
        <v>3133</v>
      </c>
      <c r="L1585" s="99" t="s">
        <v>3895</v>
      </c>
      <c r="M1585" s="32" t="str">
        <f t="shared" si="54"/>
        <v>No</v>
      </c>
      <c r="N1585" s="32">
        <f>G1585 - F1585</f>
        <v>122</v>
      </c>
      <c r="O1585">
        <v>1</v>
      </c>
    </row>
    <row r="1586" spans="1:15" x14ac:dyDescent="0.3">
      <c r="A1586" s="62" t="s">
        <v>3059</v>
      </c>
      <c r="B1586" s="77" t="s">
        <v>66</v>
      </c>
      <c r="C1586" s="77" t="s">
        <v>12</v>
      </c>
      <c r="D1586" s="62" t="s">
        <v>3060</v>
      </c>
      <c r="E1586" s="62" t="s">
        <v>3061</v>
      </c>
      <c r="F1586" s="79">
        <v>44743</v>
      </c>
      <c r="G1586" s="79">
        <v>44804</v>
      </c>
      <c r="H1586" s="32" t="str">
        <f t="shared" si="57"/>
        <v>EVEN</v>
      </c>
      <c r="I1586" s="108">
        <v>0</v>
      </c>
      <c r="J1586" s="60" t="str">
        <f>UPPER(TEXT(F1586,"mmm")) &amp; " - " &amp; UPPER(TEXT(G1586,"mmm"))</f>
        <v>JUL - AUG</v>
      </c>
      <c r="K1586" s="60" t="s">
        <v>3133</v>
      </c>
      <c r="L1586" s="99" t="s">
        <v>3895</v>
      </c>
      <c r="M1586" s="32" t="str">
        <f t="shared" si="54"/>
        <v>No</v>
      </c>
      <c r="N1586" s="32">
        <f>G1586 - F1586</f>
        <v>61</v>
      </c>
      <c r="O1586">
        <v>1</v>
      </c>
    </row>
    <row r="1587" spans="1:15" x14ac:dyDescent="0.3">
      <c r="A1587" s="62" t="s">
        <v>3062</v>
      </c>
      <c r="B1587" s="77" t="s">
        <v>66</v>
      </c>
      <c r="C1587" s="77" t="s">
        <v>12</v>
      </c>
      <c r="D1587" s="62" t="s">
        <v>3063</v>
      </c>
      <c r="E1587" s="62" t="s">
        <v>3064</v>
      </c>
      <c r="F1587" s="79">
        <v>44743</v>
      </c>
      <c r="G1587" s="79">
        <v>44798</v>
      </c>
      <c r="H1587" s="32" t="str">
        <f t="shared" si="57"/>
        <v>EVEN</v>
      </c>
      <c r="I1587" s="108">
        <v>0</v>
      </c>
      <c r="J1587" s="60" t="str">
        <f>UPPER(TEXT(F1587,"mmm")) &amp; " - " &amp; UPPER(TEXT(G1587,"mmm"))</f>
        <v>JUL - AUG</v>
      </c>
      <c r="K1587" s="60" t="s">
        <v>3133</v>
      </c>
      <c r="L1587" s="99" t="s">
        <v>3895</v>
      </c>
      <c r="M1587" s="32" t="str">
        <f t="shared" si="54"/>
        <v>No</v>
      </c>
      <c r="N1587" s="32">
        <f>G1587 - F1587</f>
        <v>55</v>
      </c>
      <c r="O1587">
        <v>1</v>
      </c>
    </row>
    <row r="1588" spans="1:15" x14ac:dyDescent="0.3">
      <c r="A1588" s="62" t="s">
        <v>1713</v>
      </c>
      <c r="B1588" s="77" t="s">
        <v>66</v>
      </c>
      <c r="C1588" s="77" t="s">
        <v>12</v>
      </c>
      <c r="D1588" s="62" t="s">
        <v>3065</v>
      </c>
      <c r="E1588" s="62" t="s">
        <v>3066</v>
      </c>
      <c r="F1588" s="79">
        <v>44745</v>
      </c>
      <c r="G1588" s="79">
        <v>44837</v>
      </c>
      <c r="H1588" s="32" t="str">
        <f t="shared" si="57"/>
        <v>EVEN</v>
      </c>
      <c r="I1588" s="108">
        <v>0</v>
      </c>
      <c r="J1588" s="60" t="str">
        <f>UPPER(TEXT(F1588,"mmm")) &amp; " - " &amp; UPPER(TEXT(G1588,"mmm"))</f>
        <v>JUL - OCT</v>
      </c>
      <c r="K1588" s="60" t="s">
        <v>3133</v>
      </c>
      <c r="L1588" s="99" t="s">
        <v>3895</v>
      </c>
      <c r="M1588" s="32" t="str">
        <f t="shared" si="54"/>
        <v>No</v>
      </c>
      <c r="N1588" s="32">
        <f>G1588 - F1588</f>
        <v>92</v>
      </c>
      <c r="O1588">
        <v>1</v>
      </c>
    </row>
    <row r="1589" spans="1:15" x14ac:dyDescent="0.3">
      <c r="A1589" s="62" t="s">
        <v>3067</v>
      </c>
      <c r="B1589" s="77" t="s">
        <v>66</v>
      </c>
      <c r="C1589" s="77" t="s">
        <v>12</v>
      </c>
      <c r="D1589" s="62" t="s">
        <v>3068</v>
      </c>
      <c r="E1589" s="62" t="s">
        <v>1617</v>
      </c>
      <c r="F1589" s="79">
        <v>44774</v>
      </c>
      <c r="G1589" s="79">
        <v>44927</v>
      </c>
      <c r="H1589" s="32" t="str">
        <f t="shared" si="57"/>
        <v>ODD</v>
      </c>
      <c r="I1589" s="108">
        <v>0</v>
      </c>
      <c r="J1589" s="60" t="str">
        <f>UPPER(TEXT(F1589,"mmm")) &amp; " - " &amp; UPPER(TEXT(G1589,"mmm"))</f>
        <v>AUG - JAN</v>
      </c>
      <c r="K1589" s="60" t="s">
        <v>3133</v>
      </c>
      <c r="L1589" s="99" t="s">
        <v>3895</v>
      </c>
      <c r="M1589" s="32" t="str">
        <f t="shared" si="54"/>
        <v>No</v>
      </c>
      <c r="N1589" s="32">
        <f>G1589 - F1589</f>
        <v>153</v>
      </c>
      <c r="O1589">
        <v>1</v>
      </c>
    </row>
    <row r="1590" spans="1:15" x14ac:dyDescent="0.3">
      <c r="A1590" s="62" t="s">
        <v>3049</v>
      </c>
      <c r="B1590" s="77" t="s">
        <v>66</v>
      </c>
      <c r="C1590" s="77" t="s">
        <v>12</v>
      </c>
      <c r="D1590" s="62" t="s">
        <v>3069</v>
      </c>
      <c r="E1590" s="62" t="s">
        <v>1438</v>
      </c>
      <c r="F1590" s="79">
        <v>44775</v>
      </c>
      <c r="G1590" s="79">
        <v>45250</v>
      </c>
      <c r="H1590" s="32" t="str">
        <f t="shared" si="57"/>
        <v>ODD</v>
      </c>
      <c r="I1590" s="108">
        <v>0</v>
      </c>
      <c r="J1590" s="60" t="str">
        <f>UPPER(TEXT(F1590,"mmm")) &amp; " - " &amp; UPPER(TEXT(G1590,"mmm"))</f>
        <v>AUG - NOV</v>
      </c>
      <c r="K1590" s="60" t="s">
        <v>3133</v>
      </c>
      <c r="L1590" s="99" t="s">
        <v>3895</v>
      </c>
      <c r="M1590" s="32" t="str">
        <f t="shared" si="54"/>
        <v>No</v>
      </c>
      <c r="N1590" s="32">
        <f>G1590 - F1590</f>
        <v>475</v>
      </c>
      <c r="O1590">
        <v>1</v>
      </c>
    </row>
    <row r="1591" spans="1:15" x14ac:dyDescent="0.3">
      <c r="A1591" s="62" t="s">
        <v>2462</v>
      </c>
      <c r="B1591" s="77" t="s">
        <v>66</v>
      </c>
      <c r="C1591" s="77" t="s">
        <v>12</v>
      </c>
      <c r="D1591" s="62" t="s">
        <v>842</v>
      </c>
      <c r="E1591" s="62" t="s">
        <v>3070</v>
      </c>
      <c r="F1591" s="79">
        <v>44927</v>
      </c>
      <c r="G1591" s="79">
        <v>45169</v>
      </c>
      <c r="H1591" s="32" t="str">
        <f t="shared" si="57"/>
        <v>EVEN</v>
      </c>
      <c r="I1591" s="108">
        <v>0</v>
      </c>
      <c r="J1591" s="60" t="str">
        <f>UPPER(TEXT(F1591,"mmm")) &amp; " - " &amp; UPPER(TEXT(G1591,"mmm"))</f>
        <v>JAN - AUG</v>
      </c>
      <c r="K1591" s="60" t="s">
        <v>3133</v>
      </c>
      <c r="L1591" s="77" t="s">
        <v>895</v>
      </c>
      <c r="M1591" s="32" t="str">
        <f t="shared" si="54"/>
        <v>No</v>
      </c>
      <c r="N1591" s="32">
        <f>G1591 - F1591</f>
        <v>242</v>
      </c>
      <c r="O1591">
        <v>1</v>
      </c>
    </row>
    <row r="1592" spans="1:15" x14ac:dyDescent="0.3">
      <c r="A1592" s="62" t="s">
        <v>3059</v>
      </c>
      <c r="B1592" s="77" t="s">
        <v>66</v>
      </c>
      <c r="C1592" s="77" t="s">
        <v>12</v>
      </c>
      <c r="D1592" s="62" t="s">
        <v>2935</v>
      </c>
      <c r="E1592" s="62" t="s">
        <v>3071</v>
      </c>
      <c r="F1592" s="79">
        <v>44928</v>
      </c>
      <c r="G1592" s="79">
        <v>45046</v>
      </c>
      <c r="H1592" s="32" t="str">
        <f t="shared" si="57"/>
        <v>EVEN</v>
      </c>
      <c r="I1592" s="108">
        <v>0</v>
      </c>
      <c r="J1592" s="60" t="str">
        <f>UPPER(TEXT(F1592,"mmm")) &amp; " - " &amp; UPPER(TEXT(G1592,"mmm"))</f>
        <v>JAN - APR</v>
      </c>
      <c r="K1592" s="60" t="s">
        <v>3133</v>
      </c>
      <c r="L1592" s="99" t="s">
        <v>3895</v>
      </c>
      <c r="M1592" s="32" t="str">
        <f t="shared" si="54"/>
        <v>No</v>
      </c>
      <c r="N1592" s="32">
        <f>G1592 - F1592</f>
        <v>118</v>
      </c>
      <c r="O1592">
        <v>1</v>
      </c>
    </row>
    <row r="1593" spans="1:15" x14ac:dyDescent="0.3">
      <c r="A1593" s="62" t="s">
        <v>3012</v>
      </c>
      <c r="B1593" s="77" t="s">
        <v>66</v>
      </c>
      <c r="C1593" s="77" t="s">
        <v>12</v>
      </c>
      <c r="D1593" s="62" t="s">
        <v>3072</v>
      </c>
      <c r="E1593" s="62" t="s">
        <v>958</v>
      </c>
      <c r="F1593" s="79">
        <v>44928</v>
      </c>
      <c r="G1593" s="79">
        <v>45016</v>
      </c>
      <c r="H1593" s="32" t="str">
        <f t="shared" si="57"/>
        <v>EVEN</v>
      </c>
      <c r="I1593" s="108">
        <v>0</v>
      </c>
      <c r="J1593" s="60" t="str">
        <f>UPPER(TEXT(F1593,"mmm")) &amp; " - " &amp; UPPER(TEXT(G1593,"mmm"))</f>
        <v>JAN - MAR</v>
      </c>
      <c r="K1593" s="60" t="s">
        <v>3133</v>
      </c>
      <c r="L1593" s="99" t="s">
        <v>3895</v>
      </c>
      <c r="M1593" s="32" t="str">
        <f t="shared" si="54"/>
        <v>No</v>
      </c>
      <c r="N1593" s="32">
        <f>G1593 - F1593</f>
        <v>88</v>
      </c>
      <c r="O1593">
        <v>1</v>
      </c>
    </row>
    <row r="1594" spans="1:15" x14ac:dyDescent="0.3">
      <c r="A1594" s="62" t="s">
        <v>2488</v>
      </c>
      <c r="B1594" s="77" t="s">
        <v>66</v>
      </c>
      <c r="C1594" s="77" t="s">
        <v>12</v>
      </c>
      <c r="D1594" s="62" t="s">
        <v>3073</v>
      </c>
      <c r="E1594" s="62" t="s">
        <v>3074</v>
      </c>
      <c r="F1594" s="79">
        <v>44948</v>
      </c>
      <c r="G1594" s="79">
        <v>45130</v>
      </c>
      <c r="H1594" s="32" t="str">
        <f t="shared" si="57"/>
        <v>EVEN</v>
      </c>
      <c r="I1594" s="108">
        <v>0</v>
      </c>
      <c r="J1594" s="60" t="str">
        <f>UPPER(TEXT(F1594,"mmm")) &amp; " - " &amp; UPPER(TEXT(G1594,"mmm"))</f>
        <v>JAN - JUL</v>
      </c>
      <c r="K1594" s="60" t="s">
        <v>3133</v>
      </c>
      <c r="L1594" s="77" t="s">
        <v>895</v>
      </c>
      <c r="M1594" s="32" t="str">
        <f t="shared" si="54"/>
        <v>No</v>
      </c>
      <c r="N1594" s="32">
        <f>G1594 - F1594</f>
        <v>182</v>
      </c>
      <c r="O1594">
        <v>1</v>
      </c>
    </row>
    <row r="1595" spans="1:15" x14ac:dyDescent="0.3">
      <c r="A1595" s="62" t="s">
        <v>3075</v>
      </c>
      <c r="B1595" s="77" t="s">
        <v>66</v>
      </c>
      <c r="C1595" s="77" t="s">
        <v>12</v>
      </c>
      <c r="D1595" s="62" t="s">
        <v>3076</v>
      </c>
      <c r="E1595" s="62" t="s">
        <v>3077</v>
      </c>
      <c r="F1595" s="79">
        <v>44970</v>
      </c>
      <c r="G1595" s="79">
        <v>45069</v>
      </c>
      <c r="H1595" s="32" t="str">
        <f t="shared" si="57"/>
        <v>EVEN</v>
      </c>
      <c r="I1595" s="108">
        <v>0</v>
      </c>
      <c r="J1595" s="60" t="str">
        <f>UPPER(TEXT(F1595,"mmm")) &amp; " - " &amp; UPPER(TEXT(G1595,"mmm"))</f>
        <v>FEB - MAY</v>
      </c>
      <c r="K1595" s="60" t="s">
        <v>3133</v>
      </c>
      <c r="L1595" s="77" t="s">
        <v>895</v>
      </c>
      <c r="M1595" s="32" t="str">
        <f t="shared" si="54"/>
        <v>No</v>
      </c>
      <c r="N1595" s="32">
        <f>G1595 - F1595</f>
        <v>99</v>
      </c>
      <c r="O1595">
        <v>1</v>
      </c>
    </row>
    <row r="1596" spans="1:15" x14ac:dyDescent="0.3">
      <c r="A1596" s="62" t="s">
        <v>3067</v>
      </c>
      <c r="B1596" s="77" t="s">
        <v>66</v>
      </c>
      <c r="C1596" s="77" t="s">
        <v>12</v>
      </c>
      <c r="D1596" s="62" t="s">
        <v>1085</v>
      </c>
      <c r="E1596" s="62" t="s">
        <v>3078</v>
      </c>
      <c r="F1596" s="79">
        <v>44988</v>
      </c>
      <c r="G1596" s="79">
        <v>45050</v>
      </c>
      <c r="H1596" s="32" t="str">
        <f t="shared" si="57"/>
        <v>EVEN</v>
      </c>
      <c r="I1596" s="108">
        <v>0</v>
      </c>
      <c r="J1596" s="60" t="str">
        <f>UPPER(TEXT(F1596,"mmm")) &amp; " - " &amp; UPPER(TEXT(G1596,"mmm"))</f>
        <v>MAR - MAY</v>
      </c>
      <c r="K1596" s="60" t="s">
        <v>3133</v>
      </c>
      <c r="L1596" s="77" t="s">
        <v>895</v>
      </c>
      <c r="M1596" s="32" t="str">
        <f t="shared" si="54"/>
        <v>No</v>
      </c>
      <c r="N1596" s="32">
        <f>G1596 - F1596</f>
        <v>62</v>
      </c>
      <c r="O1596">
        <v>1</v>
      </c>
    </row>
    <row r="1597" spans="1:15" x14ac:dyDescent="0.3">
      <c r="A1597" s="62" t="s">
        <v>2534</v>
      </c>
      <c r="B1597" s="77" t="s">
        <v>66</v>
      </c>
      <c r="C1597" s="77" t="s">
        <v>12</v>
      </c>
      <c r="D1597" s="62" t="s">
        <v>3079</v>
      </c>
      <c r="E1597" s="62" t="s">
        <v>3022</v>
      </c>
      <c r="F1597" s="79">
        <v>44988</v>
      </c>
      <c r="G1597" s="79">
        <v>45050</v>
      </c>
      <c r="H1597" s="32" t="str">
        <f t="shared" si="57"/>
        <v>EVEN</v>
      </c>
      <c r="I1597" s="108">
        <v>0</v>
      </c>
      <c r="J1597" s="60" t="str">
        <f>UPPER(TEXT(F1597,"mmm")) &amp; " - " &amp; UPPER(TEXT(G1597,"mmm"))</f>
        <v>MAR - MAY</v>
      </c>
      <c r="K1597" s="60" t="s">
        <v>3133</v>
      </c>
      <c r="L1597" s="77" t="s">
        <v>895</v>
      </c>
      <c r="M1597" s="32" t="str">
        <f t="shared" si="54"/>
        <v>No</v>
      </c>
      <c r="N1597" s="32">
        <f>G1597 - F1597</f>
        <v>62</v>
      </c>
      <c r="O1597">
        <v>1</v>
      </c>
    </row>
    <row r="1598" spans="1:15" x14ac:dyDescent="0.3">
      <c r="A1598" s="62" t="s">
        <v>2836</v>
      </c>
      <c r="B1598" s="77" t="s">
        <v>66</v>
      </c>
      <c r="C1598" s="77" t="s">
        <v>12</v>
      </c>
      <c r="D1598" s="62" t="s">
        <v>2532</v>
      </c>
      <c r="E1598" s="62" t="s">
        <v>3080</v>
      </c>
      <c r="F1598" s="79">
        <v>44988</v>
      </c>
      <c r="G1598" s="79">
        <v>45050</v>
      </c>
      <c r="H1598" s="32" t="str">
        <f t="shared" si="57"/>
        <v>EVEN</v>
      </c>
      <c r="I1598" s="108">
        <v>0</v>
      </c>
      <c r="J1598" s="60" t="str">
        <f>UPPER(TEXT(F1598,"mmm")) &amp; " - " &amp; UPPER(TEXT(G1598,"mmm"))</f>
        <v>MAR - MAY</v>
      </c>
      <c r="K1598" s="60" t="s">
        <v>3133</v>
      </c>
      <c r="L1598" s="77" t="s">
        <v>895</v>
      </c>
      <c r="M1598" s="32" t="str">
        <f t="shared" si="54"/>
        <v>No</v>
      </c>
      <c r="N1598" s="32">
        <f>G1598 - F1598</f>
        <v>62</v>
      </c>
      <c r="O1598">
        <v>1</v>
      </c>
    </row>
    <row r="1599" spans="1:15" x14ac:dyDescent="0.3">
      <c r="A1599" s="62" t="s">
        <v>3081</v>
      </c>
      <c r="B1599" s="77" t="s">
        <v>66</v>
      </c>
      <c r="C1599" s="77" t="s">
        <v>12</v>
      </c>
      <c r="D1599" s="62" t="s">
        <v>3082</v>
      </c>
      <c r="E1599" s="62" t="s">
        <v>3083</v>
      </c>
      <c r="F1599" s="79">
        <v>44993</v>
      </c>
      <c r="G1599" s="79">
        <v>45024</v>
      </c>
      <c r="H1599" s="32" t="str">
        <f t="shared" si="57"/>
        <v>EVEN</v>
      </c>
      <c r="I1599" s="108">
        <v>0</v>
      </c>
      <c r="J1599" s="60" t="str">
        <f>UPPER(TEXT(F1599,"mmm")) &amp; " - " &amp; UPPER(TEXT(G1599,"mmm"))</f>
        <v>MAR - APR</v>
      </c>
      <c r="K1599" s="60" t="s">
        <v>3133</v>
      </c>
      <c r="L1599" s="99" t="s">
        <v>3895</v>
      </c>
      <c r="M1599" s="32" t="str">
        <f t="shared" si="54"/>
        <v>No</v>
      </c>
      <c r="N1599" s="32">
        <f>G1599 - F1599</f>
        <v>31</v>
      </c>
      <c r="O1599">
        <v>1</v>
      </c>
    </row>
    <row r="1600" spans="1:15" x14ac:dyDescent="0.3">
      <c r="A1600" s="62" t="s">
        <v>3081</v>
      </c>
      <c r="B1600" s="77" t="s">
        <v>66</v>
      </c>
      <c r="C1600" s="77" t="s">
        <v>12</v>
      </c>
      <c r="D1600" s="62" t="s">
        <v>3084</v>
      </c>
      <c r="E1600" s="62" t="s">
        <v>3085</v>
      </c>
      <c r="F1600" s="79">
        <v>45030</v>
      </c>
      <c r="G1600" s="79">
        <v>45183</v>
      </c>
      <c r="H1600" s="32" t="str">
        <f t="shared" si="57"/>
        <v>EVEN</v>
      </c>
      <c r="I1600" s="108">
        <v>15000</v>
      </c>
      <c r="J1600" s="60" t="str">
        <f>UPPER(TEXT(F1600,"mmm")) &amp; " - " &amp; UPPER(TEXT(G1600,"mmm"))</f>
        <v>APR - SEP</v>
      </c>
      <c r="K1600" s="60" t="s">
        <v>3133</v>
      </c>
      <c r="L1600" s="99" t="s">
        <v>3895</v>
      </c>
      <c r="M1600" s="32" t="str">
        <f t="shared" si="54"/>
        <v>Yes</v>
      </c>
      <c r="N1600" s="32">
        <f>G1600 - F1600</f>
        <v>153</v>
      </c>
      <c r="O1600">
        <v>1</v>
      </c>
    </row>
    <row r="1601" spans="1:17" x14ac:dyDescent="0.3">
      <c r="A1601" s="62" t="s">
        <v>2624</v>
      </c>
      <c r="B1601" s="77" t="s">
        <v>66</v>
      </c>
      <c r="C1601" s="77" t="s">
        <v>12</v>
      </c>
      <c r="D1601" s="62" t="s">
        <v>2937</v>
      </c>
      <c r="E1601" s="62" t="s">
        <v>3086</v>
      </c>
      <c r="F1601" s="79">
        <v>45075</v>
      </c>
      <c r="G1601" s="79">
        <v>45136</v>
      </c>
      <c r="H1601" s="32" t="str">
        <f t="shared" si="57"/>
        <v>EVEN</v>
      </c>
      <c r="I1601" s="108">
        <v>0</v>
      </c>
      <c r="J1601" s="60" t="str">
        <f>UPPER(TEXT(F1601,"mmm")) &amp; " - " &amp; UPPER(TEXT(G1601,"mmm"))</f>
        <v>MAY - JUL</v>
      </c>
      <c r="K1601" s="60" t="s">
        <v>3133</v>
      </c>
      <c r="L1601" s="99" t="s">
        <v>3895</v>
      </c>
      <c r="M1601" s="32" t="str">
        <f t="shared" ref="M1601:M1664" si="58">IF(I1601 &gt; 0, "Yes", "No")</f>
        <v>No</v>
      </c>
      <c r="N1601" s="32">
        <f>G1601 - F1601</f>
        <v>61</v>
      </c>
      <c r="O1601">
        <v>1</v>
      </c>
    </row>
    <row r="1602" spans="1:17" x14ac:dyDescent="0.3">
      <c r="A1602" s="62" t="s">
        <v>2653</v>
      </c>
      <c r="B1602" s="77" t="s">
        <v>66</v>
      </c>
      <c r="C1602" s="77" t="s">
        <v>12</v>
      </c>
      <c r="D1602" s="62" t="s">
        <v>604</v>
      </c>
      <c r="E1602" s="62" t="s">
        <v>2869</v>
      </c>
      <c r="F1602" s="79">
        <v>45078</v>
      </c>
      <c r="G1602" s="79">
        <v>45169</v>
      </c>
      <c r="H1602" s="32" t="str">
        <f t="shared" si="57"/>
        <v>EVEN</v>
      </c>
      <c r="I1602" s="108">
        <v>0</v>
      </c>
      <c r="J1602" s="60" t="str">
        <f>UPPER(TEXT(F1602,"mmm")) &amp; " - " &amp; UPPER(TEXT(G1602,"mmm"))</f>
        <v>JUN - AUG</v>
      </c>
      <c r="K1602" s="60" t="s">
        <v>3133</v>
      </c>
      <c r="L1602" s="99" t="s">
        <v>3895</v>
      </c>
      <c r="M1602" s="32" t="str">
        <f t="shared" si="58"/>
        <v>No</v>
      </c>
      <c r="N1602" s="32">
        <f>G1602 - F1602</f>
        <v>91</v>
      </c>
      <c r="O1602">
        <v>1</v>
      </c>
    </row>
    <row r="1603" spans="1:17" x14ac:dyDescent="0.3">
      <c r="A1603" s="62" t="s">
        <v>2684</v>
      </c>
      <c r="B1603" s="77" t="s">
        <v>66</v>
      </c>
      <c r="C1603" s="77" t="s">
        <v>12</v>
      </c>
      <c r="D1603" s="62" t="s">
        <v>3087</v>
      </c>
      <c r="E1603" s="62" t="s">
        <v>3088</v>
      </c>
      <c r="F1603" s="79">
        <v>45078</v>
      </c>
      <c r="G1603" s="79">
        <v>45138</v>
      </c>
      <c r="H1603" s="32" t="str">
        <f t="shared" si="57"/>
        <v>EVEN</v>
      </c>
      <c r="I1603" s="108">
        <v>0</v>
      </c>
      <c r="J1603" s="60" t="str">
        <f>UPPER(TEXT(F1603,"mmm")) &amp; " - " &amp; UPPER(TEXT(G1603,"mmm"))</f>
        <v>JUN - JUL</v>
      </c>
      <c r="K1603" s="60" t="s">
        <v>3133</v>
      </c>
      <c r="L1603" s="77" t="s">
        <v>895</v>
      </c>
      <c r="M1603" s="32" t="str">
        <f t="shared" si="58"/>
        <v>No</v>
      </c>
      <c r="N1603" s="32">
        <f>G1603 - F1603</f>
        <v>60</v>
      </c>
      <c r="O1603">
        <v>1</v>
      </c>
    </row>
    <row r="1604" spans="1:17" x14ac:dyDescent="0.3">
      <c r="A1604" s="62" t="s">
        <v>3089</v>
      </c>
      <c r="B1604" s="77" t="s">
        <v>66</v>
      </c>
      <c r="C1604" s="77" t="s">
        <v>12</v>
      </c>
      <c r="D1604" s="62" t="s">
        <v>3090</v>
      </c>
      <c r="E1604" s="62" t="s">
        <v>3091</v>
      </c>
      <c r="F1604" s="79">
        <v>45078</v>
      </c>
      <c r="G1604" s="79">
        <v>45139</v>
      </c>
      <c r="H1604" s="32" t="str">
        <f t="shared" si="57"/>
        <v>EVEN</v>
      </c>
      <c r="I1604" s="108">
        <v>8000</v>
      </c>
      <c r="J1604" s="60" t="str">
        <f>UPPER(TEXT(F1604,"mmm")) &amp; " - " &amp; UPPER(TEXT(G1604,"mmm"))</f>
        <v>JUN - AUG</v>
      </c>
      <c r="K1604" s="60" t="s">
        <v>3133</v>
      </c>
      <c r="L1604" s="99" t="s">
        <v>3895</v>
      </c>
      <c r="M1604" s="32" t="str">
        <f t="shared" si="58"/>
        <v>Yes</v>
      </c>
      <c r="N1604" s="32">
        <f>G1604 - F1604</f>
        <v>61</v>
      </c>
      <c r="O1604">
        <v>1</v>
      </c>
    </row>
    <row r="1605" spans="1:17" x14ac:dyDescent="0.3">
      <c r="A1605" s="62" t="s">
        <v>1182</v>
      </c>
      <c r="B1605" s="77" t="s">
        <v>66</v>
      </c>
      <c r="C1605" s="77" t="s">
        <v>12</v>
      </c>
      <c r="D1605" s="62" t="s">
        <v>3092</v>
      </c>
      <c r="E1605" s="62" t="s">
        <v>389</v>
      </c>
      <c r="F1605" s="79">
        <v>45082</v>
      </c>
      <c r="G1605" s="79">
        <v>45138</v>
      </c>
      <c r="H1605" s="32" t="str">
        <f t="shared" si="57"/>
        <v>EVEN</v>
      </c>
      <c r="I1605" s="108">
        <v>20000</v>
      </c>
      <c r="J1605" s="60" t="str">
        <f>UPPER(TEXT(F1605,"mmm")) &amp; " - " &amp; UPPER(TEXT(G1605,"mmm"))</f>
        <v>JUN - JUL</v>
      </c>
      <c r="K1605" s="60" t="s">
        <v>3133</v>
      </c>
      <c r="L1605" s="99" t="s">
        <v>3895</v>
      </c>
      <c r="M1605" s="32" t="str">
        <f t="shared" si="58"/>
        <v>Yes</v>
      </c>
      <c r="N1605" s="32">
        <f>G1605 - F1605</f>
        <v>56</v>
      </c>
      <c r="O1605">
        <v>1</v>
      </c>
    </row>
    <row r="1606" spans="1:17" x14ac:dyDescent="0.3">
      <c r="A1606" s="62" t="s">
        <v>3093</v>
      </c>
      <c r="B1606" s="77" t="s">
        <v>66</v>
      </c>
      <c r="C1606" s="77" t="s">
        <v>12</v>
      </c>
      <c r="D1606" s="62" t="s">
        <v>3094</v>
      </c>
      <c r="E1606" s="62" t="s">
        <v>3095</v>
      </c>
      <c r="F1606" s="79">
        <v>45082</v>
      </c>
      <c r="G1606" s="79">
        <v>45138</v>
      </c>
      <c r="H1606" s="32" t="str">
        <f t="shared" si="57"/>
        <v>EVEN</v>
      </c>
      <c r="I1606" s="108">
        <v>20000</v>
      </c>
      <c r="J1606" s="60" t="str">
        <f>UPPER(TEXT(F1606,"mmm")) &amp; " - " &amp; UPPER(TEXT(G1606,"mmm"))</f>
        <v>JUN - JUL</v>
      </c>
      <c r="K1606" s="60" t="s">
        <v>3133</v>
      </c>
      <c r="L1606" s="99" t="s">
        <v>3895</v>
      </c>
      <c r="M1606" s="32" t="str">
        <f t="shared" si="58"/>
        <v>Yes</v>
      </c>
      <c r="N1606" s="32">
        <f>G1606 - F1606</f>
        <v>56</v>
      </c>
      <c r="O1606">
        <v>1</v>
      </c>
    </row>
    <row r="1607" spans="1:17" x14ac:dyDescent="0.3">
      <c r="A1607" s="62" t="s">
        <v>2993</v>
      </c>
      <c r="B1607" s="77" t="s">
        <v>66</v>
      </c>
      <c r="C1607" s="77" t="s">
        <v>12</v>
      </c>
      <c r="D1607" s="62" t="s">
        <v>3096</v>
      </c>
      <c r="E1607" s="62" t="s">
        <v>3097</v>
      </c>
      <c r="F1607" s="79">
        <v>45082</v>
      </c>
      <c r="G1607" s="79">
        <v>45138</v>
      </c>
      <c r="H1607" s="32" t="str">
        <f t="shared" si="57"/>
        <v>EVEN</v>
      </c>
      <c r="I1607" s="108">
        <v>20000</v>
      </c>
      <c r="J1607" s="60" t="str">
        <f>UPPER(TEXT(F1607,"mmm")) &amp; " - " &amp; UPPER(TEXT(G1607,"mmm"))</f>
        <v>JUN - JUL</v>
      </c>
      <c r="K1607" s="60" t="s">
        <v>3133</v>
      </c>
      <c r="L1607" s="99" t="s">
        <v>3895</v>
      </c>
      <c r="M1607" s="32" t="str">
        <f t="shared" si="58"/>
        <v>Yes</v>
      </c>
      <c r="N1607" s="32">
        <f>G1607 - F1607</f>
        <v>56</v>
      </c>
      <c r="O1607">
        <v>1</v>
      </c>
    </row>
    <row r="1608" spans="1:17" x14ac:dyDescent="0.3">
      <c r="A1608" s="62" t="s">
        <v>1448</v>
      </c>
      <c r="B1608" s="77" t="s">
        <v>66</v>
      </c>
      <c r="C1608" s="77" t="s">
        <v>12</v>
      </c>
      <c r="D1608" s="62" t="s">
        <v>3098</v>
      </c>
      <c r="E1608" s="62" t="s">
        <v>3099</v>
      </c>
      <c r="F1608" s="79">
        <v>45025</v>
      </c>
      <c r="G1608" s="79">
        <v>45083</v>
      </c>
      <c r="H1608" s="32" t="str">
        <f t="shared" ref="H1608" si="59">IF((AND(F1608&gt;=DATE(2019,7,15),F1608&lt;=DATE(2019,12,31))),"ODD", "EVEN")</f>
        <v>EVEN</v>
      </c>
      <c r="I1608" s="108">
        <v>26500</v>
      </c>
      <c r="J1608" s="3" t="str">
        <f>UPPER(TEXT(F1608,"mmm")) &amp; " - " &amp; UPPER(TEXT(G1608,"mmm"))</f>
        <v>APR - JUN</v>
      </c>
      <c r="K1608" s="60" t="s">
        <v>3133</v>
      </c>
      <c r="L1608" s="99" t="s">
        <v>3895</v>
      </c>
      <c r="M1608" s="32" t="str">
        <f t="shared" si="58"/>
        <v>Yes</v>
      </c>
      <c r="N1608" s="32">
        <f>G1608 - F1608</f>
        <v>58</v>
      </c>
      <c r="O1608">
        <v>1</v>
      </c>
      <c r="P1608" s="79"/>
      <c r="Q1608" s="79"/>
    </row>
    <row r="1609" spans="1:17" x14ac:dyDescent="0.3">
      <c r="A1609" s="62" t="s">
        <v>2601</v>
      </c>
      <c r="B1609" s="77" t="s">
        <v>66</v>
      </c>
      <c r="C1609" s="77" t="s">
        <v>12</v>
      </c>
      <c r="D1609" s="62" t="s">
        <v>260</v>
      </c>
      <c r="E1609" s="62" t="s">
        <v>3100</v>
      </c>
      <c r="F1609" s="79">
        <v>45083</v>
      </c>
      <c r="G1609" s="79">
        <v>45113</v>
      </c>
      <c r="H1609" s="32" t="str">
        <f t="shared" si="57"/>
        <v>EVEN</v>
      </c>
      <c r="I1609" s="108">
        <v>0</v>
      </c>
      <c r="J1609" s="60" t="str">
        <f>UPPER(TEXT(F1609,"mmm")) &amp; " - " &amp; UPPER(TEXT(G1609,"mmm"))</f>
        <v>JUN - JUL</v>
      </c>
      <c r="K1609" s="60" t="s">
        <v>3133</v>
      </c>
      <c r="L1609" s="99" t="s">
        <v>3895</v>
      </c>
      <c r="M1609" s="32" t="str">
        <f t="shared" si="58"/>
        <v>No</v>
      </c>
      <c r="N1609" s="32">
        <f>G1609 - F1609</f>
        <v>30</v>
      </c>
      <c r="O1609">
        <v>1</v>
      </c>
    </row>
    <row r="1610" spans="1:17" x14ac:dyDescent="0.3">
      <c r="A1610" s="62" t="s">
        <v>3101</v>
      </c>
      <c r="B1610" s="77" t="s">
        <v>66</v>
      </c>
      <c r="C1610" s="77" t="s">
        <v>12</v>
      </c>
      <c r="D1610" s="62" t="s">
        <v>3102</v>
      </c>
      <c r="E1610" s="62" t="s">
        <v>408</v>
      </c>
      <c r="F1610" s="79">
        <v>45087</v>
      </c>
      <c r="G1610" s="79">
        <v>45122</v>
      </c>
      <c r="H1610" s="32" t="str">
        <f t="shared" si="57"/>
        <v>EVEN</v>
      </c>
      <c r="I1610" s="108">
        <v>0</v>
      </c>
      <c r="J1610" s="60" t="str">
        <f>UPPER(TEXT(F1610,"mmm")) &amp; " - " &amp; UPPER(TEXT(G1610,"mmm"))</f>
        <v>JUN - JUL</v>
      </c>
      <c r="K1610" s="60" t="s">
        <v>3133</v>
      </c>
      <c r="L1610" s="99" t="s">
        <v>3895</v>
      </c>
      <c r="M1610" s="32" t="str">
        <f t="shared" si="58"/>
        <v>No</v>
      </c>
      <c r="N1610" s="32">
        <f>G1610 - F1610</f>
        <v>35</v>
      </c>
      <c r="O1610">
        <v>1</v>
      </c>
    </row>
    <row r="1611" spans="1:17" x14ac:dyDescent="0.3">
      <c r="A1611" s="62" t="s">
        <v>3103</v>
      </c>
      <c r="B1611" s="77" t="s">
        <v>66</v>
      </c>
      <c r="C1611" s="77" t="s">
        <v>12</v>
      </c>
      <c r="D1611" s="62" t="s">
        <v>3058</v>
      </c>
      <c r="E1611" s="62" t="s">
        <v>393</v>
      </c>
      <c r="F1611" s="79">
        <v>45089</v>
      </c>
      <c r="G1611" s="79">
        <v>45211</v>
      </c>
      <c r="H1611" s="32" t="str">
        <f t="shared" si="57"/>
        <v>EVEN</v>
      </c>
      <c r="I1611" s="108">
        <v>0</v>
      </c>
      <c r="J1611" s="60" t="str">
        <f>UPPER(TEXT(F1611,"mmm")) &amp; " - " &amp; UPPER(TEXT(G1611,"mmm"))</f>
        <v>JUN - OCT</v>
      </c>
      <c r="K1611" s="60" t="s">
        <v>3133</v>
      </c>
      <c r="L1611" s="99" t="s">
        <v>3895</v>
      </c>
      <c r="M1611" s="32" t="str">
        <f t="shared" si="58"/>
        <v>No</v>
      </c>
      <c r="N1611" s="32">
        <f>G1611 - F1611</f>
        <v>122</v>
      </c>
      <c r="O1611">
        <v>1</v>
      </c>
    </row>
    <row r="1612" spans="1:17" x14ac:dyDescent="0.3">
      <c r="A1612" s="62" t="s">
        <v>2422</v>
      </c>
      <c r="B1612" s="77" t="s">
        <v>66</v>
      </c>
      <c r="C1612" s="77" t="s">
        <v>12</v>
      </c>
      <c r="D1612" s="62" t="s">
        <v>3104</v>
      </c>
      <c r="E1612" s="62" t="s">
        <v>3105</v>
      </c>
      <c r="F1612" s="79">
        <v>45096</v>
      </c>
      <c r="G1612" s="79">
        <v>45128</v>
      </c>
      <c r="H1612" s="32" t="str">
        <f t="shared" si="57"/>
        <v>EVEN</v>
      </c>
      <c r="I1612" s="108">
        <v>15000</v>
      </c>
      <c r="J1612" s="60" t="str">
        <f>UPPER(TEXT(F1612,"mmm")) &amp; " - " &amp; UPPER(TEXT(G1612,"mmm"))</f>
        <v>JUN - JUL</v>
      </c>
      <c r="K1612" s="60" t="s">
        <v>3133</v>
      </c>
      <c r="L1612" s="99" t="s">
        <v>3895</v>
      </c>
      <c r="M1612" s="32" t="str">
        <f t="shared" si="58"/>
        <v>Yes</v>
      </c>
      <c r="N1612" s="32">
        <f>G1612 - F1612</f>
        <v>32</v>
      </c>
      <c r="O1612">
        <v>1</v>
      </c>
    </row>
    <row r="1613" spans="1:17" x14ac:dyDescent="0.3">
      <c r="A1613" s="62" t="s">
        <v>3101</v>
      </c>
      <c r="B1613" s="77" t="s">
        <v>66</v>
      </c>
      <c r="C1613" s="77" t="s">
        <v>12</v>
      </c>
      <c r="D1613" s="62" t="s">
        <v>25</v>
      </c>
      <c r="E1613" s="62" t="s">
        <v>3106</v>
      </c>
      <c r="F1613" s="79">
        <v>45106</v>
      </c>
      <c r="G1613" s="79">
        <v>45228</v>
      </c>
      <c r="H1613" s="32" t="str">
        <f t="shared" si="57"/>
        <v>EVEN</v>
      </c>
      <c r="I1613" s="108">
        <v>0</v>
      </c>
      <c r="J1613" s="60" t="str">
        <f>UPPER(TEXT(F1613,"mmm")) &amp; " - " &amp; UPPER(TEXT(G1613,"mmm"))</f>
        <v>JUN - OCT</v>
      </c>
      <c r="K1613" s="60" t="s">
        <v>3133</v>
      </c>
      <c r="L1613" s="77" t="s">
        <v>895</v>
      </c>
      <c r="M1613" s="32" t="str">
        <f t="shared" si="58"/>
        <v>No</v>
      </c>
      <c r="N1613" s="32">
        <f>G1613 - F1613</f>
        <v>122</v>
      </c>
      <c r="O1613">
        <v>1</v>
      </c>
    </row>
    <row r="1614" spans="1:17" x14ac:dyDescent="0.3">
      <c r="A1614" s="51" t="s">
        <v>3107</v>
      </c>
      <c r="B1614" s="60" t="s">
        <v>11</v>
      </c>
      <c r="C1614" s="60" t="s">
        <v>12</v>
      </c>
      <c r="D1614" s="51" t="s">
        <v>3108</v>
      </c>
      <c r="E1614" s="51" t="s">
        <v>3109</v>
      </c>
      <c r="F1614" s="75">
        <v>44942</v>
      </c>
      <c r="G1614" s="75">
        <v>45107</v>
      </c>
      <c r="H1614" s="32" t="str">
        <f t="shared" si="57"/>
        <v>EVEN</v>
      </c>
      <c r="I1614" s="105">
        <v>0</v>
      </c>
      <c r="J1614" s="60" t="str">
        <f>UPPER(TEXT(F1614,"mmm")) &amp; " - " &amp; UPPER(TEXT(G1614,"mmm"))</f>
        <v>JAN - JUN</v>
      </c>
      <c r="K1614" s="60" t="s">
        <v>3133</v>
      </c>
      <c r="L1614" s="60" t="s">
        <v>895</v>
      </c>
      <c r="M1614" s="32" t="str">
        <f t="shared" si="58"/>
        <v>No</v>
      </c>
      <c r="N1614" s="32">
        <f>G1614 - F1614</f>
        <v>165</v>
      </c>
      <c r="O1614">
        <v>1</v>
      </c>
    </row>
    <row r="1615" spans="1:17" x14ac:dyDescent="0.3">
      <c r="A1615" s="51" t="s">
        <v>3110</v>
      </c>
      <c r="B1615" s="60" t="s">
        <v>78</v>
      </c>
      <c r="C1615" s="60" t="s">
        <v>12</v>
      </c>
      <c r="D1615" s="51" t="s">
        <v>3111</v>
      </c>
      <c r="E1615" s="51" t="s">
        <v>3112</v>
      </c>
      <c r="F1615" s="75">
        <v>45031</v>
      </c>
      <c r="G1615" s="75">
        <v>45169</v>
      </c>
      <c r="H1615" s="32" t="str">
        <f t="shared" si="57"/>
        <v>EVEN</v>
      </c>
      <c r="I1615" s="105">
        <v>0</v>
      </c>
      <c r="J1615" s="60" t="str">
        <f>UPPER(TEXT(F1615,"mmm")) &amp; " - " &amp; UPPER(TEXT(G1615,"mmm"))</f>
        <v>APR - AUG</v>
      </c>
      <c r="K1615" s="60" t="s">
        <v>3133</v>
      </c>
      <c r="L1615" s="99" t="s">
        <v>3895</v>
      </c>
      <c r="M1615" s="32" t="str">
        <f t="shared" si="58"/>
        <v>No</v>
      </c>
      <c r="N1615" s="32">
        <f>G1615 - F1615</f>
        <v>138</v>
      </c>
      <c r="O1615">
        <v>1</v>
      </c>
    </row>
    <row r="1616" spans="1:17" x14ac:dyDescent="0.3">
      <c r="A1616" s="51" t="s">
        <v>2898</v>
      </c>
      <c r="B1616" s="60" t="s">
        <v>78</v>
      </c>
      <c r="C1616" s="60" t="s">
        <v>12</v>
      </c>
      <c r="D1616" s="51" t="s">
        <v>694</v>
      </c>
      <c r="E1616" s="51" t="s">
        <v>2749</v>
      </c>
      <c r="F1616" s="75">
        <v>44801</v>
      </c>
      <c r="G1616" s="75">
        <v>44834</v>
      </c>
      <c r="H1616" s="32" t="str">
        <f t="shared" si="57"/>
        <v>ODD</v>
      </c>
      <c r="I1616" s="105">
        <v>0</v>
      </c>
      <c r="J1616" s="60" t="str">
        <f>UPPER(TEXT(F1616,"mmm")) &amp; " - " &amp; UPPER(TEXT(G1616,"mmm"))</f>
        <v>AUG - SEP</v>
      </c>
      <c r="K1616" s="60" t="s">
        <v>3133</v>
      </c>
      <c r="L1616" s="60" t="s">
        <v>895</v>
      </c>
      <c r="M1616" s="32" t="str">
        <f t="shared" si="58"/>
        <v>No</v>
      </c>
      <c r="N1616" s="32">
        <f>G1616 - F1616</f>
        <v>33</v>
      </c>
      <c r="O1616">
        <v>1</v>
      </c>
    </row>
    <row r="1617" spans="1:15" x14ac:dyDescent="0.3">
      <c r="A1617" s="51" t="s">
        <v>1886</v>
      </c>
      <c r="B1617" s="60" t="s">
        <v>78</v>
      </c>
      <c r="C1617" s="60" t="s">
        <v>12</v>
      </c>
      <c r="D1617" s="51" t="s">
        <v>3113</v>
      </c>
      <c r="E1617" s="51" t="s">
        <v>3114</v>
      </c>
      <c r="F1617" s="75">
        <v>45093</v>
      </c>
      <c r="G1617" s="75">
        <v>45203</v>
      </c>
      <c r="H1617" s="32" t="str">
        <f t="shared" si="57"/>
        <v>EVEN</v>
      </c>
      <c r="I1617" s="105">
        <v>0</v>
      </c>
      <c r="J1617" s="60" t="str">
        <f>UPPER(TEXT(F1617,"mmm")) &amp; " - " &amp; UPPER(TEXT(G1617,"mmm"))</f>
        <v>JUN - OCT</v>
      </c>
      <c r="K1617" s="60" t="s">
        <v>3133</v>
      </c>
      <c r="L1617" s="60" t="s">
        <v>895</v>
      </c>
      <c r="M1617" s="32" t="str">
        <f t="shared" si="58"/>
        <v>No</v>
      </c>
      <c r="N1617" s="32">
        <f>G1617 - F1617</f>
        <v>110</v>
      </c>
      <c r="O1617">
        <v>1</v>
      </c>
    </row>
    <row r="1618" spans="1:15" x14ac:dyDescent="0.3">
      <c r="A1618" s="51" t="s">
        <v>3115</v>
      </c>
      <c r="B1618" s="60" t="s">
        <v>78</v>
      </c>
      <c r="C1618" s="60" t="s">
        <v>12</v>
      </c>
      <c r="D1618" s="51" t="s">
        <v>674</v>
      </c>
      <c r="E1618" s="51" t="s">
        <v>3114</v>
      </c>
      <c r="F1618" s="75">
        <v>45093</v>
      </c>
      <c r="G1618" s="75">
        <v>45203</v>
      </c>
      <c r="H1618" s="32" t="str">
        <f t="shared" si="57"/>
        <v>EVEN</v>
      </c>
      <c r="I1618" s="105">
        <v>0</v>
      </c>
      <c r="J1618" s="60" t="str">
        <f>UPPER(TEXT(F1618,"mmm")) &amp; " - " &amp; UPPER(TEXT(G1618,"mmm"))</f>
        <v>JUN - OCT</v>
      </c>
      <c r="K1618" s="60" t="s">
        <v>3133</v>
      </c>
      <c r="L1618" s="60" t="s">
        <v>895</v>
      </c>
      <c r="M1618" s="32" t="str">
        <f t="shared" si="58"/>
        <v>No</v>
      </c>
      <c r="N1618" s="32">
        <f>G1618 - F1618</f>
        <v>110</v>
      </c>
      <c r="O1618">
        <v>1</v>
      </c>
    </row>
    <row r="1619" spans="1:15" x14ac:dyDescent="0.3">
      <c r="A1619" s="51" t="s">
        <v>2566</v>
      </c>
      <c r="B1619" s="60" t="s">
        <v>66</v>
      </c>
      <c r="C1619" s="60" t="s">
        <v>12</v>
      </c>
      <c r="D1619" s="51" t="s">
        <v>3116</v>
      </c>
      <c r="E1619" s="51" t="s">
        <v>2366</v>
      </c>
      <c r="F1619" s="75">
        <v>44743</v>
      </c>
      <c r="G1619" s="75">
        <v>45107</v>
      </c>
      <c r="H1619" s="32" t="str">
        <f t="shared" si="57"/>
        <v>EVEN</v>
      </c>
      <c r="I1619" s="105">
        <v>20000</v>
      </c>
      <c r="J1619" s="60" t="str">
        <f>UPPER(TEXT(F1619,"mmm")) &amp; " - " &amp; UPPER(TEXT(G1619,"mmm"))</f>
        <v>JUL - JUN</v>
      </c>
      <c r="K1619" s="60" t="s">
        <v>3133</v>
      </c>
      <c r="L1619" s="99" t="s">
        <v>3895</v>
      </c>
      <c r="M1619" s="32" t="str">
        <f t="shared" si="58"/>
        <v>Yes</v>
      </c>
      <c r="N1619" s="32">
        <f>G1619 - F1619</f>
        <v>364</v>
      </c>
      <c r="O1619">
        <v>1</v>
      </c>
    </row>
    <row r="1620" spans="1:15" x14ac:dyDescent="0.3">
      <c r="A1620" s="51" t="s">
        <v>2501</v>
      </c>
      <c r="B1620" s="60" t="s">
        <v>66</v>
      </c>
      <c r="C1620" s="60" t="s">
        <v>12</v>
      </c>
      <c r="D1620" s="51" t="s">
        <v>1740</v>
      </c>
      <c r="E1620" s="51" t="s">
        <v>420</v>
      </c>
      <c r="F1620" s="75">
        <v>45082</v>
      </c>
      <c r="G1620" s="75">
        <v>45138</v>
      </c>
      <c r="H1620" s="32" t="str">
        <f t="shared" si="57"/>
        <v>EVEN</v>
      </c>
      <c r="I1620" s="105">
        <v>20000</v>
      </c>
      <c r="J1620" s="60" t="str">
        <f>UPPER(TEXT(F1620,"mmm")) &amp; " - " &amp; UPPER(TEXT(G1620,"mmm"))</f>
        <v>JUN - JUL</v>
      </c>
      <c r="K1620" s="60" t="s">
        <v>3133</v>
      </c>
      <c r="L1620" s="99" t="s">
        <v>3895</v>
      </c>
      <c r="M1620" s="32" t="str">
        <f t="shared" si="58"/>
        <v>Yes</v>
      </c>
      <c r="N1620" s="32">
        <f>G1620 - F1620</f>
        <v>56</v>
      </c>
      <c r="O1620">
        <v>1</v>
      </c>
    </row>
    <row r="1621" spans="1:15" x14ac:dyDescent="0.3">
      <c r="A1621" s="51" t="s">
        <v>2040</v>
      </c>
      <c r="B1621" s="60" t="s">
        <v>66</v>
      </c>
      <c r="C1621" s="60" t="s">
        <v>12</v>
      </c>
      <c r="D1621" s="51" t="s">
        <v>3117</v>
      </c>
      <c r="E1621" s="51" t="s">
        <v>3118</v>
      </c>
      <c r="F1621" s="75">
        <v>45078</v>
      </c>
      <c r="G1621" s="75">
        <v>45138</v>
      </c>
      <c r="H1621" s="32" t="str">
        <f t="shared" si="57"/>
        <v>EVEN</v>
      </c>
      <c r="I1621" s="105">
        <v>12000</v>
      </c>
      <c r="J1621" s="60" t="str">
        <f>UPPER(TEXT(F1621,"mmm")) &amp; " - " &amp; UPPER(TEXT(G1621,"mmm"))</f>
        <v>JUN - JUL</v>
      </c>
      <c r="K1621" s="60" t="s">
        <v>3133</v>
      </c>
      <c r="L1621" s="60" t="s">
        <v>895</v>
      </c>
      <c r="M1621" s="32" t="str">
        <f t="shared" si="58"/>
        <v>Yes</v>
      </c>
      <c r="N1621" s="32">
        <f>G1621 - F1621</f>
        <v>60</v>
      </c>
      <c r="O1621">
        <v>1</v>
      </c>
    </row>
    <row r="1622" spans="1:15" x14ac:dyDescent="0.3">
      <c r="A1622" s="51" t="s">
        <v>2473</v>
      </c>
      <c r="B1622" s="60" t="s">
        <v>66</v>
      </c>
      <c r="C1622" s="60" t="s">
        <v>12</v>
      </c>
      <c r="D1622" s="51" t="s">
        <v>3119</v>
      </c>
      <c r="E1622" s="51" t="s">
        <v>2366</v>
      </c>
      <c r="F1622" s="75">
        <v>45078</v>
      </c>
      <c r="G1622" s="75">
        <v>45107</v>
      </c>
      <c r="H1622" s="32" t="str">
        <f t="shared" ref="H1622:H1628" si="60">IF(AND(F1622&gt;=DATE(2022,7,15), F1622&lt;=DATE(2022,12,31)), "ODD", "EVEN")</f>
        <v>EVEN</v>
      </c>
      <c r="I1622" s="105">
        <v>0</v>
      </c>
      <c r="J1622" s="60" t="str">
        <f>UPPER(TEXT(F1622,"mmm")) &amp; " - " &amp; UPPER(TEXT(G1622,"mmm"))</f>
        <v>JUN - JUN</v>
      </c>
      <c r="K1622" s="60" t="s">
        <v>3133</v>
      </c>
      <c r="L1622" s="99" t="s">
        <v>3895</v>
      </c>
      <c r="M1622" s="32" t="str">
        <f t="shared" si="58"/>
        <v>No</v>
      </c>
      <c r="N1622" s="32">
        <f>G1622 - F1622</f>
        <v>29</v>
      </c>
      <c r="O1622">
        <v>1</v>
      </c>
    </row>
    <row r="1623" spans="1:15" x14ac:dyDescent="0.3">
      <c r="A1623" s="51" t="s">
        <v>3120</v>
      </c>
      <c r="B1623" s="60" t="s">
        <v>66</v>
      </c>
      <c r="C1623" s="60" t="s">
        <v>12</v>
      </c>
      <c r="D1623" s="51" t="s">
        <v>3121</v>
      </c>
      <c r="E1623" s="51" t="s">
        <v>3122</v>
      </c>
      <c r="F1623" s="75">
        <v>45078</v>
      </c>
      <c r="G1623" s="75">
        <v>45169</v>
      </c>
      <c r="H1623" s="32" t="str">
        <f t="shared" si="60"/>
        <v>EVEN</v>
      </c>
      <c r="I1623" s="105">
        <v>0</v>
      </c>
      <c r="J1623" s="60" t="str">
        <f>UPPER(TEXT(F1623,"mmm")) &amp; " - " &amp; UPPER(TEXT(G1623,"mmm"))</f>
        <v>JUN - AUG</v>
      </c>
      <c r="K1623" s="60" t="s">
        <v>3133</v>
      </c>
      <c r="L1623" s="99" t="s">
        <v>3895</v>
      </c>
      <c r="M1623" s="32" t="str">
        <f t="shared" si="58"/>
        <v>No</v>
      </c>
      <c r="N1623" s="32">
        <f>G1623 - F1623</f>
        <v>91</v>
      </c>
      <c r="O1623">
        <v>1</v>
      </c>
    </row>
    <row r="1624" spans="1:15" x14ac:dyDescent="0.3">
      <c r="A1624" s="51" t="s">
        <v>3123</v>
      </c>
      <c r="B1624" s="60" t="s">
        <v>66</v>
      </c>
      <c r="C1624" s="60" t="s">
        <v>12</v>
      </c>
      <c r="D1624" s="51" t="s">
        <v>3124</v>
      </c>
      <c r="E1624" s="51" t="s">
        <v>3125</v>
      </c>
      <c r="F1624" s="75">
        <v>45082</v>
      </c>
      <c r="G1624" s="75">
        <v>45138</v>
      </c>
      <c r="H1624" s="32" t="str">
        <f t="shared" si="60"/>
        <v>EVEN</v>
      </c>
      <c r="I1624" s="105">
        <v>25000</v>
      </c>
      <c r="J1624" s="60" t="str">
        <f>UPPER(TEXT(F1624,"mmm")) &amp; " - " &amp; UPPER(TEXT(G1624,"mmm"))</f>
        <v>JUN - JUL</v>
      </c>
      <c r="K1624" s="60" t="s">
        <v>3133</v>
      </c>
      <c r="L1624" s="99" t="s">
        <v>3895</v>
      </c>
      <c r="M1624" s="32" t="str">
        <f t="shared" si="58"/>
        <v>Yes</v>
      </c>
      <c r="N1624" s="32">
        <f>G1624 - F1624</f>
        <v>56</v>
      </c>
      <c r="O1624">
        <v>1</v>
      </c>
    </row>
    <row r="1625" spans="1:15" x14ac:dyDescent="0.3">
      <c r="A1625" s="51" t="s">
        <v>3123</v>
      </c>
      <c r="B1625" s="60" t="s">
        <v>66</v>
      </c>
      <c r="C1625" s="60" t="s">
        <v>12</v>
      </c>
      <c r="D1625" s="51" t="s">
        <v>2140</v>
      </c>
      <c r="E1625" s="51" t="s">
        <v>3126</v>
      </c>
      <c r="F1625" s="75">
        <v>44795</v>
      </c>
      <c r="G1625" s="75">
        <v>44985</v>
      </c>
      <c r="H1625" s="32" t="str">
        <f t="shared" si="60"/>
        <v>ODD</v>
      </c>
      <c r="I1625" s="105">
        <v>0</v>
      </c>
      <c r="J1625" s="60" t="str">
        <f>UPPER(TEXT(F1625,"mmm")) &amp; " - " &amp; UPPER(TEXT(G1625,"mmm"))</f>
        <v>AUG - FEB</v>
      </c>
      <c r="K1625" s="60" t="s">
        <v>3133</v>
      </c>
      <c r="L1625" s="60" t="s">
        <v>895</v>
      </c>
      <c r="M1625" s="32" t="str">
        <f t="shared" si="58"/>
        <v>No</v>
      </c>
      <c r="N1625" s="32">
        <f>G1625 - F1625</f>
        <v>190</v>
      </c>
      <c r="O1625">
        <v>1</v>
      </c>
    </row>
    <row r="1626" spans="1:15" x14ac:dyDescent="0.3">
      <c r="A1626" s="51" t="s">
        <v>2571</v>
      </c>
      <c r="B1626" s="60" t="s">
        <v>66</v>
      </c>
      <c r="C1626" s="60" t="s">
        <v>12</v>
      </c>
      <c r="D1626" s="51" t="s">
        <v>3127</v>
      </c>
      <c r="E1626" s="51" t="s">
        <v>3128</v>
      </c>
      <c r="F1626" s="75">
        <v>44947</v>
      </c>
      <c r="G1626" s="75">
        <v>45029</v>
      </c>
      <c r="H1626" s="32" t="str">
        <f t="shared" si="60"/>
        <v>EVEN</v>
      </c>
      <c r="I1626" s="105">
        <v>0</v>
      </c>
      <c r="J1626" s="60" t="str">
        <f>UPPER(TEXT(F1626,"mmm")) &amp; " - " &amp; UPPER(TEXT(G1626,"mmm"))</f>
        <v>JAN - APR</v>
      </c>
      <c r="K1626" s="60" t="s">
        <v>3133</v>
      </c>
      <c r="L1626" s="60" t="s">
        <v>895</v>
      </c>
      <c r="M1626" s="32" t="str">
        <f t="shared" si="58"/>
        <v>No</v>
      </c>
      <c r="N1626" s="32">
        <f>G1626 - F1626</f>
        <v>82</v>
      </c>
      <c r="O1626">
        <v>1</v>
      </c>
    </row>
    <row r="1627" spans="1:15" x14ac:dyDescent="0.3">
      <c r="A1627" s="51" t="s">
        <v>2476</v>
      </c>
      <c r="B1627" s="60" t="s">
        <v>66</v>
      </c>
      <c r="C1627" s="60" t="s">
        <v>12</v>
      </c>
      <c r="D1627" s="51" t="s">
        <v>3129</v>
      </c>
      <c r="E1627" s="51" t="s">
        <v>2366</v>
      </c>
      <c r="F1627" s="75">
        <v>45078</v>
      </c>
      <c r="G1627" s="75">
        <v>45107</v>
      </c>
      <c r="H1627" s="32" t="str">
        <f t="shared" si="60"/>
        <v>EVEN</v>
      </c>
      <c r="I1627" s="105">
        <v>0</v>
      </c>
      <c r="J1627" s="60" t="str">
        <f>UPPER(TEXT(F1627,"mmm")) &amp; " - " &amp; UPPER(TEXT(G1627,"mmm"))</f>
        <v>JUN - JUN</v>
      </c>
      <c r="K1627" s="60" t="s">
        <v>3133</v>
      </c>
      <c r="L1627" s="99" t="s">
        <v>3895</v>
      </c>
      <c r="M1627" s="32" t="str">
        <f t="shared" si="58"/>
        <v>No</v>
      </c>
      <c r="N1627" s="32">
        <f>G1627 - F1627</f>
        <v>29</v>
      </c>
      <c r="O1627">
        <v>1</v>
      </c>
    </row>
    <row r="1628" spans="1:15" x14ac:dyDescent="0.3">
      <c r="A1628" s="51" t="s">
        <v>3130</v>
      </c>
      <c r="B1628" s="60" t="s">
        <v>66</v>
      </c>
      <c r="C1628" s="60" t="s">
        <v>12</v>
      </c>
      <c r="D1628" s="51" t="s">
        <v>3131</v>
      </c>
      <c r="E1628" s="51" t="s">
        <v>3132</v>
      </c>
      <c r="F1628" s="75">
        <v>45097</v>
      </c>
      <c r="G1628" s="75">
        <v>45147</v>
      </c>
      <c r="H1628" s="32" t="str">
        <f t="shared" si="60"/>
        <v>EVEN</v>
      </c>
      <c r="I1628" s="105">
        <v>15000</v>
      </c>
      <c r="J1628" s="60" t="str">
        <f>UPPER(TEXT(F1628,"mmm")) &amp; " - " &amp; UPPER(TEXT(G1628,"mmm"))</f>
        <v>JUN - AUG</v>
      </c>
      <c r="K1628" s="60" t="s">
        <v>3133</v>
      </c>
      <c r="L1628" s="99" t="s">
        <v>3895</v>
      </c>
      <c r="M1628" s="32" t="str">
        <f t="shared" si="58"/>
        <v>Yes</v>
      </c>
      <c r="N1628" s="32">
        <f>G1628 - F1628</f>
        <v>50</v>
      </c>
      <c r="O1628">
        <v>1</v>
      </c>
    </row>
    <row r="1629" spans="1:15" x14ac:dyDescent="0.3">
      <c r="A1629" s="62" t="s">
        <v>3134</v>
      </c>
      <c r="B1629" s="77" t="s">
        <v>11</v>
      </c>
      <c r="C1629" s="77" t="s">
        <v>12</v>
      </c>
      <c r="D1629" s="62" t="s">
        <v>3135</v>
      </c>
      <c r="E1629" s="62" t="s">
        <v>3136</v>
      </c>
      <c r="F1629" s="78">
        <v>45261</v>
      </c>
      <c r="G1629" s="78">
        <v>45293</v>
      </c>
      <c r="H1629" s="79" t="str">
        <f>IF(AND(F1629&gt;=DATE(2023,7,15), F1629&lt;=DATE(2023,12,31)), "ODD", "EVEN")</f>
        <v>ODD</v>
      </c>
      <c r="I1629" s="108">
        <v>0</v>
      </c>
      <c r="J1629" s="32" t="str">
        <f>UPPER(TEXT(F1629,"mmm")) &amp; " - " &amp; UPPER(TEXT(G1629,"mmm"))</f>
        <v>DEC - JAN</v>
      </c>
      <c r="K1629" s="32" t="s">
        <v>3137</v>
      </c>
      <c r="L1629" s="99" t="s">
        <v>3895</v>
      </c>
      <c r="M1629" s="32" t="str">
        <f t="shared" si="58"/>
        <v>No</v>
      </c>
      <c r="N1629" s="32">
        <f>G1629 - F1629</f>
        <v>32</v>
      </c>
      <c r="O1629">
        <v>1</v>
      </c>
    </row>
    <row r="1630" spans="1:15" x14ac:dyDescent="0.3">
      <c r="A1630" s="62" t="s">
        <v>3138</v>
      </c>
      <c r="B1630" s="77" t="s">
        <v>11</v>
      </c>
      <c r="C1630" s="77" t="s">
        <v>12</v>
      </c>
      <c r="D1630" s="62" t="s">
        <v>1136</v>
      </c>
      <c r="E1630" s="62" t="s">
        <v>3139</v>
      </c>
      <c r="F1630" s="78">
        <v>45323</v>
      </c>
      <c r="G1630" s="78">
        <v>45351</v>
      </c>
      <c r="H1630" s="79" t="str">
        <f>IF(AND(F1630&gt;=DATE(2023,7,15), F1630&lt;=DATE(2023,12,31)), "ODD", "EVEN")</f>
        <v>EVEN</v>
      </c>
      <c r="I1630" s="108">
        <v>0</v>
      </c>
      <c r="J1630" s="32" t="str">
        <f>UPPER(TEXT(F1630,"mmm")) &amp; " - " &amp; UPPER(TEXT(G1630,"mmm"))</f>
        <v>FEB - FEB</v>
      </c>
      <c r="K1630" s="32" t="s">
        <v>3137</v>
      </c>
      <c r="L1630" s="99" t="s">
        <v>3895</v>
      </c>
      <c r="M1630" s="32" t="str">
        <f t="shared" si="58"/>
        <v>No</v>
      </c>
      <c r="N1630" s="32">
        <f>G1630 - F1630</f>
        <v>28</v>
      </c>
      <c r="O1630">
        <v>1</v>
      </c>
    </row>
    <row r="1631" spans="1:15" x14ac:dyDescent="0.3">
      <c r="A1631" s="62" t="s">
        <v>3138</v>
      </c>
      <c r="B1631" s="77" t="s">
        <v>11</v>
      </c>
      <c r="C1631" s="77" t="s">
        <v>12</v>
      </c>
      <c r="D1631" s="62" t="s">
        <v>1136</v>
      </c>
      <c r="E1631" s="62" t="s">
        <v>3140</v>
      </c>
      <c r="F1631" s="78">
        <v>45204</v>
      </c>
      <c r="G1631" s="78">
        <v>45235</v>
      </c>
      <c r="H1631" s="79" t="str">
        <f t="shared" ref="H1631" si="61">IF(AND(F1631&gt;=DATE(2023,7,15), F1631&lt;=DATE(2023,12,31)), "ODD", "EVEN")</f>
        <v>ODD</v>
      </c>
      <c r="I1631" s="108">
        <v>0</v>
      </c>
      <c r="J1631" s="32" t="str">
        <f>UPPER(TEXT(F1631,"mmm")) &amp; " - " &amp; UPPER(TEXT(G1631,"mmm"))</f>
        <v>OCT - NOV</v>
      </c>
      <c r="K1631" s="32" t="s">
        <v>3137</v>
      </c>
      <c r="L1631" s="99" t="s">
        <v>3895</v>
      </c>
      <c r="M1631" s="32" t="str">
        <f t="shared" si="58"/>
        <v>No</v>
      </c>
      <c r="N1631" s="32">
        <f>G1631 - F1631</f>
        <v>31</v>
      </c>
      <c r="O1631">
        <v>1</v>
      </c>
    </row>
    <row r="1632" spans="1:15" x14ac:dyDescent="0.3">
      <c r="A1632" s="62" t="s">
        <v>3141</v>
      </c>
      <c r="B1632" s="77" t="s">
        <v>11</v>
      </c>
      <c r="C1632" s="77" t="s">
        <v>12</v>
      </c>
      <c r="D1632" s="62" t="s">
        <v>3142</v>
      </c>
      <c r="E1632" s="62" t="s">
        <v>3143</v>
      </c>
      <c r="F1632" s="78">
        <v>45446</v>
      </c>
      <c r="G1632" s="78">
        <v>45485</v>
      </c>
      <c r="H1632" s="79" t="str">
        <f>IF(AND(F1632&gt;=DATE(2023,7,15), F1632&lt;=DATE(2023,12,31)), "ODD", "EVEN")</f>
        <v>EVEN</v>
      </c>
      <c r="I1632" s="108">
        <v>0</v>
      </c>
      <c r="J1632" s="32" t="str">
        <f>UPPER(TEXT(F1632,"mmm")) &amp; " - " &amp; UPPER(TEXT(G1632,"mmm"))</f>
        <v>JUN - JUL</v>
      </c>
      <c r="K1632" s="32" t="s">
        <v>3137</v>
      </c>
      <c r="L1632" s="99" t="s">
        <v>3895</v>
      </c>
      <c r="M1632" s="32" t="str">
        <f t="shared" si="58"/>
        <v>No</v>
      </c>
      <c r="N1632" s="32">
        <f>G1632 - F1632</f>
        <v>39</v>
      </c>
      <c r="O1632">
        <v>1</v>
      </c>
    </row>
    <row r="1633" spans="1:17" x14ac:dyDescent="0.3">
      <c r="A1633" s="62" t="s">
        <v>3144</v>
      </c>
      <c r="B1633" s="77" t="s">
        <v>11</v>
      </c>
      <c r="C1633" s="77" t="s">
        <v>12</v>
      </c>
      <c r="D1633" s="62" t="s">
        <v>1257</v>
      </c>
      <c r="E1633" s="62" t="s">
        <v>3145</v>
      </c>
      <c r="F1633" s="78">
        <v>45359</v>
      </c>
      <c r="G1633" s="78">
        <v>45422</v>
      </c>
      <c r="H1633" s="79" t="str">
        <f>IF(AND(F1633&gt;=DATE(2023,7,15), F1633&lt;=DATE(2023,12,31)), "ODD", "EVEN")</f>
        <v>EVEN</v>
      </c>
      <c r="I1633" s="108">
        <v>0</v>
      </c>
      <c r="J1633" s="32" t="str">
        <f>UPPER(TEXT(F1633,"mmm")) &amp; " - " &amp; UPPER(TEXT(G1633,"mmm"))</f>
        <v>MAR - MAY</v>
      </c>
      <c r="K1633" s="32" t="s">
        <v>3137</v>
      </c>
      <c r="L1633" s="99" t="s">
        <v>3895</v>
      </c>
      <c r="M1633" s="32" t="str">
        <f t="shared" si="58"/>
        <v>No</v>
      </c>
      <c r="N1633" s="32">
        <f>G1633 - F1633</f>
        <v>63</v>
      </c>
      <c r="O1633">
        <v>1</v>
      </c>
    </row>
    <row r="1634" spans="1:17" x14ac:dyDescent="0.3">
      <c r="A1634" s="62" t="s">
        <v>3146</v>
      </c>
      <c r="B1634" s="77" t="s">
        <v>11</v>
      </c>
      <c r="C1634" s="77" t="s">
        <v>12</v>
      </c>
      <c r="D1634" s="62" t="s">
        <v>3147</v>
      </c>
      <c r="E1634" s="62" t="s">
        <v>3148</v>
      </c>
      <c r="F1634" s="78">
        <v>45383</v>
      </c>
      <c r="G1634" s="78">
        <v>45443</v>
      </c>
      <c r="H1634" s="79" t="str">
        <f>IF(AND(F1634&gt;=DATE(2023,7,15), F1634&lt;=DATE(2023,12,31)), "ODD", "EVEN")</f>
        <v>EVEN</v>
      </c>
      <c r="I1634" s="108">
        <v>0</v>
      </c>
      <c r="J1634" s="32" t="str">
        <f>UPPER(TEXT(F1634,"mmm")) &amp; " - " &amp; UPPER(TEXT(G1634,"mmm"))</f>
        <v>APR - MAY</v>
      </c>
      <c r="K1634" s="32" t="s">
        <v>3137</v>
      </c>
      <c r="L1634" s="99" t="s">
        <v>3895</v>
      </c>
      <c r="M1634" s="32" t="str">
        <f t="shared" si="58"/>
        <v>No</v>
      </c>
      <c r="N1634" s="32">
        <f>G1634 - F1634</f>
        <v>60</v>
      </c>
      <c r="O1634">
        <v>1</v>
      </c>
    </row>
    <row r="1635" spans="1:17" x14ac:dyDescent="0.3">
      <c r="A1635" s="62" t="s">
        <v>3149</v>
      </c>
      <c r="B1635" s="77" t="s">
        <v>11</v>
      </c>
      <c r="C1635" s="77" t="s">
        <v>12</v>
      </c>
      <c r="D1635" s="62" t="s">
        <v>3150</v>
      </c>
      <c r="E1635" s="62" t="s">
        <v>3151</v>
      </c>
      <c r="F1635" s="78">
        <v>45166</v>
      </c>
      <c r="G1635" s="78">
        <v>45473</v>
      </c>
      <c r="H1635" s="79" t="str">
        <f>IF(AND(F1635&gt;=DATE(2023,7,15), F1635&lt;=DATE(2023,12,31)), "ODD", "EVEN")</f>
        <v>ODD</v>
      </c>
      <c r="I1635" s="108">
        <v>2500</v>
      </c>
      <c r="J1635" s="32" t="str">
        <f>UPPER(TEXT(F1635,"mmm")) &amp; " - " &amp; UPPER(TEXT(G1635,"mmm"))</f>
        <v>AUG - JUN</v>
      </c>
      <c r="K1635" s="32" t="s">
        <v>3137</v>
      </c>
      <c r="L1635" s="99" t="s">
        <v>3895</v>
      </c>
      <c r="M1635" s="32" t="str">
        <f t="shared" si="58"/>
        <v>Yes</v>
      </c>
      <c r="N1635" s="32">
        <f>G1635 - F1635</f>
        <v>307</v>
      </c>
      <c r="O1635">
        <v>1</v>
      </c>
    </row>
    <row r="1636" spans="1:17" x14ac:dyDescent="0.3">
      <c r="A1636" s="62" t="s">
        <v>3152</v>
      </c>
      <c r="B1636" s="77" t="s">
        <v>11</v>
      </c>
      <c r="C1636" s="77" t="s">
        <v>12</v>
      </c>
      <c r="D1636" s="62" t="s">
        <v>3153</v>
      </c>
      <c r="E1636" s="62" t="s">
        <v>3154</v>
      </c>
      <c r="F1636" s="78">
        <v>45284</v>
      </c>
      <c r="G1636" s="78">
        <v>45302</v>
      </c>
      <c r="H1636" s="79" t="str">
        <f t="shared" ref="H1636:H1699" si="62">IF(AND(F1636&gt;=DATE(2023,7,15), F1636&lt;=DATE(2023,12,31)), "ODD", "EVEN")</f>
        <v>ODD</v>
      </c>
      <c r="I1636" s="108">
        <v>0</v>
      </c>
      <c r="J1636" s="32" t="str">
        <f>UPPER(TEXT(F1636,"mmm")) &amp; " - " &amp; UPPER(TEXT(G1636,"mmm"))</f>
        <v>DEC - JAN</v>
      </c>
      <c r="K1636" s="32" t="s">
        <v>3137</v>
      </c>
      <c r="L1636" s="99" t="s">
        <v>3895</v>
      </c>
      <c r="M1636" s="32" t="str">
        <f t="shared" si="58"/>
        <v>No</v>
      </c>
      <c r="N1636" s="32">
        <f>G1636 - F1636</f>
        <v>18</v>
      </c>
      <c r="O1636">
        <v>1</v>
      </c>
    </row>
    <row r="1637" spans="1:17" x14ac:dyDescent="0.3">
      <c r="A1637" s="62" t="s">
        <v>3152</v>
      </c>
      <c r="B1637" s="77" t="s">
        <v>11</v>
      </c>
      <c r="C1637" s="77" t="s">
        <v>12</v>
      </c>
      <c r="D1637" s="62" t="s">
        <v>3155</v>
      </c>
      <c r="E1637" s="62" t="s">
        <v>3156</v>
      </c>
      <c r="F1637" s="78">
        <v>45452</v>
      </c>
      <c r="G1637" s="78">
        <v>45470</v>
      </c>
      <c r="H1637" s="79" t="str">
        <f t="shared" si="62"/>
        <v>EVEN</v>
      </c>
      <c r="I1637" s="108">
        <v>0</v>
      </c>
      <c r="J1637" s="32" t="str">
        <f>UPPER(TEXT(F1637,"mmm")) &amp; " - " &amp; UPPER(TEXT(G1637,"mmm"))</f>
        <v>JUN - JUN</v>
      </c>
      <c r="K1637" s="32" t="s">
        <v>3137</v>
      </c>
      <c r="L1637" s="99" t="s">
        <v>3895</v>
      </c>
      <c r="M1637" s="32" t="str">
        <f t="shared" si="58"/>
        <v>No</v>
      </c>
      <c r="N1637" s="32">
        <f>G1637 - F1637</f>
        <v>18</v>
      </c>
      <c r="O1637">
        <v>1</v>
      </c>
    </row>
    <row r="1638" spans="1:17" x14ac:dyDescent="0.3">
      <c r="A1638" s="62" t="s">
        <v>3157</v>
      </c>
      <c r="B1638" s="77" t="s">
        <v>11</v>
      </c>
      <c r="C1638" s="77" t="s">
        <v>12</v>
      </c>
      <c r="D1638" s="62" t="s">
        <v>3158</v>
      </c>
      <c r="E1638" s="62" t="s">
        <v>3159</v>
      </c>
      <c r="F1638" s="78">
        <v>45432</v>
      </c>
      <c r="G1638" s="78">
        <v>45488</v>
      </c>
      <c r="H1638" s="79" t="str">
        <f t="shared" si="62"/>
        <v>EVEN</v>
      </c>
      <c r="I1638" s="108">
        <v>0</v>
      </c>
      <c r="J1638" s="32" t="str">
        <f>UPPER(TEXT(F1638,"mmm")) &amp; " - " &amp; UPPER(TEXT(G1638,"mmm"))</f>
        <v>MAY - JUL</v>
      </c>
      <c r="K1638" s="32" t="s">
        <v>3137</v>
      </c>
      <c r="L1638" s="99" t="s">
        <v>3895</v>
      </c>
      <c r="M1638" s="32" t="str">
        <f t="shared" si="58"/>
        <v>No</v>
      </c>
      <c r="N1638" s="32">
        <f>G1638 - F1638</f>
        <v>56</v>
      </c>
      <c r="O1638">
        <v>1</v>
      </c>
    </row>
    <row r="1639" spans="1:17" x14ac:dyDescent="0.3">
      <c r="A1639" s="62" t="s">
        <v>3160</v>
      </c>
      <c r="B1639" s="77" t="s">
        <v>11</v>
      </c>
      <c r="C1639" s="77" t="s">
        <v>12</v>
      </c>
      <c r="D1639" s="62" t="s">
        <v>3161</v>
      </c>
      <c r="E1639" s="62" t="s">
        <v>3162</v>
      </c>
      <c r="F1639" s="78">
        <v>45439</v>
      </c>
      <c r="G1639" s="78">
        <v>45499</v>
      </c>
      <c r="H1639" s="79" t="str">
        <f t="shared" si="62"/>
        <v>EVEN</v>
      </c>
      <c r="I1639" s="108">
        <v>0</v>
      </c>
      <c r="J1639" s="32" t="str">
        <f>UPPER(TEXT(F1639,"mmm")) &amp; " - " &amp; UPPER(TEXT(G1639,"mmm"))</f>
        <v>MAY - JUL</v>
      </c>
      <c r="K1639" s="32" t="s">
        <v>3137</v>
      </c>
      <c r="L1639" s="99" t="s">
        <v>3895</v>
      </c>
      <c r="M1639" s="32" t="str">
        <f t="shared" si="58"/>
        <v>No</v>
      </c>
      <c r="N1639" s="32">
        <f>G1639 - F1639</f>
        <v>60</v>
      </c>
      <c r="O1639">
        <v>1</v>
      </c>
    </row>
    <row r="1640" spans="1:17" x14ac:dyDescent="0.3">
      <c r="A1640" s="62" t="s">
        <v>3163</v>
      </c>
      <c r="B1640" s="77" t="s">
        <v>11</v>
      </c>
      <c r="C1640" s="77" t="s">
        <v>12</v>
      </c>
      <c r="D1640" s="62" t="s">
        <v>2468</v>
      </c>
      <c r="E1640" s="62" t="s">
        <v>3164</v>
      </c>
      <c r="F1640" s="78">
        <v>45143</v>
      </c>
      <c r="G1640" s="78">
        <v>45487</v>
      </c>
      <c r="H1640" s="79" t="str">
        <f t="shared" si="62"/>
        <v>ODD</v>
      </c>
      <c r="I1640" s="108">
        <v>2500</v>
      </c>
      <c r="J1640" s="32" t="str">
        <f>UPPER(TEXT(F1640,"mmm")) &amp; " - " &amp; UPPER(TEXT(G1640,"mmm"))</f>
        <v>AUG - JUL</v>
      </c>
      <c r="K1640" s="32" t="s">
        <v>3137</v>
      </c>
      <c r="L1640" s="99" t="s">
        <v>3895</v>
      </c>
      <c r="M1640" s="32" t="str">
        <f t="shared" si="58"/>
        <v>Yes</v>
      </c>
      <c r="N1640" s="32">
        <f>G1640 - F1640</f>
        <v>344</v>
      </c>
      <c r="O1640">
        <v>1</v>
      </c>
    </row>
    <row r="1641" spans="1:17" x14ac:dyDescent="0.3">
      <c r="A1641" s="62" t="s">
        <v>3165</v>
      </c>
      <c r="B1641" s="77" t="s">
        <v>11</v>
      </c>
      <c r="C1641" s="77" t="s">
        <v>12</v>
      </c>
      <c r="D1641" s="62" t="s">
        <v>3166</v>
      </c>
      <c r="E1641" s="62" t="s">
        <v>3167</v>
      </c>
      <c r="F1641" s="78">
        <v>45083</v>
      </c>
      <c r="G1641" s="78">
        <v>45150</v>
      </c>
      <c r="H1641" s="32" t="str">
        <f t="shared" ref="H1641" si="63">IF((AND(F1641&gt;=DATE(2019,7,15),F1641&lt;=DATE(2019,12,31))),"ODD", "EVEN")</f>
        <v>EVEN</v>
      </c>
      <c r="I1641" s="108">
        <v>0</v>
      </c>
      <c r="J1641" s="3" t="str">
        <f>UPPER(TEXT(F1641,"mmm")) &amp; " - " &amp; UPPER(TEXT(G1641,"mmm"))</f>
        <v>JUN - AUG</v>
      </c>
      <c r="K1641" s="32" t="s">
        <v>3137</v>
      </c>
      <c r="L1641" s="99" t="s">
        <v>3895</v>
      </c>
      <c r="M1641" s="32" t="str">
        <f t="shared" si="58"/>
        <v>No</v>
      </c>
      <c r="N1641" s="32">
        <f>G1641 - F1641</f>
        <v>67</v>
      </c>
      <c r="O1641">
        <v>1</v>
      </c>
      <c r="P1641" s="78"/>
      <c r="Q1641" s="78"/>
    </row>
    <row r="1642" spans="1:17" x14ac:dyDescent="0.3">
      <c r="A1642" s="62" t="s">
        <v>3168</v>
      </c>
      <c r="B1642" s="77" t="s">
        <v>11</v>
      </c>
      <c r="C1642" s="77" t="s">
        <v>12</v>
      </c>
      <c r="D1642" s="62" t="s">
        <v>3169</v>
      </c>
      <c r="E1642" s="62" t="s">
        <v>3170</v>
      </c>
      <c r="F1642" s="78">
        <v>45432</v>
      </c>
      <c r="G1642" s="78">
        <v>45494</v>
      </c>
      <c r="H1642" s="79" t="str">
        <f t="shared" si="62"/>
        <v>EVEN</v>
      </c>
      <c r="I1642" s="108">
        <v>0</v>
      </c>
      <c r="J1642" s="32" t="str">
        <f>UPPER(TEXT(F1642,"mmm")) &amp; " - " &amp; UPPER(TEXT(G1642,"mmm"))</f>
        <v>MAY - JUL</v>
      </c>
      <c r="K1642" s="32" t="s">
        <v>3137</v>
      </c>
      <c r="L1642" s="99" t="s">
        <v>3895</v>
      </c>
      <c r="M1642" s="32" t="str">
        <f t="shared" si="58"/>
        <v>No</v>
      </c>
      <c r="N1642" s="32">
        <f>G1642 - F1642</f>
        <v>62</v>
      </c>
      <c r="O1642">
        <v>1</v>
      </c>
    </row>
    <row r="1643" spans="1:17" x14ac:dyDescent="0.3">
      <c r="A1643" s="62" t="s">
        <v>3171</v>
      </c>
      <c r="B1643" s="77" t="s">
        <v>11</v>
      </c>
      <c r="C1643" s="77" t="s">
        <v>12</v>
      </c>
      <c r="D1643" s="62" t="s">
        <v>3172</v>
      </c>
      <c r="E1643" s="62" t="s">
        <v>3173</v>
      </c>
      <c r="F1643" s="78">
        <v>45436</v>
      </c>
      <c r="G1643" s="78">
        <v>45504</v>
      </c>
      <c r="H1643" s="79" t="str">
        <f t="shared" si="62"/>
        <v>EVEN</v>
      </c>
      <c r="I1643" s="108">
        <v>0</v>
      </c>
      <c r="J1643" s="32" t="str">
        <f>UPPER(TEXT(F1643,"mmm")) &amp; " - " &amp; UPPER(TEXT(G1643,"mmm"))</f>
        <v>MAY - JUL</v>
      </c>
      <c r="K1643" s="32" t="s">
        <v>3137</v>
      </c>
      <c r="L1643" s="99" t="s">
        <v>3895</v>
      </c>
      <c r="M1643" s="32" t="str">
        <f t="shared" si="58"/>
        <v>No</v>
      </c>
      <c r="N1643" s="32">
        <f>G1643 - F1643</f>
        <v>68</v>
      </c>
      <c r="O1643">
        <v>1</v>
      </c>
    </row>
    <row r="1644" spans="1:17" x14ac:dyDescent="0.3">
      <c r="A1644" s="62" t="s">
        <v>3174</v>
      </c>
      <c r="B1644" s="77" t="s">
        <v>11</v>
      </c>
      <c r="C1644" s="77" t="s">
        <v>12</v>
      </c>
      <c r="D1644" s="62" t="s">
        <v>3175</v>
      </c>
      <c r="E1644" s="62" t="s">
        <v>3176</v>
      </c>
      <c r="F1644" s="78">
        <v>45454</v>
      </c>
      <c r="G1644" s="78">
        <v>45515</v>
      </c>
      <c r="H1644" s="79" t="str">
        <f t="shared" si="62"/>
        <v>EVEN</v>
      </c>
      <c r="I1644" s="108">
        <v>0</v>
      </c>
      <c r="J1644" s="32" t="str">
        <f>UPPER(TEXT(F1644,"mmm")) &amp; " - " &amp; UPPER(TEXT(G1644,"mmm"))</f>
        <v>JUN - AUG</v>
      </c>
      <c r="K1644" s="32" t="s">
        <v>3137</v>
      </c>
      <c r="L1644" s="99" t="s">
        <v>3895</v>
      </c>
      <c r="M1644" s="32" t="str">
        <f t="shared" si="58"/>
        <v>No</v>
      </c>
      <c r="N1644" s="32">
        <f>G1644 - F1644</f>
        <v>61</v>
      </c>
      <c r="O1644">
        <v>1</v>
      </c>
    </row>
    <row r="1645" spans="1:17" x14ac:dyDescent="0.3">
      <c r="A1645" s="62" t="s">
        <v>3177</v>
      </c>
      <c r="B1645" s="77" t="s">
        <v>11</v>
      </c>
      <c r="C1645" s="77" t="s">
        <v>12</v>
      </c>
      <c r="D1645" s="62" t="s">
        <v>3175</v>
      </c>
      <c r="E1645" s="62" t="s">
        <v>3178</v>
      </c>
      <c r="F1645" s="78">
        <v>45454</v>
      </c>
      <c r="G1645" s="78">
        <v>45515</v>
      </c>
      <c r="H1645" s="79" t="str">
        <f t="shared" si="62"/>
        <v>EVEN</v>
      </c>
      <c r="I1645" s="108">
        <v>0</v>
      </c>
      <c r="J1645" s="32" t="str">
        <f>UPPER(TEXT(F1645,"mmm")) &amp; " - " &amp; UPPER(TEXT(G1645,"mmm"))</f>
        <v>JUN - AUG</v>
      </c>
      <c r="K1645" s="32" t="s">
        <v>3137</v>
      </c>
      <c r="L1645" s="99" t="s">
        <v>3895</v>
      </c>
      <c r="M1645" s="32" t="str">
        <f t="shared" si="58"/>
        <v>No</v>
      </c>
      <c r="N1645" s="32">
        <f>G1645 - F1645</f>
        <v>61</v>
      </c>
      <c r="O1645">
        <v>1</v>
      </c>
    </row>
    <row r="1646" spans="1:17" x14ac:dyDescent="0.3">
      <c r="A1646" s="62" t="s">
        <v>3179</v>
      </c>
      <c r="B1646" s="77" t="s">
        <v>11</v>
      </c>
      <c r="C1646" s="77" t="s">
        <v>12</v>
      </c>
      <c r="D1646" s="62" t="s">
        <v>3180</v>
      </c>
      <c r="E1646" s="62" t="s">
        <v>3181</v>
      </c>
      <c r="F1646" s="78">
        <v>45144</v>
      </c>
      <c r="G1646" s="78">
        <v>45531</v>
      </c>
      <c r="H1646" s="79" t="str">
        <f t="shared" si="62"/>
        <v>ODD</v>
      </c>
      <c r="I1646" s="108">
        <v>0</v>
      </c>
      <c r="J1646" s="32" t="str">
        <f>UPPER(TEXT(F1646,"mmm")) &amp; " - " &amp; UPPER(TEXT(G1646,"mmm"))</f>
        <v>AUG - AUG</v>
      </c>
      <c r="K1646" s="32" t="s">
        <v>3137</v>
      </c>
      <c r="L1646" s="99" t="s">
        <v>3895</v>
      </c>
      <c r="M1646" s="32" t="str">
        <f t="shared" si="58"/>
        <v>No</v>
      </c>
      <c r="N1646" s="32">
        <f>G1646 - F1646</f>
        <v>387</v>
      </c>
      <c r="O1646">
        <v>1</v>
      </c>
    </row>
    <row r="1647" spans="1:17" x14ac:dyDescent="0.3">
      <c r="A1647" s="62" t="s">
        <v>2888</v>
      </c>
      <c r="B1647" s="77" t="s">
        <v>11</v>
      </c>
      <c r="C1647" s="77" t="s">
        <v>12</v>
      </c>
      <c r="D1647" s="62" t="s">
        <v>3182</v>
      </c>
      <c r="E1647" s="62" t="s">
        <v>3183</v>
      </c>
      <c r="F1647" s="78">
        <v>45293</v>
      </c>
      <c r="G1647" s="78">
        <v>45467</v>
      </c>
      <c r="H1647" s="79" t="str">
        <f t="shared" si="62"/>
        <v>EVEN</v>
      </c>
      <c r="I1647" s="108">
        <v>0</v>
      </c>
      <c r="J1647" s="32" t="str">
        <f>UPPER(TEXT(F1647,"mmm")) &amp; " - " &amp; UPPER(TEXT(G1647,"mmm"))</f>
        <v>JAN - JUN</v>
      </c>
      <c r="K1647" s="32" t="s">
        <v>3137</v>
      </c>
      <c r="L1647" s="77" t="s">
        <v>895</v>
      </c>
      <c r="M1647" s="32" t="str">
        <f t="shared" si="58"/>
        <v>No</v>
      </c>
      <c r="N1647" s="32">
        <f>G1647 - F1647</f>
        <v>174</v>
      </c>
      <c r="O1647">
        <v>1</v>
      </c>
    </row>
    <row r="1648" spans="1:17" x14ac:dyDescent="0.3">
      <c r="A1648" s="62" t="s">
        <v>3184</v>
      </c>
      <c r="B1648" s="77" t="s">
        <v>11</v>
      </c>
      <c r="C1648" s="77" t="s">
        <v>12</v>
      </c>
      <c r="D1648" s="62" t="s">
        <v>3185</v>
      </c>
      <c r="E1648" s="62" t="s">
        <v>3186</v>
      </c>
      <c r="F1648" s="78">
        <v>45446</v>
      </c>
      <c r="G1648" s="78">
        <v>45485</v>
      </c>
      <c r="H1648" s="79" t="str">
        <f t="shared" si="62"/>
        <v>EVEN</v>
      </c>
      <c r="I1648" s="108">
        <v>0</v>
      </c>
      <c r="J1648" s="32" t="str">
        <f>UPPER(TEXT(F1648,"mmm")) &amp; " - " &amp; UPPER(TEXT(G1648,"mmm"))</f>
        <v>JUN - JUL</v>
      </c>
      <c r="K1648" s="32" t="s">
        <v>3137</v>
      </c>
      <c r="L1648" s="77" t="s">
        <v>895</v>
      </c>
      <c r="M1648" s="32" t="str">
        <f t="shared" si="58"/>
        <v>No</v>
      </c>
      <c r="N1648" s="32">
        <f>G1648 - F1648</f>
        <v>39</v>
      </c>
      <c r="O1648">
        <v>1</v>
      </c>
    </row>
    <row r="1649" spans="1:17" x14ac:dyDescent="0.3">
      <c r="A1649" s="62" t="s">
        <v>3187</v>
      </c>
      <c r="B1649" s="77" t="s">
        <v>11</v>
      </c>
      <c r="C1649" s="77" t="s">
        <v>12</v>
      </c>
      <c r="D1649" s="62" t="s">
        <v>593</v>
      </c>
      <c r="E1649" s="62" t="s">
        <v>3188</v>
      </c>
      <c r="F1649" s="78">
        <v>45383</v>
      </c>
      <c r="G1649" s="78">
        <v>45402</v>
      </c>
      <c r="H1649" s="79" t="str">
        <f t="shared" si="62"/>
        <v>EVEN</v>
      </c>
      <c r="I1649" s="108">
        <v>0</v>
      </c>
      <c r="J1649" s="32" t="str">
        <f>UPPER(TEXT(F1649,"mmm")) &amp; " - " &amp; UPPER(TEXT(G1649,"mmm"))</f>
        <v>APR - APR</v>
      </c>
      <c r="K1649" s="32" t="s">
        <v>3137</v>
      </c>
      <c r="L1649" s="77" t="s">
        <v>895</v>
      </c>
      <c r="M1649" s="32" t="str">
        <f t="shared" si="58"/>
        <v>No</v>
      </c>
      <c r="N1649" s="32">
        <f>G1649 - F1649</f>
        <v>19</v>
      </c>
      <c r="O1649">
        <v>1</v>
      </c>
    </row>
    <row r="1650" spans="1:17" x14ac:dyDescent="0.3">
      <c r="A1650" s="62" t="s">
        <v>3187</v>
      </c>
      <c r="B1650" s="77" t="s">
        <v>11</v>
      </c>
      <c r="C1650" s="77" t="s">
        <v>12</v>
      </c>
      <c r="D1650" s="62" t="s">
        <v>3189</v>
      </c>
      <c r="E1650" s="62" t="s">
        <v>2372</v>
      </c>
      <c r="F1650" s="78">
        <v>45165</v>
      </c>
      <c r="G1650" s="78">
        <v>45382</v>
      </c>
      <c r="H1650" s="79" t="str">
        <f t="shared" si="62"/>
        <v>ODD</v>
      </c>
      <c r="I1650" s="108">
        <v>0</v>
      </c>
      <c r="J1650" s="32" t="str">
        <f>UPPER(TEXT(F1650,"mmm")) &amp; " - " &amp; UPPER(TEXT(G1650,"mmm"))</f>
        <v>AUG - MAR</v>
      </c>
      <c r="K1650" s="32" t="s">
        <v>3137</v>
      </c>
      <c r="L1650" s="77" t="s">
        <v>895</v>
      </c>
      <c r="M1650" s="32" t="str">
        <f t="shared" si="58"/>
        <v>No</v>
      </c>
      <c r="N1650" s="32">
        <f>G1650 - F1650</f>
        <v>217</v>
      </c>
      <c r="O1650">
        <v>1</v>
      </c>
    </row>
    <row r="1651" spans="1:17" x14ac:dyDescent="0.3">
      <c r="A1651" s="62" t="s">
        <v>3190</v>
      </c>
      <c r="B1651" s="77" t="s">
        <v>11</v>
      </c>
      <c r="C1651" s="77" t="s">
        <v>12</v>
      </c>
      <c r="D1651" s="62" t="s">
        <v>3191</v>
      </c>
      <c r="E1651" s="62" t="s">
        <v>3192</v>
      </c>
      <c r="F1651" s="78">
        <v>45434</v>
      </c>
      <c r="G1651" s="78">
        <v>45492</v>
      </c>
      <c r="H1651" s="79" t="str">
        <f t="shared" si="62"/>
        <v>EVEN</v>
      </c>
      <c r="I1651" s="108">
        <v>0</v>
      </c>
      <c r="J1651" s="32" t="str">
        <f>UPPER(TEXT(F1651,"mmm")) &amp; " - " &amp; UPPER(TEXT(G1651,"mmm"))</f>
        <v>MAY - JUL</v>
      </c>
      <c r="K1651" s="32" t="s">
        <v>3137</v>
      </c>
      <c r="L1651" s="77" t="s">
        <v>895</v>
      </c>
      <c r="M1651" s="32" t="str">
        <f t="shared" si="58"/>
        <v>No</v>
      </c>
      <c r="N1651" s="32">
        <f>G1651 - F1651</f>
        <v>58</v>
      </c>
      <c r="O1651">
        <v>1</v>
      </c>
    </row>
    <row r="1652" spans="1:17" x14ac:dyDescent="0.3">
      <c r="A1652" s="62" t="s">
        <v>3193</v>
      </c>
      <c r="B1652" s="77" t="s">
        <v>11</v>
      </c>
      <c r="C1652" s="77" t="s">
        <v>12</v>
      </c>
      <c r="D1652" s="62" t="s">
        <v>593</v>
      </c>
      <c r="E1652" s="62" t="s">
        <v>3194</v>
      </c>
      <c r="F1652" s="78">
        <v>45446</v>
      </c>
      <c r="G1652" s="78">
        <v>45487</v>
      </c>
      <c r="H1652" s="79" t="str">
        <f t="shared" si="62"/>
        <v>EVEN</v>
      </c>
      <c r="I1652" s="108">
        <v>0</v>
      </c>
      <c r="J1652" s="32" t="str">
        <f>UPPER(TEXT(F1652,"mmm")) &amp; " - " &amp; UPPER(TEXT(G1652,"mmm"))</f>
        <v>JUN - JUL</v>
      </c>
      <c r="K1652" s="32" t="s">
        <v>3137</v>
      </c>
      <c r="L1652" s="77" t="s">
        <v>895</v>
      </c>
      <c r="M1652" s="32" t="str">
        <f t="shared" si="58"/>
        <v>No</v>
      </c>
      <c r="N1652" s="32">
        <f>G1652 - F1652</f>
        <v>41</v>
      </c>
      <c r="O1652">
        <v>1</v>
      </c>
    </row>
    <row r="1653" spans="1:17" x14ac:dyDescent="0.3">
      <c r="A1653" s="62" t="s">
        <v>3195</v>
      </c>
      <c r="B1653" s="77" t="s">
        <v>11</v>
      </c>
      <c r="C1653" s="77" t="s">
        <v>12</v>
      </c>
      <c r="D1653" s="62" t="s">
        <v>3196</v>
      </c>
      <c r="E1653" s="62" t="s">
        <v>3197</v>
      </c>
      <c r="F1653" s="78">
        <v>45207</v>
      </c>
      <c r="G1653" s="78">
        <v>45412</v>
      </c>
      <c r="H1653" s="79" t="str">
        <f t="shared" si="62"/>
        <v>ODD</v>
      </c>
      <c r="I1653" s="108">
        <v>0</v>
      </c>
      <c r="J1653" s="32" t="str">
        <f>UPPER(TEXT(F1653,"mmm")) &amp; " - " &amp; UPPER(TEXT(G1653,"mmm"))</f>
        <v>OCT - APR</v>
      </c>
      <c r="K1653" s="32" t="s">
        <v>3137</v>
      </c>
      <c r="L1653" s="77" t="s">
        <v>895</v>
      </c>
      <c r="M1653" s="32" t="str">
        <f t="shared" si="58"/>
        <v>No</v>
      </c>
      <c r="N1653" s="32">
        <f>G1653 - F1653</f>
        <v>205</v>
      </c>
      <c r="O1653">
        <v>1</v>
      </c>
    </row>
    <row r="1654" spans="1:17" x14ac:dyDescent="0.3">
      <c r="A1654" s="62" t="s">
        <v>3198</v>
      </c>
      <c r="B1654" s="77" t="s">
        <v>11</v>
      </c>
      <c r="C1654" s="77" t="s">
        <v>12</v>
      </c>
      <c r="D1654" s="62" t="s">
        <v>3199</v>
      </c>
      <c r="E1654" s="62" t="s">
        <v>3200</v>
      </c>
      <c r="F1654" s="78">
        <v>45200</v>
      </c>
      <c r="G1654" s="78">
        <v>45388</v>
      </c>
      <c r="H1654" s="79" t="str">
        <f t="shared" si="62"/>
        <v>ODD</v>
      </c>
      <c r="I1654" s="108">
        <v>0</v>
      </c>
      <c r="J1654" s="32" t="str">
        <f>UPPER(TEXT(F1654,"mmm")) &amp; " - " &amp; UPPER(TEXT(G1654,"mmm"))</f>
        <v>OCT - APR</v>
      </c>
      <c r="K1654" s="32" t="s">
        <v>3137</v>
      </c>
      <c r="L1654" s="77" t="s">
        <v>895</v>
      </c>
      <c r="M1654" s="32" t="str">
        <f t="shared" si="58"/>
        <v>No</v>
      </c>
      <c r="N1654" s="32">
        <f>G1654 - F1654</f>
        <v>188</v>
      </c>
      <c r="O1654">
        <v>1</v>
      </c>
    </row>
    <row r="1655" spans="1:17" x14ac:dyDescent="0.3">
      <c r="A1655" s="62" t="s">
        <v>3201</v>
      </c>
      <c r="B1655" s="77" t="s">
        <v>11</v>
      </c>
      <c r="C1655" s="77" t="s">
        <v>12</v>
      </c>
      <c r="D1655" s="62" t="s">
        <v>1233</v>
      </c>
      <c r="E1655" s="62" t="s">
        <v>3202</v>
      </c>
      <c r="F1655" s="78">
        <v>45200</v>
      </c>
      <c r="G1655" s="78">
        <v>45412</v>
      </c>
      <c r="H1655" s="79" t="str">
        <f t="shared" si="62"/>
        <v>ODD</v>
      </c>
      <c r="I1655" s="108">
        <v>0</v>
      </c>
      <c r="J1655" s="32" t="str">
        <f>UPPER(TEXT(F1655,"mmm")) &amp; " - " &amp; UPPER(TEXT(G1655,"mmm"))</f>
        <v>OCT - APR</v>
      </c>
      <c r="K1655" s="32" t="s">
        <v>3137</v>
      </c>
      <c r="L1655" s="77" t="s">
        <v>895</v>
      </c>
      <c r="M1655" s="32" t="str">
        <f t="shared" si="58"/>
        <v>No</v>
      </c>
      <c r="N1655" s="32">
        <f>G1655 - F1655</f>
        <v>212</v>
      </c>
      <c r="O1655">
        <v>1</v>
      </c>
    </row>
    <row r="1656" spans="1:17" x14ac:dyDescent="0.3">
      <c r="A1656" s="62" t="s">
        <v>3203</v>
      </c>
      <c r="B1656" s="77" t="s">
        <v>11</v>
      </c>
      <c r="C1656" s="77" t="s">
        <v>12</v>
      </c>
      <c r="D1656" s="62" t="s">
        <v>1233</v>
      </c>
      <c r="E1656" s="62" t="s">
        <v>1234</v>
      </c>
      <c r="F1656" s="78">
        <v>45200</v>
      </c>
      <c r="G1656" s="78">
        <v>45383</v>
      </c>
      <c r="H1656" s="79" t="str">
        <f t="shared" si="62"/>
        <v>ODD</v>
      </c>
      <c r="I1656" s="108">
        <v>0</v>
      </c>
      <c r="J1656" s="32" t="str">
        <f>UPPER(TEXT(F1656,"mmm")) &amp; " - " &amp; UPPER(TEXT(G1656,"mmm"))</f>
        <v>OCT - APR</v>
      </c>
      <c r="K1656" s="32" t="s">
        <v>3137</v>
      </c>
      <c r="L1656" s="77" t="s">
        <v>895</v>
      </c>
      <c r="M1656" s="32" t="str">
        <f t="shared" si="58"/>
        <v>No</v>
      </c>
      <c r="N1656" s="32">
        <f>G1656 - F1656</f>
        <v>183</v>
      </c>
      <c r="O1656">
        <v>1</v>
      </c>
    </row>
    <row r="1657" spans="1:17" x14ac:dyDescent="0.3">
      <c r="A1657" s="62" t="s">
        <v>3204</v>
      </c>
      <c r="B1657" s="77" t="s">
        <v>11</v>
      </c>
      <c r="C1657" s="77" t="s">
        <v>12</v>
      </c>
      <c r="D1657" s="62" t="s">
        <v>3205</v>
      </c>
      <c r="E1657" s="62" t="s">
        <v>3206</v>
      </c>
      <c r="F1657" s="78">
        <v>45392</v>
      </c>
      <c r="G1657" s="78">
        <v>45508</v>
      </c>
      <c r="H1657" s="32" t="str">
        <f t="shared" ref="H1657" si="64">IF((AND(F1657&gt;=DATE(2019,7,15),F1657&lt;=DATE(2019,12,31))),"ODD", "EVEN")</f>
        <v>EVEN</v>
      </c>
      <c r="I1657" s="108">
        <v>0</v>
      </c>
      <c r="J1657" s="3" t="str">
        <f>UPPER(TEXT(F1657,"mmm")) &amp; " - " &amp; UPPER(TEXT(G1657,"mmm"))</f>
        <v>APR - AUG</v>
      </c>
      <c r="K1657" s="32" t="s">
        <v>3137</v>
      </c>
      <c r="L1657" s="77" t="s">
        <v>895</v>
      </c>
      <c r="M1657" s="32" t="str">
        <f t="shared" si="58"/>
        <v>No</v>
      </c>
      <c r="N1657" s="32">
        <f>G1657 - F1657</f>
        <v>116</v>
      </c>
      <c r="O1657">
        <v>1</v>
      </c>
      <c r="P1657" s="78"/>
      <c r="Q1657" s="78"/>
    </row>
    <row r="1658" spans="1:17" x14ac:dyDescent="0.3">
      <c r="A1658" s="62" t="s">
        <v>3207</v>
      </c>
      <c r="B1658" s="77" t="s">
        <v>11</v>
      </c>
      <c r="C1658" s="77" t="s">
        <v>12</v>
      </c>
      <c r="D1658" s="62" t="s">
        <v>3208</v>
      </c>
      <c r="E1658" s="62" t="s">
        <v>3209</v>
      </c>
      <c r="F1658" s="78">
        <v>45270</v>
      </c>
      <c r="G1658" s="78">
        <v>45510</v>
      </c>
      <c r="H1658" s="79" t="str">
        <f t="shared" si="62"/>
        <v>ODD</v>
      </c>
      <c r="I1658" s="108">
        <v>0</v>
      </c>
      <c r="J1658" s="32" t="str">
        <f>UPPER(TEXT(F1658,"mmm")) &amp; " - " &amp; UPPER(TEXT(G1658,"mmm"))</f>
        <v>DEC - AUG</v>
      </c>
      <c r="K1658" s="32" t="s">
        <v>3137</v>
      </c>
      <c r="L1658" s="77" t="s">
        <v>895</v>
      </c>
      <c r="M1658" s="32" t="str">
        <f t="shared" si="58"/>
        <v>No</v>
      </c>
      <c r="N1658" s="32">
        <f>G1658 - F1658</f>
        <v>240</v>
      </c>
      <c r="O1658">
        <v>1</v>
      </c>
    </row>
    <row r="1659" spans="1:17" x14ac:dyDescent="0.3">
      <c r="A1659" s="62" t="s">
        <v>3210</v>
      </c>
      <c r="B1659" s="77" t="s">
        <v>11</v>
      </c>
      <c r="C1659" s="77" t="s">
        <v>12</v>
      </c>
      <c r="D1659" s="62" t="s">
        <v>3211</v>
      </c>
      <c r="E1659" s="62" t="s">
        <v>3212</v>
      </c>
      <c r="F1659" s="78">
        <v>45200</v>
      </c>
      <c r="G1659" s="78">
        <v>45412</v>
      </c>
      <c r="H1659" s="79" t="str">
        <f t="shared" si="62"/>
        <v>ODD</v>
      </c>
      <c r="I1659" s="108">
        <v>0</v>
      </c>
      <c r="J1659" s="32" t="str">
        <f>UPPER(TEXT(F1659,"mmm")) &amp; " - " &amp; UPPER(TEXT(G1659,"mmm"))</f>
        <v>OCT - APR</v>
      </c>
      <c r="K1659" s="32" t="s">
        <v>3137</v>
      </c>
      <c r="L1659" s="77" t="s">
        <v>895</v>
      </c>
      <c r="M1659" s="32" t="str">
        <f t="shared" si="58"/>
        <v>No</v>
      </c>
      <c r="N1659" s="32">
        <f>G1659 - F1659</f>
        <v>212</v>
      </c>
      <c r="O1659">
        <v>1</v>
      </c>
    </row>
    <row r="1660" spans="1:17" x14ac:dyDescent="0.3">
      <c r="A1660" s="62" t="s">
        <v>3213</v>
      </c>
      <c r="B1660" s="77" t="s">
        <v>11</v>
      </c>
      <c r="C1660" s="77" t="s">
        <v>12</v>
      </c>
      <c r="D1660" s="62" t="s">
        <v>593</v>
      </c>
      <c r="E1660" s="62" t="s">
        <v>3214</v>
      </c>
      <c r="F1660" s="78">
        <v>45300</v>
      </c>
      <c r="G1660" s="78">
        <v>45404</v>
      </c>
      <c r="H1660" s="79" t="str">
        <f t="shared" si="62"/>
        <v>EVEN</v>
      </c>
      <c r="I1660" s="108">
        <v>0</v>
      </c>
      <c r="J1660" s="32" t="str">
        <f>UPPER(TEXT(F1660,"mmm")) &amp; " - " &amp; UPPER(TEXT(G1660,"mmm"))</f>
        <v>JAN - APR</v>
      </c>
      <c r="K1660" s="32" t="s">
        <v>3137</v>
      </c>
      <c r="L1660" s="77" t="s">
        <v>895</v>
      </c>
      <c r="M1660" s="32" t="str">
        <f t="shared" si="58"/>
        <v>No</v>
      </c>
      <c r="N1660" s="32">
        <f>G1660 - F1660</f>
        <v>104</v>
      </c>
      <c r="O1660">
        <v>1</v>
      </c>
    </row>
    <row r="1661" spans="1:17" x14ac:dyDescent="0.3">
      <c r="A1661" s="62" t="s">
        <v>3215</v>
      </c>
      <c r="B1661" s="77" t="s">
        <v>11</v>
      </c>
      <c r="C1661" s="77" t="s">
        <v>12</v>
      </c>
      <c r="D1661" s="62" t="s">
        <v>619</v>
      </c>
      <c r="E1661" s="62" t="s">
        <v>3216</v>
      </c>
      <c r="F1661" s="78">
        <v>45108</v>
      </c>
      <c r="G1661" s="78">
        <v>45412</v>
      </c>
      <c r="H1661" s="79" t="str">
        <f t="shared" si="62"/>
        <v>EVEN</v>
      </c>
      <c r="I1661" s="108">
        <v>0</v>
      </c>
      <c r="J1661" s="32" t="str">
        <f>UPPER(TEXT(F1661,"mmm")) &amp; " - " &amp; UPPER(TEXT(G1661,"mmm"))</f>
        <v>JUL - APR</v>
      </c>
      <c r="K1661" s="32" t="s">
        <v>3137</v>
      </c>
      <c r="L1661" s="77" t="s">
        <v>895</v>
      </c>
      <c r="M1661" s="32" t="str">
        <f t="shared" si="58"/>
        <v>No</v>
      </c>
      <c r="N1661" s="32">
        <f>G1661 - F1661</f>
        <v>304</v>
      </c>
      <c r="O1661">
        <v>1</v>
      </c>
    </row>
    <row r="1662" spans="1:17" x14ac:dyDescent="0.3">
      <c r="A1662" s="62" t="s">
        <v>3217</v>
      </c>
      <c r="B1662" s="77" t="s">
        <v>11</v>
      </c>
      <c r="C1662" s="77" t="s">
        <v>12</v>
      </c>
      <c r="D1662" s="62" t="s">
        <v>1616</v>
      </c>
      <c r="E1662" s="62" t="s">
        <v>3218</v>
      </c>
      <c r="F1662" s="78">
        <v>45435</v>
      </c>
      <c r="G1662" s="78">
        <v>45492</v>
      </c>
      <c r="H1662" s="79" t="str">
        <f t="shared" si="62"/>
        <v>EVEN</v>
      </c>
      <c r="I1662" s="108">
        <v>0</v>
      </c>
      <c r="J1662" s="32" t="str">
        <f>UPPER(TEXT(F1662,"mmm")) &amp; " - " &amp; UPPER(TEXT(G1662,"mmm"))</f>
        <v>MAY - JUL</v>
      </c>
      <c r="K1662" s="32" t="s">
        <v>3137</v>
      </c>
      <c r="L1662" s="77" t="s">
        <v>895</v>
      </c>
      <c r="M1662" s="32" t="str">
        <f t="shared" si="58"/>
        <v>No</v>
      </c>
      <c r="N1662" s="32">
        <f>G1662 - F1662</f>
        <v>57</v>
      </c>
      <c r="O1662">
        <v>1</v>
      </c>
    </row>
    <row r="1663" spans="1:17" x14ac:dyDescent="0.3">
      <c r="A1663" s="62" t="s">
        <v>3174</v>
      </c>
      <c r="B1663" s="77" t="s">
        <v>11</v>
      </c>
      <c r="C1663" s="77" t="s">
        <v>12</v>
      </c>
      <c r="D1663" s="62" t="s">
        <v>3219</v>
      </c>
      <c r="E1663" s="62" t="s">
        <v>3220</v>
      </c>
      <c r="F1663" s="78">
        <v>45113</v>
      </c>
      <c r="G1663" s="78">
        <v>45143</v>
      </c>
      <c r="H1663" s="79" t="str">
        <f t="shared" si="62"/>
        <v>EVEN</v>
      </c>
      <c r="I1663" s="108">
        <v>0</v>
      </c>
      <c r="J1663" s="32" t="str">
        <f>UPPER(TEXT(F1663,"mmm")) &amp; " - " &amp; UPPER(TEXT(G1663,"mmm"))</f>
        <v>JUL - AUG</v>
      </c>
      <c r="K1663" s="32" t="s">
        <v>3137</v>
      </c>
      <c r="L1663" s="77" t="s">
        <v>895</v>
      </c>
      <c r="M1663" s="32" t="str">
        <f t="shared" si="58"/>
        <v>No</v>
      </c>
      <c r="N1663" s="32">
        <f>G1663 - F1663</f>
        <v>30</v>
      </c>
      <c r="O1663">
        <v>1</v>
      </c>
    </row>
    <row r="1664" spans="1:17" x14ac:dyDescent="0.3">
      <c r="A1664" s="62" t="s">
        <v>3177</v>
      </c>
      <c r="B1664" s="77" t="s">
        <v>11</v>
      </c>
      <c r="C1664" s="77" t="s">
        <v>12</v>
      </c>
      <c r="D1664" s="62" t="s">
        <v>3219</v>
      </c>
      <c r="E1664" s="62" t="s">
        <v>3220</v>
      </c>
      <c r="F1664" s="78">
        <v>45113</v>
      </c>
      <c r="G1664" s="78">
        <v>45143</v>
      </c>
      <c r="H1664" s="79" t="str">
        <f t="shared" si="62"/>
        <v>EVEN</v>
      </c>
      <c r="I1664" s="108">
        <v>0</v>
      </c>
      <c r="J1664" s="32" t="str">
        <f>UPPER(TEXT(F1664,"mmm")) &amp; " - " &amp; UPPER(TEXT(G1664,"mmm"))</f>
        <v>JUL - AUG</v>
      </c>
      <c r="K1664" s="32" t="s">
        <v>3137</v>
      </c>
      <c r="L1664" s="77" t="s">
        <v>895</v>
      </c>
      <c r="M1664" s="32" t="str">
        <f t="shared" si="58"/>
        <v>No</v>
      </c>
      <c r="N1664" s="32">
        <f>G1664 - F1664</f>
        <v>30</v>
      </c>
      <c r="O1664">
        <v>1</v>
      </c>
    </row>
    <row r="1665" spans="1:15" x14ac:dyDescent="0.3">
      <c r="A1665" s="62" t="s">
        <v>3221</v>
      </c>
      <c r="B1665" s="77" t="s">
        <v>70</v>
      </c>
      <c r="C1665" s="77" t="s">
        <v>12</v>
      </c>
      <c r="D1665" s="62" t="s">
        <v>3222</v>
      </c>
      <c r="E1665" s="62" t="s">
        <v>3223</v>
      </c>
      <c r="F1665" s="78">
        <v>45139</v>
      </c>
      <c r="G1665" s="78">
        <v>45169</v>
      </c>
      <c r="H1665" s="79" t="str">
        <f t="shared" si="62"/>
        <v>ODD</v>
      </c>
      <c r="I1665" s="108">
        <v>0</v>
      </c>
      <c r="J1665" s="32" t="str">
        <f>UPPER(TEXT(F1665,"mmm")) &amp; " - " &amp; UPPER(TEXT(G1665,"mmm"))</f>
        <v>AUG - AUG</v>
      </c>
      <c r="K1665" s="32" t="s">
        <v>3137</v>
      </c>
      <c r="L1665" s="99" t="s">
        <v>3895</v>
      </c>
      <c r="M1665" s="32" t="str">
        <f t="shared" ref="M1665:M1728" si="65">IF(I1665 &gt; 0, "Yes", "No")</f>
        <v>No</v>
      </c>
      <c r="N1665" s="32">
        <f>G1665 - F1665</f>
        <v>30</v>
      </c>
      <c r="O1665">
        <v>1</v>
      </c>
    </row>
    <row r="1666" spans="1:15" x14ac:dyDescent="0.3">
      <c r="A1666" s="62" t="s">
        <v>2528</v>
      </c>
      <c r="B1666" s="77" t="s">
        <v>70</v>
      </c>
      <c r="C1666" s="77" t="s">
        <v>12</v>
      </c>
      <c r="D1666" s="62" t="s">
        <v>3224</v>
      </c>
      <c r="E1666" s="62" t="s">
        <v>3225</v>
      </c>
      <c r="F1666" s="78">
        <v>45148</v>
      </c>
      <c r="G1666" s="78">
        <v>45179</v>
      </c>
      <c r="H1666" s="79" t="str">
        <f t="shared" si="62"/>
        <v>ODD</v>
      </c>
      <c r="I1666" s="108">
        <v>0</v>
      </c>
      <c r="J1666" s="32" t="str">
        <f>UPPER(TEXT(F1666,"mmm")) &amp; " - " &amp; UPPER(TEXT(G1666,"mmm"))</f>
        <v>AUG - SEP</v>
      </c>
      <c r="K1666" s="32" t="s">
        <v>3137</v>
      </c>
      <c r="L1666" s="99" t="s">
        <v>3895</v>
      </c>
      <c r="M1666" s="32" t="str">
        <f t="shared" si="65"/>
        <v>No</v>
      </c>
      <c r="N1666" s="32">
        <f>G1666 - F1666</f>
        <v>31</v>
      </c>
      <c r="O1666">
        <v>1</v>
      </c>
    </row>
    <row r="1667" spans="1:15" x14ac:dyDescent="0.3">
      <c r="A1667" s="62" t="s">
        <v>2528</v>
      </c>
      <c r="B1667" s="77" t="s">
        <v>70</v>
      </c>
      <c r="C1667" s="77" t="s">
        <v>12</v>
      </c>
      <c r="D1667" s="62" t="s">
        <v>3226</v>
      </c>
      <c r="E1667" s="62" t="s">
        <v>3227</v>
      </c>
      <c r="F1667" s="78">
        <v>45139</v>
      </c>
      <c r="G1667" s="78">
        <v>45169</v>
      </c>
      <c r="H1667" s="79" t="str">
        <f t="shared" si="62"/>
        <v>ODD</v>
      </c>
      <c r="I1667" s="108">
        <v>0</v>
      </c>
      <c r="J1667" s="32" t="str">
        <f>UPPER(TEXT(F1667,"mmm")) &amp; " - " &amp; UPPER(TEXT(G1667,"mmm"))</f>
        <v>AUG - AUG</v>
      </c>
      <c r="K1667" s="32" t="s">
        <v>3137</v>
      </c>
      <c r="L1667" s="99" t="s">
        <v>3895</v>
      </c>
      <c r="M1667" s="32" t="str">
        <f t="shared" si="65"/>
        <v>No</v>
      </c>
      <c r="N1667" s="32">
        <f>G1667 - F1667</f>
        <v>30</v>
      </c>
      <c r="O1667">
        <v>1</v>
      </c>
    </row>
    <row r="1668" spans="1:15" x14ac:dyDescent="0.3">
      <c r="A1668" s="62" t="s">
        <v>1713</v>
      </c>
      <c r="B1668" s="77" t="s">
        <v>70</v>
      </c>
      <c r="C1668" s="77" t="s">
        <v>12</v>
      </c>
      <c r="D1668" s="62" t="s">
        <v>3065</v>
      </c>
      <c r="E1668" s="62" t="s">
        <v>1302</v>
      </c>
      <c r="F1668" s="78">
        <v>45108</v>
      </c>
      <c r="G1668" s="78">
        <v>45170</v>
      </c>
      <c r="H1668" s="79" t="str">
        <f t="shared" si="62"/>
        <v>EVEN</v>
      </c>
      <c r="I1668" s="108">
        <v>3000</v>
      </c>
      <c r="J1668" s="32" t="str">
        <f>UPPER(TEXT(F1668,"mmm")) &amp; " - " &amp; UPPER(TEXT(G1668,"mmm"))</f>
        <v>JUL - SEP</v>
      </c>
      <c r="K1668" s="32" t="s">
        <v>3137</v>
      </c>
      <c r="L1668" s="99" t="s">
        <v>3895</v>
      </c>
      <c r="M1668" s="32" t="str">
        <f t="shared" si="65"/>
        <v>Yes</v>
      </c>
      <c r="N1668" s="32">
        <f>G1668 - F1668</f>
        <v>62</v>
      </c>
      <c r="O1668">
        <v>1</v>
      </c>
    </row>
    <row r="1669" spans="1:15" x14ac:dyDescent="0.3">
      <c r="A1669" s="62" t="s">
        <v>3029</v>
      </c>
      <c r="B1669" s="77" t="s">
        <v>70</v>
      </c>
      <c r="C1669" s="77" t="s">
        <v>12</v>
      </c>
      <c r="D1669" s="62" t="s">
        <v>3030</v>
      </c>
      <c r="E1669" s="62" t="s">
        <v>3228</v>
      </c>
      <c r="F1669" s="78">
        <v>45051</v>
      </c>
      <c r="G1669" s="78">
        <v>45189</v>
      </c>
      <c r="H1669" s="79" t="str">
        <f t="shared" si="62"/>
        <v>EVEN</v>
      </c>
      <c r="I1669" s="108">
        <v>0</v>
      </c>
      <c r="J1669" s="32" t="str">
        <f>UPPER(TEXT(F1669,"mmm")) &amp; " - " &amp; UPPER(TEXT(G1669,"mmm"))</f>
        <v>MAY - SEP</v>
      </c>
      <c r="K1669" s="32" t="s">
        <v>3137</v>
      </c>
      <c r="L1669" s="99" t="s">
        <v>3895</v>
      </c>
      <c r="M1669" s="32" t="str">
        <f t="shared" si="65"/>
        <v>No</v>
      </c>
      <c r="N1669" s="32">
        <f>G1669 - F1669</f>
        <v>138</v>
      </c>
      <c r="O1669">
        <v>1</v>
      </c>
    </row>
    <row r="1670" spans="1:15" x14ac:dyDescent="0.3">
      <c r="A1670" s="62" t="s">
        <v>3029</v>
      </c>
      <c r="B1670" s="77" t="s">
        <v>70</v>
      </c>
      <c r="C1670" s="77" t="s">
        <v>12</v>
      </c>
      <c r="D1670" s="62" t="s">
        <v>3030</v>
      </c>
      <c r="E1670" s="62" t="s">
        <v>3031</v>
      </c>
      <c r="F1670" s="78">
        <v>45108</v>
      </c>
      <c r="G1670" s="78">
        <v>45199</v>
      </c>
      <c r="H1670" s="79" t="str">
        <f t="shared" si="62"/>
        <v>EVEN</v>
      </c>
      <c r="I1670" s="108">
        <v>0</v>
      </c>
      <c r="J1670" s="32" t="str">
        <f>UPPER(TEXT(F1670,"mmm")) &amp; " - " &amp; UPPER(TEXT(G1670,"mmm"))</f>
        <v>JUL - SEP</v>
      </c>
      <c r="K1670" s="32" t="s">
        <v>3137</v>
      </c>
      <c r="L1670" s="99" t="s">
        <v>3895</v>
      </c>
      <c r="M1670" s="32" t="str">
        <f t="shared" si="65"/>
        <v>No</v>
      </c>
      <c r="N1670" s="32">
        <f>G1670 - F1670</f>
        <v>91</v>
      </c>
      <c r="O1670">
        <v>1</v>
      </c>
    </row>
    <row r="1671" spans="1:15" x14ac:dyDescent="0.3">
      <c r="A1671" s="62" t="s">
        <v>2601</v>
      </c>
      <c r="B1671" s="77" t="s">
        <v>70</v>
      </c>
      <c r="C1671" s="77" t="s">
        <v>12</v>
      </c>
      <c r="D1671" s="62" t="s">
        <v>260</v>
      </c>
      <c r="E1671" s="62" t="s">
        <v>1043</v>
      </c>
      <c r="F1671" s="78">
        <v>45191</v>
      </c>
      <c r="G1671" s="78">
        <v>45212</v>
      </c>
      <c r="H1671" s="79" t="str">
        <f t="shared" si="62"/>
        <v>ODD</v>
      </c>
      <c r="I1671" s="108">
        <v>0</v>
      </c>
      <c r="J1671" s="32" t="str">
        <f>UPPER(TEXT(F1671,"mmm")) &amp; " - " &amp; UPPER(TEXT(G1671,"mmm"))</f>
        <v>SEP - OCT</v>
      </c>
      <c r="K1671" s="32" t="s">
        <v>3137</v>
      </c>
      <c r="L1671" s="99" t="s">
        <v>3895</v>
      </c>
      <c r="M1671" s="32" t="str">
        <f t="shared" si="65"/>
        <v>No</v>
      </c>
      <c r="N1671" s="32">
        <f>G1671 - F1671</f>
        <v>21</v>
      </c>
      <c r="O1671">
        <v>1</v>
      </c>
    </row>
    <row r="1672" spans="1:15" x14ac:dyDescent="0.3">
      <c r="A1672" s="62" t="s">
        <v>3120</v>
      </c>
      <c r="B1672" s="77" t="s">
        <v>70</v>
      </c>
      <c r="C1672" s="77" t="s">
        <v>12</v>
      </c>
      <c r="D1672" s="62" t="s">
        <v>3229</v>
      </c>
      <c r="E1672" s="62" t="s">
        <v>3122</v>
      </c>
      <c r="F1672" s="78">
        <v>45078</v>
      </c>
      <c r="G1672" s="78">
        <v>45138</v>
      </c>
      <c r="H1672" s="79" t="str">
        <f t="shared" si="62"/>
        <v>EVEN</v>
      </c>
      <c r="I1672" s="108">
        <v>0</v>
      </c>
      <c r="J1672" s="32" t="str">
        <f>UPPER(TEXT(F1672,"mmm")) &amp; " - " &amp; UPPER(TEXT(G1672,"mmm"))</f>
        <v>JUN - JUL</v>
      </c>
      <c r="K1672" s="32" t="s">
        <v>3137</v>
      </c>
      <c r="L1672" s="99" t="s">
        <v>3895</v>
      </c>
      <c r="M1672" s="32" t="str">
        <f t="shared" si="65"/>
        <v>No</v>
      </c>
      <c r="N1672" s="32">
        <f>G1672 - F1672</f>
        <v>60</v>
      </c>
      <c r="O1672">
        <v>1</v>
      </c>
    </row>
    <row r="1673" spans="1:15" x14ac:dyDescent="0.3">
      <c r="A1673" s="62" t="s">
        <v>2026</v>
      </c>
      <c r="B1673" s="77" t="s">
        <v>70</v>
      </c>
      <c r="C1673" s="77" t="s">
        <v>12</v>
      </c>
      <c r="D1673" s="62" t="s">
        <v>3230</v>
      </c>
      <c r="E1673" s="62" t="s">
        <v>3231</v>
      </c>
      <c r="F1673" s="78">
        <v>45183</v>
      </c>
      <c r="G1673" s="78">
        <v>45213</v>
      </c>
      <c r="H1673" s="79" t="str">
        <f t="shared" si="62"/>
        <v>ODD</v>
      </c>
      <c r="I1673" s="108">
        <v>0</v>
      </c>
      <c r="J1673" s="32" t="str">
        <f>UPPER(TEXT(F1673,"mmm")) &amp; " - " &amp; UPPER(TEXT(G1673,"mmm"))</f>
        <v>SEP - OCT</v>
      </c>
      <c r="K1673" s="32" t="s">
        <v>3137</v>
      </c>
      <c r="L1673" s="99" t="s">
        <v>3895</v>
      </c>
      <c r="M1673" s="32" t="str">
        <f t="shared" si="65"/>
        <v>No</v>
      </c>
      <c r="N1673" s="32">
        <f>G1673 - F1673</f>
        <v>30</v>
      </c>
      <c r="O1673">
        <v>1</v>
      </c>
    </row>
    <row r="1674" spans="1:15" x14ac:dyDescent="0.3">
      <c r="A1674" s="62" t="s">
        <v>2948</v>
      </c>
      <c r="B1674" s="77" t="s">
        <v>70</v>
      </c>
      <c r="C1674" s="77" t="s">
        <v>12</v>
      </c>
      <c r="D1674" s="62" t="s">
        <v>3230</v>
      </c>
      <c r="E1674" s="62" t="s">
        <v>3232</v>
      </c>
      <c r="F1674" s="78">
        <v>45183</v>
      </c>
      <c r="G1674" s="78">
        <v>45213</v>
      </c>
      <c r="H1674" s="79" t="str">
        <f t="shared" si="62"/>
        <v>ODD</v>
      </c>
      <c r="I1674" s="108">
        <v>0</v>
      </c>
      <c r="J1674" s="32" t="str">
        <f>UPPER(TEXT(F1674,"mmm")) &amp; " - " &amp; UPPER(TEXT(G1674,"mmm"))</f>
        <v>SEP - OCT</v>
      </c>
      <c r="K1674" s="32" t="s">
        <v>3137</v>
      </c>
      <c r="L1674" s="99" t="s">
        <v>3895</v>
      </c>
      <c r="M1674" s="32" t="str">
        <f t="shared" si="65"/>
        <v>No</v>
      </c>
      <c r="N1674" s="32">
        <f>G1674 - F1674</f>
        <v>30</v>
      </c>
      <c r="O1674">
        <v>1</v>
      </c>
    </row>
    <row r="1675" spans="1:15" x14ac:dyDescent="0.3">
      <c r="A1675" s="62" t="s">
        <v>3043</v>
      </c>
      <c r="B1675" s="77" t="s">
        <v>70</v>
      </c>
      <c r="C1675" s="77" t="s">
        <v>12</v>
      </c>
      <c r="D1675" s="62" t="s">
        <v>3233</v>
      </c>
      <c r="E1675" s="62" t="s">
        <v>3045</v>
      </c>
      <c r="F1675" s="78">
        <v>45017</v>
      </c>
      <c r="G1675" s="78">
        <v>45291</v>
      </c>
      <c r="H1675" s="79" t="str">
        <f t="shared" si="62"/>
        <v>EVEN</v>
      </c>
      <c r="I1675" s="108">
        <v>10000</v>
      </c>
      <c r="J1675" s="32" t="str">
        <f>UPPER(TEXT(F1675,"mmm")) &amp; " - " &amp; UPPER(TEXT(G1675,"mmm"))</f>
        <v>APR - DEC</v>
      </c>
      <c r="K1675" s="32" t="s">
        <v>3137</v>
      </c>
      <c r="L1675" s="99" t="s">
        <v>3895</v>
      </c>
      <c r="M1675" s="32" t="str">
        <f t="shared" si="65"/>
        <v>Yes</v>
      </c>
      <c r="N1675" s="32">
        <f>G1675 - F1675</f>
        <v>274</v>
      </c>
      <c r="O1675">
        <v>1</v>
      </c>
    </row>
    <row r="1676" spans="1:15" x14ac:dyDescent="0.3">
      <c r="A1676" s="62" t="s">
        <v>3234</v>
      </c>
      <c r="B1676" s="77" t="s">
        <v>70</v>
      </c>
      <c r="C1676" s="77" t="s">
        <v>12</v>
      </c>
      <c r="D1676" s="62" t="s">
        <v>3235</v>
      </c>
      <c r="E1676" s="62" t="s">
        <v>958</v>
      </c>
      <c r="F1676" s="78">
        <v>45160</v>
      </c>
      <c r="G1676" s="78">
        <v>45192</v>
      </c>
      <c r="H1676" s="79" t="str">
        <f t="shared" si="62"/>
        <v>ODD</v>
      </c>
      <c r="I1676" s="108">
        <v>0</v>
      </c>
      <c r="J1676" s="32" t="str">
        <f>UPPER(TEXT(F1676,"mmm")) &amp; " - " &amp; UPPER(TEXT(G1676,"mmm"))</f>
        <v>AUG - SEP</v>
      </c>
      <c r="K1676" s="32" t="s">
        <v>3137</v>
      </c>
      <c r="L1676" s="99" t="s">
        <v>3895</v>
      </c>
      <c r="M1676" s="32" t="str">
        <f t="shared" si="65"/>
        <v>No</v>
      </c>
      <c r="N1676" s="32">
        <f>G1676 - F1676</f>
        <v>32</v>
      </c>
      <c r="O1676">
        <v>1</v>
      </c>
    </row>
    <row r="1677" spans="1:15" x14ac:dyDescent="0.3">
      <c r="A1677" s="62" t="s">
        <v>3236</v>
      </c>
      <c r="B1677" s="77" t="s">
        <v>70</v>
      </c>
      <c r="C1677" s="77" t="s">
        <v>12</v>
      </c>
      <c r="D1677" s="62" t="s">
        <v>3235</v>
      </c>
      <c r="E1677" s="62" t="s">
        <v>958</v>
      </c>
      <c r="F1677" s="78">
        <v>45160</v>
      </c>
      <c r="G1677" s="78">
        <v>45192</v>
      </c>
      <c r="H1677" s="79" t="str">
        <f t="shared" si="62"/>
        <v>ODD</v>
      </c>
      <c r="I1677" s="108">
        <v>0</v>
      </c>
      <c r="J1677" s="32" t="str">
        <f>UPPER(TEXT(F1677,"mmm")) &amp; " - " &amp; UPPER(TEXT(G1677,"mmm"))</f>
        <v>AUG - SEP</v>
      </c>
      <c r="K1677" s="32" t="s">
        <v>3137</v>
      </c>
      <c r="L1677" s="99" t="s">
        <v>3895</v>
      </c>
      <c r="M1677" s="32" t="str">
        <f t="shared" si="65"/>
        <v>No</v>
      </c>
      <c r="N1677" s="32">
        <f>G1677 - F1677</f>
        <v>32</v>
      </c>
      <c r="O1677">
        <v>1</v>
      </c>
    </row>
    <row r="1678" spans="1:15" x14ac:dyDescent="0.3">
      <c r="A1678" s="62" t="s">
        <v>2485</v>
      </c>
      <c r="B1678" s="77" t="s">
        <v>70</v>
      </c>
      <c r="C1678" s="77" t="s">
        <v>12</v>
      </c>
      <c r="D1678" s="62" t="s">
        <v>3237</v>
      </c>
      <c r="E1678" s="62" t="s">
        <v>3238</v>
      </c>
      <c r="F1678" s="78">
        <v>45126</v>
      </c>
      <c r="G1678" s="78">
        <v>45197</v>
      </c>
      <c r="H1678" s="79" t="str">
        <f t="shared" si="62"/>
        <v>ODD</v>
      </c>
      <c r="I1678" s="108">
        <v>0</v>
      </c>
      <c r="J1678" s="32" t="str">
        <f>UPPER(TEXT(F1678,"mmm")) &amp; " - " &amp; UPPER(TEXT(G1678,"mmm"))</f>
        <v>JUL - SEP</v>
      </c>
      <c r="K1678" s="32" t="s">
        <v>3137</v>
      </c>
      <c r="L1678" s="99" t="s">
        <v>3895</v>
      </c>
      <c r="M1678" s="32" t="str">
        <f t="shared" si="65"/>
        <v>No</v>
      </c>
      <c r="N1678" s="32">
        <f>G1678 - F1678</f>
        <v>71</v>
      </c>
      <c r="O1678">
        <v>1</v>
      </c>
    </row>
    <row r="1679" spans="1:15" x14ac:dyDescent="0.3">
      <c r="A1679" s="62" t="s">
        <v>2531</v>
      </c>
      <c r="B1679" s="77" t="s">
        <v>70</v>
      </c>
      <c r="C1679" s="77" t="s">
        <v>12</v>
      </c>
      <c r="D1679" s="62" t="s">
        <v>3239</v>
      </c>
      <c r="E1679" s="62" t="s">
        <v>3231</v>
      </c>
      <c r="F1679" s="78">
        <v>45193</v>
      </c>
      <c r="G1679" s="78">
        <v>45222</v>
      </c>
      <c r="H1679" s="79" t="str">
        <f t="shared" si="62"/>
        <v>ODD</v>
      </c>
      <c r="I1679" s="108">
        <v>0</v>
      </c>
      <c r="J1679" s="32" t="str">
        <f>UPPER(TEXT(F1679,"mmm")) &amp; " - " &amp; UPPER(TEXT(G1679,"mmm"))</f>
        <v>SEP - OCT</v>
      </c>
      <c r="K1679" s="32" t="s">
        <v>3137</v>
      </c>
      <c r="L1679" s="99" t="s">
        <v>3895</v>
      </c>
      <c r="M1679" s="32" t="str">
        <f t="shared" si="65"/>
        <v>No</v>
      </c>
      <c r="N1679" s="32">
        <f>G1679 - F1679</f>
        <v>29</v>
      </c>
      <c r="O1679">
        <v>1</v>
      </c>
    </row>
    <row r="1680" spans="1:15" x14ac:dyDescent="0.3">
      <c r="A1680" s="62" t="s">
        <v>2566</v>
      </c>
      <c r="B1680" s="77" t="s">
        <v>70</v>
      </c>
      <c r="C1680" s="77" t="s">
        <v>12</v>
      </c>
      <c r="D1680" s="62" t="s">
        <v>3116</v>
      </c>
      <c r="E1680" s="62" t="s">
        <v>3240</v>
      </c>
      <c r="F1680" s="78">
        <v>45110</v>
      </c>
      <c r="G1680" s="78">
        <v>45148</v>
      </c>
      <c r="H1680" s="79" t="str">
        <f t="shared" si="62"/>
        <v>EVEN</v>
      </c>
      <c r="I1680" s="108">
        <v>0</v>
      </c>
      <c r="J1680" s="32" t="str">
        <f>UPPER(TEXT(F1680,"mmm")) &amp; " - " &amp; UPPER(TEXT(G1680,"mmm"))</f>
        <v>JUL - AUG</v>
      </c>
      <c r="K1680" s="32" t="s">
        <v>3137</v>
      </c>
      <c r="L1680" s="99" t="s">
        <v>3895</v>
      </c>
      <c r="M1680" s="32" t="str">
        <f t="shared" si="65"/>
        <v>No</v>
      </c>
      <c r="N1680" s="32">
        <f>G1680 - F1680</f>
        <v>38</v>
      </c>
      <c r="O1680">
        <v>1</v>
      </c>
    </row>
    <row r="1681" spans="1:15" x14ac:dyDescent="0.3">
      <c r="A1681" s="62" t="s">
        <v>3130</v>
      </c>
      <c r="B1681" s="77" t="s">
        <v>70</v>
      </c>
      <c r="C1681" s="77" t="s">
        <v>12</v>
      </c>
      <c r="D1681" s="62" t="s">
        <v>3131</v>
      </c>
      <c r="E1681" s="62" t="s">
        <v>3132</v>
      </c>
      <c r="F1681" s="78">
        <v>45097</v>
      </c>
      <c r="G1681" s="78">
        <v>45147</v>
      </c>
      <c r="H1681" s="79" t="str">
        <f t="shared" si="62"/>
        <v>EVEN</v>
      </c>
      <c r="I1681" s="108">
        <v>15000</v>
      </c>
      <c r="J1681" s="32" t="str">
        <f>UPPER(TEXT(F1681,"mmm")) &amp; " - " &amp; UPPER(TEXT(G1681,"mmm"))</f>
        <v>JUN - AUG</v>
      </c>
      <c r="K1681" s="32" t="s">
        <v>3137</v>
      </c>
      <c r="L1681" s="99" t="s">
        <v>3895</v>
      </c>
      <c r="M1681" s="32" t="str">
        <f t="shared" si="65"/>
        <v>Yes</v>
      </c>
      <c r="N1681" s="32">
        <f>G1681 - F1681</f>
        <v>50</v>
      </c>
      <c r="O1681">
        <v>1</v>
      </c>
    </row>
    <row r="1682" spans="1:15" x14ac:dyDescent="0.3">
      <c r="A1682" s="62" t="s">
        <v>2504</v>
      </c>
      <c r="B1682" s="77" t="s">
        <v>70</v>
      </c>
      <c r="C1682" s="77" t="s">
        <v>12</v>
      </c>
      <c r="D1682" s="62" t="s">
        <v>3241</v>
      </c>
      <c r="E1682" s="62" t="s">
        <v>3242</v>
      </c>
      <c r="F1682" s="78">
        <v>45133</v>
      </c>
      <c r="G1682" s="78">
        <v>45231</v>
      </c>
      <c r="H1682" s="79" t="str">
        <f t="shared" si="62"/>
        <v>ODD</v>
      </c>
      <c r="I1682" s="108">
        <v>5000</v>
      </c>
      <c r="J1682" s="32" t="str">
        <f>UPPER(TEXT(F1682,"mmm")) &amp; " - " &amp; UPPER(TEXT(G1682,"mmm"))</f>
        <v>JUL - NOV</v>
      </c>
      <c r="K1682" s="32" t="s">
        <v>3137</v>
      </c>
      <c r="L1682" s="99" t="s">
        <v>3895</v>
      </c>
      <c r="M1682" s="32" t="str">
        <f t="shared" si="65"/>
        <v>Yes</v>
      </c>
      <c r="N1682" s="32">
        <f>G1682 - F1682</f>
        <v>98</v>
      </c>
      <c r="O1682">
        <v>1</v>
      </c>
    </row>
    <row r="1683" spans="1:15" x14ac:dyDescent="0.3">
      <c r="A1683" s="62" t="s">
        <v>3243</v>
      </c>
      <c r="B1683" s="77" t="s">
        <v>70</v>
      </c>
      <c r="C1683" s="77" t="s">
        <v>12</v>
      </c>
      <c r="D1683" s="62" t="s">
        <v>3244</v>
      </c>
      <c r="E1683" s="62" t="s">
        <v>3245</v>
      </c>
      <c r="F1683" s="78">
        <v>45161</v>
      </c>
      <c r="G1683" s="78">
        <v>45253</v>
      </c>
      <c r="H1683" s="79" t="str">
        <f t="shared" si="62"/>
        <v>ODD</v>
      </c>
      <c r="I1683" s="108">
        <v>0</v>
      </c>
      <c r="J1683" s="32" t="str">
        <f>UPPER(TEXT(F1683,"mmm")) &amp; " - " &amp; UPPER(TEXT(G1683,"mmm"))</f>
        <v>AUG - NOV</v>
      </c>
      <c r="K1683" s="32" t="s">
        <v>3137</v>
      </c>
      <c r="L1683" s="99" t="s">
        <v>3895</v>
      </c>
      <c r="M1683" s="32" t="str">
        <f t="shared" si="65"/>
        <v>No</v>
      </c>
      <c r="N1683" s="32">
        <f>G1683 - F1683</f>
        <v>92</v>
      </c>
      <c r="O1683">
        <v>1</v>
      </c>
    </row>
    <row r="1684" spans="1:15" x14ac:dyDescent="0.3">
      <c r="A1684" s="62" t="s">
        <v>3246</v>
      </c>
      <c r="B1684" s="77" t="s">
        <v>70</v>
      </c>
      <c r="C1684" s="77" t="s">
        <v>12</v>
      </c>
      <c r="D1684" s="62" t="s">
        <v>3247</v>
      </c>
      <c r="E1684" s="62" t="s">
        <v>3248</v>
      </c>
      <c r="F1684" s="78">
        <v>45261</v>
      </c>
      <c r="G1684" s="78">
        <v>45291</v>
      </c>
      <c r="H1684" s="79" t="str">
        <f t="shared" si="62"/>
        <v>ODD</v>
      </c>
      <c r="I1684" s="108">
        <v>0</v>
      </c>
      <c r="J1684" s="32" t="str">
        <f>UPPER(TEXT(F1684,"mmm")) &amp; " - " &amp; UPPER(TEXT(G1684,"mmm"))</f>
        <v>DEC - DEC</v>
      </c>
      <c r="K1684" s="32" t="s">
        <v>3137</v>
      </c>
      <c r="L1684" s="99" t="s">
        <v>3895</v>
      </c>
      <c r="M1684" s="32" t="str">
        <f t="shared" si="65"/>
        <v>No</v>
      </c>
      <c r="N1684" s="32">
        <f>G1684 - F1684</f>
        <v>30</v>
      </c>
      <c r="O1684">
        <v>1</v>
      </c>
    </row>
    <row r="1685" spans="1:15" x14ac:dyDescent="0.3">
      <c r="A1685" s="62" t="s">
        <v>2959</v>
      </c>
      <c r="B1685" s="77" t="s">
        <v>70</v>
      </c>
      <c r="C1685" s="77" t="s">
        <v>12</v>
      </c>
      <c r="D1685" s="62" t="s">
        <v>3249</v>
      </c>
      <c r="E1685" s="62" t="s">
        <v>3250</v>
      </c>
      <c r="F1685" s="78">
        <v>45124</v>
      </c>
      <c r="G1685" s="78">
        <v>45212</v>
      </c>
      <c r="H1685" s="79" t="str">
        <f t="shared" si="62"/>
        <v>ODD</v>
      </c>
      <c r="I1685" s="108">
        <v>35000</v>
      </c>
      <c r="J1685" s="32" t="str">
        <f>UPPER(TEXT(F1685,"mmm")) &amp; " - " &amp; UPPER(TEXT(G1685,"mmm"))</f>
        <v>JUL - OCT</v>
      </c>
      <c r="K1685" s="32" t="s">
        <v>3137</v>
      </c>
      <c r="L1685" s="99" t="s">
        <v>3895</v>
      </c>
      <c r="M1685" s="32" t="str">
        <f t="shared" si="65"/>
        <v>Yes</v>
      </c>
      <c r="N1685" s="32">
        <f>G1685 - F1685</f>
        <v>88</v>
      </c>
      <c r="O1685">
        <v>1</v>
      </c>
    </row>
    <row r="1686" spans="1:15" x14ac:dyDescent="0.3">
      <c r="A1686" s="62" t="s">
        <v>3251</v>
      </c>
      <c r="B1686" s="77" t="s">
        <v>70</v>
      </c>
      <c r="C1686" s="77" t="s">
        <v>12</v>
      </c>
      <c r="D1686" s="62" t="s">
        <v>3252</v>
      </c>
      <c r="E1686" s="62" t="s">
        <v>3253</v>
      </c>
      <c r="F1686" s="78">
        <v>45108</v>
      </c>
      <c r="G1686" s="78">
        <v>45138</v>
      </c>
      <c r="H1686" s="79" t="str">
        <f t="shared" si="62"/>
        <v>EVEN</v>
      </c>
      <c r="I1686" s="108">
        <v>0</v>
      </c>
      <c r="J1686" s="32" t="str">
        <f>UPPER(TEXT(F1686,"mmm")) &amp; " - " &amp; UPPER(TEXT(G1686,"mmm"))</f>
        <v>JUL - JUL</v>
      </c>
      <c r="K1686" s="32" t="s">
        <v>3137</v>
      </c>
      <c r="L1686" s="99" t="s">
        <v>3895</v>
      </c>
      <c r="M1686" s="32" t="str">
        <f t="shared" si="65"/>
        <v>No</v>
      </c>
      <c r="N1686" s="32">
        <f>G1686 - F1686</f>
        <v>30</v>
      </c>
      <c r="O1686">
        <v>1</v>
      </c>
    </row>
    <row r="1687" spans="1:15" x14ac:dyDescent="0.3">
      <c r="A1687" s="62" t="s">
        <v>3120</v>
      </c>
      <c r="B1687" s="77" t="s">
        <v>70</v>
      </c>
      <c r="C1687" s="77" t="s">
        <v>12</v>
      </c>
      <c r="D1687" s="62" t="s">
        <v>2976</v>
      </c>
      <c r="E1687" s="62" t="s">
        <v>2652</v>
      </c>
      <c r="F1687" s="78">
        <v>45292</v>
      </c>
      <c r="G1687" s="78">
        <v>45322</v>
      </c>
      <c r="H1687" s="79" t="str">
        <f t="shared" si="62"/>
        <v>EVEN</v>
      </c>
      <c r="I1687" s="108">
        <v>0</v>
      </c>
      <c r="J1687" s="32" t="str">
        <f>UPPER(TEXT(F1687,"mmm")) &amp; " - " &amp; UPPER(TEXT(G1687,"mmm"))</f>
        <v>JAN - JAN</v>
      </c>
      <c r="K1687" s="32" t="s">
        <v>3137</v>
      </c>
      <c r="L1687" s="99" t="s">
        <v>3895</v>
      </c>
      <c r="M1687" s="32" t="str">
        <f t="shared" si="65"/>
        <v>No</v>
      </c>
      <c r="N1687" s="32">
        <f>G1687 - F1687</f>
        <v>30</v>
      </c>
      <c r="O1687">
        <v>1</v>
      </c>
    </row>
    <row r="1688" spans="1:15" x14ac:dyDescent="0.3">
      <c r="A1688" s="62" t="s">
        <v>3251</v>
      </c>
      <c r="B1688" s="77" t="s">
        <v>70</v>
      </c>
      <c r="C1688" s="77" t="s">
        <v>12</v>
      </c>
      <c r="D1688" s="62" t="s">
        <v>3254</v>
      </c>
      <c r="E1688" s="62" t="s">
        <v>3255</v>
      </c>
      <c r="F1688" s="78">
        <v>45334</v>
      </c>
      <c r="G1688" s="78">
        <v>45394</v>
      </c>
      <c r="H1688" s="79" t="str">
        <f t="shared" si="62"/>
        <v>EVEN</v>
      </c>
      <c r="I1688" s="108">
        <v>0</v>
      </c>
      <c r="J1688" s="32" t="str">
        <f>UPPER(TEXT(F1688,"mmm")) &amp; " - " &amp; UPPER(TEXT(G1688,"mmm"))</f>
        <v>FEB - APR</v>
      </c>
      <c r="K1688" s="32" t="s">
        <v>3137</v>
      </c>
      <c r="L1688" s="99" t="s">
        <v>3895</v>
      </c>
      <c r="M1688" s="32" t="str">
        <f t="shared" si="65"/>
        <v>No</v>
      </c>
      <c r="N1688" s="32">
        <f>G1688 - F1688</f>
        <v>60</v>
      </c>
      <c r="O1688">
        <v>1</v>
      </c>
    </row>
    <row r="1689" spans="1:15" x14ac:dyDescent="0.3">
      <c r="A1689" s="62" t="s">
        <v>3256</v>
      </c>
      <c r="B1689" s="77" t="s">
        <v>70</v>
      </c>
      <c r="C1689" s="77" t="s">
        <v>12</v>
      </c>
      <c r="D1689" s="62" t="s">
        <v>2976</v>
      </c>
      <c r="E1689" s="62" t="s">
        <v>3257</v>
      </c>
      <c r="F1689" s="78">
        <v>45200</v>
      </c>
      <c r="G1689" s="78">
        <v>45231</v>
      </c>
      <c r="H1689" s="79" t="str">
        <f t="shared" si="62"/>
        <v>ODD</v>
      </c>
      <c r="I1689" s="108">
        <v>0</v>
      </c>
      <c r="J1689" s="32" t="str">
        <f>UPPER(TEXT(F1689,"mmm")) &amp; " - " &amp; UPPER(TEXT(G1689,"mmm"))</f>
        <v>OCT - NOV</v>
      </c>
      <c r="K1689" s="32" t="s">
        <v>3137</v>
      </c>
      <c r="L1689" s="99" t="s">
        <v>3895</v>
      </c>
      <c r="M1689" s="32" t="str">
        <f t="shared" si="65"/>
        <v>No</v>
      </c>
      <c r="N1689" s="32">
        <f>G1689 - F1689</f>
        <v>31</v>
      </c>
      <c r="O1689">
        <v>1</v>
      </c>
    </row>
    <row r="1690" spans="1:15" x14ac:dyDescent="0.3">
      <c r="A1690" s="62" t="s">
        <v>1347</v>
      </c>
      <c r="B1690" s="77" t="s">
        <v>70</v>
      </c>
      <c r="C1690" s="77" t="s">
        <v>12</v>
      </c>
      <c r="D1690" s="62" t="s">
        <v>1336</v>
      </c>
      <c r="E1690" s="62" t="s">
        <v>1348</v>
      </c>
      <c r="F1690" s="78">
        <v>43837</v>
      </c>
      <c r="G1690" s="78">
        <v>44260</v>
      </c>
      <c r="H1690" s="79" t="str">
        <f t="shared" si="62"/>
        <v>EVEN</v>
      </c>
      <c r="I1690" s="108">
        <v>0</v>
      </c>
      <c r="J1690" s="32" t="str">
        <f>UPPER(TEXT(F1690,"mmm")) &amp; " - " &amp; UPPER(TEXT(G1690,"mmm"))</f>
        <v>JAN - MAR</v>
      </c>
      <c r="K1690" s="32" t="s">
        <v>3137</v>
      </c>
      <c r="L1690" s="99" t="s">
        <v>3895</v>
      </c>
      <c r="M1690" s="32" t="str">
        <f t="shared" si="65"/>
        <v>No</v>
      </c>
      <c r="N1690" s="32">
        <f>G1690 - F1690</f>
        <v>423</v>
      </c>
      <c r="O1690">
        <v>1</v>
      </c>
    </row>
    <row r="1691" spans="1:15" x14ac:dyDescent="0.3">
      <c r="A1691" s="62" t="s">
        <v>1347</v>
      </c>
      <c r="B1691" s="77" t="s">
        <v>70</v>
      </c>
      <c r="C1691" s="77" t="s">
        <v>12</v>
      </c>
      <c r="D1691" s="62" t="s">
        <v>3258</v>
      </c>
      <c r="E1691" s="62" t="s">
        <v>1166</v>
      </c>
      <c r="F1691" s="78">
        <v>45108</v>
      </c>
      <c r="G1691" s="78">
        <v>45426</v>
      </c>
      <c r="H1691" s="79" t="str">
        <f t="shared" si="62"/>
        <v>EVEN</v>
      </c>
      <c r="I1691" s="108">
        <v>0</v>
      </c>
      <c r="J1691" s="32" t="str">
        <f>UPPER(TEXT(F1691,"mmm")) &amp; " - " &amp; UPPER(TEXT(G1691,"mmm"))</f>
        <v>JUL - MAY</v>
      </c>
      <c r="K1691" s="32" t="s">
        <v>3137</v>
      </c>
      <c r="L1691" s="99" t="s">
        <v>3895</v>
      </c>
      <c r="M1691" s="32" t="str">
        <f t="shared" si="65"/>
        <v>No</v>
      </c>
      <c r="N1691" s="32">
        <f>G1691 - F1691</f>
        <v>318</v>
      </c>
      <c r="O1691">
        <v>1</v>
      </c>
    </row>
    <row r="1692" spans="1:15" x14ac:dyDescent="0.3">
      <c r="A1692" s="62" t="s">
        <v>3259</v>
      </c>
      <c r="B1692" s="77" t="s">
        <v>70</v>
      </c>
      <c r="C1692" s="77" t="s">
        <v>12</v>
      </c>
      <c r="D1692" s="62" t="s">
        <v>2471</v>
      </c>
      <c r="E1692" s="62" t="s">
        <v>3260</v>
      </c>
      <c r="F1692" s="78">
        <v>45117</v>
      </c>
      <c r="G1692" s="78">
        <v>45291</v>
      </c>
      <c r="H1692" s="79" t="str">
        <f t="shared" si="62"/>
        <v>EVEN</v>
      </c>
      <c r="I1692" s="108">
        <v>0</v>
      </c>
      <c r="J1692" s="32" t="str">
        <f>UPPER(TEXT(F1692,"mmm")) &amp; " - " &amp; UPPER(TEXT(G1692,"mmm"))</f>
        <v>JUL - DEC</v>
      </c>
      <c r="K1692" s="32" t="s">
        <v>3137</v>
      </c>
      <c r="L1692" s="99" t="s">
        <v>3895</v>
      </c>
      <c r="M1692" s="32" t="str">
        <f t="shared" si="65"/>
        <v>No</v>
      </c>
      <c r="N1692" s="32">
        <f>G1692 - F1692</f>
        <v>174</v>
      </c>
      <c r="O1692">
        <v>1</v>
      </c>
    </row>
    <row r="1693" spans="1:15" x14ac:dyDescent="0.3">
      <c r="A1693" s="62" t="s">
        <v>3261</v>
      </c>
      <c r="B1693" s="77" t="s">
        <v>70</v>
      </c>
      <c r="C1693" s="77" t="s">
        <v>12</v>
      </c>
      <c r="D1693" s="62" t="s">
        <v>3262</v>
      </c>
      <c r="E1693" s="62" t="s">
        <v>3263</v>
      </c>
      <c r="F1693" s="78">
        <v>45383</v>
      </c>
      <c r="G1693" s="78">
        <v>45446</v>
      </c>
      <c r="H1693" s="79" t="str">
        <f t="shared" si="62"/>
        <v>EVEN</v>
      </c>
      <c r="I1693" s="108">
        <v>8000</v>
      </c>
      <c r="J1693" s="32" t="str">
        <f>UPPER(TEXT(F1693,"mmm")) &amp; " - " &amp; UPPER(TEXT(G1693,"mmm"))</f>
        <v>APR - JUN</v>
      </c>
      <c r="K1693" s="32" t="s">
        <v>3137</v>
      </c>
      <c r="L1693" s="99" t="s">
        <v>3895</v>
      </c>
      <c r="M1693" s="32" t="str">
        <f t="shared" si="65"/>
        <v>Yes</v>
      </c>
      <c r="N1693" s="32">
        <f>G1693 - F1693</f>
        <v>63</v>
      </c>
      <c r="O1693">
        <v>1</v>
      </c>
    </row>
    <row r="1694" spans="1:15" x14ac:dyDescent="0.3">
      <c r="A1694" s="62" t="s">
        <v>3264</v>
      </c>
      <c r="B1694" s="77" t="s">
        <v>70</v>
      </c>
      <c r="C1694" s="77" t="s">
        <v>12</v>
      </c>
      <c r="D1694" s="62" t="s">
        <v>3265</v>
      </c>
      <c r="E1694" s="62" t="s">
        <v>3266</v>
      </c>
      <c r="F1694" s="78">
        <v>45292</v>
      </c>
      <c r="G1694" s="78">
        <v>45394</v>
      </c>
      <c r="H1694" s="79" t="str">
        <f t="shared" si="62"/>
        <v>EVEN</v>
      </c>
      <c r="I1694" s="108">
        <v>0</v>
      </c>
      <c r="J1694" s="32" t="str">
        <f>UPPER(TEXT(F1694,"mmm")) &amp; " - " &amp; UPPER(TEXT(G1694,"mmm"))</f>
        <v>JAN - APR</v>
      </c>
      <c r="K1694" s="32" t="s">
        <v>3137</v>
      </c>
      <c r="L1694" s="99" t="s">
        <v>3895</v>
      </c>
      <c r="M1694" s="32" t="str">
        <f t="shared" si="65"/>
        <v>No</v>
      </c>
      <c r="N1694" s="32">
        <f>G1694 - F1694</f>
        <v>102</v>
      </c>
      <c r="O1694">
        <v>1</v>
      </c>
    </row>
    <row r="1695" spans="1:15" x14ac:dyDescent="0.3">
      <c r="A1695" s="62" t="s">
        <v>3264</v>
      </c>
      <c r="B1695" s="77" t="s">
        <v>70</v>
      </c>
      <c r="C1695" s="77" t="s">
        <v>12</v>
      </c>
      <c r="D1695" s="62" t="s">
        <v>3267</v>
      </c>
      <c r="E1695" s="62" t="s">
        <v>3268</v>
      </c>
      <c r="F1695" s="78">
        <v>45441</v>
      </c>
      <c r="G1695" s="78">
        <v>45473</v>
      </c>
      <c r="H1695" s="79" t="str">
        <f t="shared" si="62"/>
        <v>EVEN</v>
      </c>
      <c r="I1695" s="108">
        <v>6000</v>
      </c>
      <c r="J1695" s="32" t="str">
        <f>UPPER(TEXT(F1695,"mmm")) &amp; " - " &amp; UPPER(TEXT(G1695,"mmm"))</f>
        <v>MAY - JUN</v>
      </c>
      <c r="K1695" s="32" t="s">
        <v>3137</v>
      </c>
      <c r="L1695" s="99" t="s">
        <v>3895</v>
      </c>
      <c r="M1695" s="32" t="str">
        <f t="shared" si="65"/>
        <v>Yes</v>
      </c>
      <c r="N1695" s="32">
        <f>G1695 - F1695</f>
        <v>32</v>
      </c>
      <c r="O1695">
        <v>1</v>
      </c>
    </row>
    <row r="1696" spans="1:15" x14ac:dyDescent="0.3">
      <c r="A1696" s="62" t="s">
        <v>3269</v>
      </c>
      <c r="B1696" s="77" t="s">
        <v>70</v>
      </c>
      <c r="C1696" s="77" t="s">
        <v>12</v>
      </c>
      <c r="D1696" s="62" t="s">
        <v>3270</v>
      </c>
      <c r="E1696" s="62" t="s">
        <v>3271</v>
      </c>
      <c r="F1696" s="78">
        <v>45170</v>
      </c>
      <c r="G1696" s="78">
        <v>45261</v>
      </c>
      <c r="H1696" s="79" t="str">
        <f t="shared" si="62"/>
        <v>ODD</v>
      </c>
      <c r="I1696" s="108">
        <v>0</v>
      </c>
      <c r="J1696" s="32" t="str">
        <f>UPPER(TEXT(F1696,"mmm")) &amp; " - " &amp; UPPER(TEXT(G1696,"mmm"))</f>
        <v>SEP - DEC</v>
      </c>
      <c r="K1696" s="32" t="s">
        <v>3137</v>
      </c>
      <c r="L1696" s="99" t="s">
        <v>3895</v>
      </c>
      <c r="M1696" s="32" t="str">
        <f t="shared" si="65"/>
        <v>No</v>
      </c>
      <c r="N1696" s="32">
        <f>G1696 - F1696</f>
        <v>91</v>
      </c>
      <c r="O1696">
        <v>1</v>
      </c>
    </row>
    <row r="1697" spans="1:15" x14ac:dyDescent="0.3">
      <c r="A1697" s="62" t="s">
        <v>3272</v>
      </c>
      <c r="B1697" s="77" t="s">
        <v>70</v>
      </c>
      <c r="C1697" s="77" t="s">
        <v>12</v>
      </c>
      <c r="D1697" s="62" t="s">
        <v>3273</v>
      </c>
      <c r="E1697" s="62" t="s">
        <v>3274</v>
      </c>
      <c r="F1697" s="78">
        <v>45117</v>
      </c>
      <c r="G1697" s="78">
        <v>45473</v>
      </c>
      <c r="H1697" s="79" t="str">
        <f t="shared" si="62"/>
        <v>EVEN</v>
      </c>
      <c r="I1697" s="108">
        <v>0</v>
      </c>
      <c r="J1697" s="32" t="str">
        <f>UPPER(TEXT(F1697,"mmm")) &amp; " - " &amp; UPPER(TEXT(G1697,"mmm"))</f>
        <v>JUL - JUN</v>
      </c>
      <c r="K1697" s="32" t="s">
        <v>3137</v>
      </c>
      <c r="L1697" s="99" t="s">
        <v>3895</v>
      </c>
      <c r="M1697" s="32" t="str">
        <f t="shared" si="65"/>
        <v>No</v>
      </c>
      <c r="N1697" s="32">
        <f>G1697 - F1697</f>
        <v>356</v>
      </c>
      <c r="O1697">
        <v>1</v>
      </c>
    </row>
    <row r="1698" spans="1:15" x14ac:dyDescent="0.3">
      <c r="A1698" s="62" t="s">
        <v>3275</v>
      </c>
      <c r="B1698" s="77" t="s">
        <v>70</v>
      </c>
      <c r="C1698" s="77" t="s">
        <v>12</v>
      </c>
      <c r="D1698" s="62" t="s">
        <v>3276</v>
      </c>
      <c r="E1698" s="62" t="s">
        <v>3277</v>
      </c>
      <c r="F1698" s="78">
        <v>45428</v>
      </c>
      <c r="G1698" s="78">
        <v>45509</v>
      </c>
      <c r="H1698" s="79" t="str">
        <f t="shared" si="62"/>
        <v>EVEN</v>
      </c>
      <c r="I1698" s="108">
        <v>5000</v>
      </c>
      <c r="J1698" s="32" t="str">
        <f>UPPER(TEXT(F1698,"mmm")) &amp; " - " &amp; UPPER(TEXT(G1698,"mmm"))</f>
        <v>MAY - AUG</v>
      </c>
      <c r="K1698" s="32" t="s">
        <v>3137</v>
      </c>
      <c r="L1698" s="99" t="s">
        <v>3895</v>
      </c>
      <c r="M1698" s="32" t="str">
        <f t="shared" si="65"/>
        <v>Yes</v>
      </c>
      <c r="N1698" s="32">
        <f>G1698 - F1698</f>
        <v>81</v>
      </c>
      <c r="O1698">
        <v>1</v>
      </c>
    </row>
    <row r="1699" spans="1:15" x14ac:dyDescent="0.3">
      <c r="A1699" s="62" t="s">
        <v>2769</v>
      </c>
      <c r="B1699" s="77" t="s">
        <v>70</v>
      </c>
      <c r="C1699" s="77" t="s">
        <v>12</v>
      </c>
      <c r="D1699" s="62" t="s">
        <v>3278</v>
      </c>
      <c r="E1699" s="62" t="s">
        <v>3279</v>
      </c>
      <c r="F1699" s="78">
        <v>45432</v>
      </c>
      <c r="G1699" s="78">
        <v>45471</v>
      </c>
      <c r="H1699" s="79" t="str">
        <f t="shared" si="62"/>
        <v>EVEN</v>
      </c>
      <c r="I1699" s="108">
        <v>0</v>
      </c>
      <c r="J1699" s="32" t="str">
        <f>UPPER(TEXT(F1699,"mmm")) &amp; " - " &amp; UPPER(TEXT(G1699,"mmm"))</f>
        <v>MAY - JUN</v>
      </c>
      <c r="K1699" s="32" t="s">
        <v>3137</v>
      </c>
      <c r="L1699" s="99" t="s">
        <v>3895</v>
      </c>
      <c r="M1699" s="32" t="str">
        <f t="shared" si="65"/>
        <v>No</v>
      </c>
      <c r="N1699" s="32">
        <f>G1699 - F1699</f>
        <v>39</v>
      </c>
      <c r="O1699">
        <v>1</v>
      </c>
    </row>
    <row r="1700" spans="1:15" x14ac:dyDescent="0.3">
      <c r="A1700" s="62" t="s">
        <v>3269</v>
      </c>
      <c r="B1700" s="77" t="s">
        <v>70</v>
      </c>
      <c r="C1700" s="77" t="s">
        <v>12</v>
      </c>
      <c r="D1700" s="62" t="s">
        <v>3280</v>
      </c>
      <c r="E1700" s="62" t="s">
        <v>3281</v>
      </c>
      <c r="F1700" s="78">
        <v>45427</v>
      </c>
      <c r="G1700" s="78">
        <v>45488</v>
      </c>
      <c r="H1700" s="79" t="str">
        <f t="shared" ref="H1700:H1763" si="66">IF(AND(F1700&gt;=DATE(2023,7,15), F1700&lt;=DATE(2023,12,31)), "ODD", "EVEN")</f>
        <v>EVEN</v>
      </c>
      <c r="I1700" s="108">
        <v>0</v>
      </c>
      <c r="J1700" s="32" t="str">
        <f>UPPER(TEXT(F1700,"mmm")) &amp; " - " &amp; UPPER(TEXT(G1700,"mmm"))</f>
        <v>MAY - JUL</v>
      </c>
      <c r="K1700" s="32" t="s">
        <v>3137</v>
      </c>
      <c r="L1700" s="99" t="s">
        <v>3895</v>
      </c>
      <c r="M1700" s="32" t="str">
        <f t="shared" si="65"/>
        <v>No</v>
      </c>
      <c r="N1700" s="32">
        <f>G1700 - F1700</f>
        <v>61</v>
      </c>
      <c r="O1700">
        <v>1</v>
      </c>
    </row>
    <row r="1701" spans="1:15" x14ac:dyDescent="0.3">
      <c r="A1701" s="62" t="s">
        <v>3282</v>
      </c>
      <c r="B1701" s="77" t="s">
        <v>70</v>
      </c>
      <c r="C1701" s="77" t="s">
        <v>12</v>
      </c>
      <c r="D1701" s="62" t="s">
        <v>3283</v>
      </c>
      <c r="E1701" s="62" t="s">
        <v>3284</v>
      </c>
      <c r="F1701" s="78">
        <v>45355</v>
      </c>
      <c r="G1701" s="78">
        <v>45471</v>
      </c>
      <c r="H1701" s="79" t="str">
        <f t="shared" si="66"/>
        <v>EVEN</v>
      </c>
      <c r="I1701" s="108">
        <v>15000</v>
      </c>
      <c r="J1701" s="32" t="str">
        <f>UPPER(TEXT(F1701,"mmm")) &amp; " - " &amp; UPPER(TEXT(G1701,"mmm"))</f>
        <v>MAR - JUN</v>
      </c>
      <c r="K1701" s="32" t="s">
        <v>3137</v>
      </c>
      <c r="L1701" s="99" t="s">
        <v>3895</v>
      </c>
      <c r="M1701" s="32" t="str">
        <f t="shared" si="65"/>
        <v>Yes</v>
      </c>
      <c r="N1701" s="32">
        <f>G1701 - F1701</f>
        <v>116</v>
      </c>
      <c r="O1701">
        <v>1</v>
      </c>
    </row>
    <row r="1702" spans="1:15" x14ac:dyDescent="0.3">
      <c r="A1702" s="62" t="s">
        <v>3285</v>
      </c>
      <c r="B1702" s="77" t="s">
        <v>70</v>
      </c>
      <c r="C1702" s="77" t="s">
        <v>12</v>
      </c>
      <c r="D1702" s="62" t="s">
        <v>3286</v>
      </c>
      <c r="E1702" s="62" t="s">
        <v>3287</v>
      </c>
      <c r="F1702" s="78">
        <v>45352</v>
      </c>
      <c r="G1702" s="78">
        <v>45474</v>
      </c>
      <c r="H1702" s="79" t="str">
        <f t="shared" si="66"/>
        <v>EVEN</v>
      </c>
      <c r="I1702" s="108">
        <v>0</v>
      </c>
      <c r="J1702" s="32" t="str">
        <f>UPPER(TEXT(F1702,"mmm")) &amp; " - " &amp; UPPER(TEXT(G1702,"mmm"))</f>
        <v>MAR - JUL</v>
      </c>
      <c r="K1702" s="32" t="s">
        <v>3137</v>
      </c>
      <c r="L1702" s="99" t="s">
        <v>3895</v>
      </c>
      <c r="M1702" s="32" t="str">
        <f t="shared" si="65"/>
        <v>No</v>
      </c>
      <c r="N1702" s="32">
        <f>G1702 - F1702</f>
        <v>122</v>
      </c>
      <c r="O1702">
        <v>1</v>
      </c>
    </row>
    <row r="1703" spans="1:15" x14ac:dyDescent="0.3">
      <c r="A1703" s="62" t="s">
        <v>3288</v>
      </c>
      <c r="B1703" s="77" t="s">
        <v>70</v>
      </c>
      <c r="C1703" s="77" t="s">
        <v>12</v>
      </c>
      <c r="D1703" s="62" t="s">
        <v>3289</v>
      </c>
      <c r="E1703" s="62" t="s">
        <v>3290</v>
      </c>
      <c r="F1703" s="78">
        <v>45439</v>
      </c>
      <c r="G1703" s="78">
        <v>45474</v>
      </c>
      <c r="H1703" s="79" t="str">
        <f t="shared" si="66"/>
        <v>EVEN</v>
      </c>
      <c r="I1703" s="108">
        <v>0</v>
      </c>
      <c r="J1703" s="32" t="str">
        <f>UPPER(TEXT(F1703,"mmm")) &amp; " - " &amp; UPPER(TEXT(G1703,"mmm"))</f>
        <v>MAY - JUL</v>
      </c>
      <c r="K1703" s="32" t="s">
        <v>3137</v>
      </c>
      <c r="L1703" s="99" t="s">
        <v>3895</v>
      </c>
      <c r="M1703" s="32" t="str">
        <f t="shared" si="65"/>
        <v>No</v>
      </c>
      <c r="N1703" s="32">
        <f>G1703 - F1703</f>
        <v>35</v>
      </c>
      <c r="O1703">
        <v>1</v>
      </c>
    </row>
    <row r="1704" spans="1:15" x14ac:dyDescent="0.3">
      <c r="A1704" s="62" t="s">
        <v>2621</v>
      </c>
      <c r="B1704" s="77" t="s">
        <v>70</v>
      </c>
      <c r="C1704" s="77" t="s">
        <v>12</v>
      </c>
      <c r="D1704" s="62" t="s">
        <v>3291</v>
      </c>
      <c r="E1704" s="62" t="s">
        <v>2366</v>
      </c>
      <c r="F1704" s="78">
        <v>45496</v>
      </c>
      <c r="G1704" s="78">
        <v>45527</v>
      </c>
      <c r="H1704" s="79" t="str">
        <f t="shared" si="66"/>
        <v>EVEN</v>
      </c>
      <c r="I1704" s="108">
        <v>0</v>
      </c>
      <c r="J1704" s="32" t="str">
        <f>UPPER(TEXT(F1704,"mmm")) &amp; " - " &amp; UPPER(TEXT(G1704,"mmm"))</f>
        <v>JUL - AUG</v>
      </c>
      <c r="K1704" s="32" t="s">
        <v>3137</v>
      </c>
      <c r="L1704" s="99" t="s">
        <v>3895</v>
      </c>
      <c r="M1704" s="32" t="str">
        <f t="shared" si="65"/>
        <v>No</v>
      </c>
      <c r="N1704" s="32">
        <f>G1704 - F1704</f>
        <v>31</v>
      </c>
      <c r="O1704">
        <v>1</v>
      </c>
    </row>
    <row r="1705" spans="1:15" x14ac:dyDescent="0.3">
      <c r="A1705" s="62" t="s">
        <v>2621</v>
      </c>
      <c r="B1705" s="77" t="s">
        <v>70</v>
      </c>
      <c r="C1705" s="77" t="s">
        <v>12</v>
      </c>
      <c r="D1705" s="62" t="s">
        <v>3292</v>
      </c>
      <c r="E1705" s="62" t="s">
        <v>2366</v>
      </c>
      <c r="F1705" s="78">
        <v>45496</v>
      </c>
      <c r="G1705" s="78">
        <v>45527</v>
      </c>
      <c r="H1705" s="79" t="str">
        <f t="shared" si="66"/>
        <v>EVEN</v>
      </c>
      <c r="I1705" s="108">
        <v>0</v>
      </c>
      <c r="J1705" s="32" t="str">
        <f>UPPER(TEXT(F1705,"mmm")) &amp; " - " &amp; UPPER(TEXT(G1705,"mmm"))</f>
        <v>JUL - AUG</v>
      </c>
      <c r="K1705" s="32" t="s">
        <v>3137</v>
      </c>
      <c r="L1705" s="99" t="s">
        <v>3895</v>
      </c>
      <c r="M1705" s="32" t="str">
        <f t="shared" si="65"/>
        <v>No</v>
      </c>
      <c r="N1705" s="32">
        <f>G1705 - F1705</f>
        <v>31</v>
      </c>
      <c r="O1705">
        <v>1</v>
      </c>
    </row>
    <row r="1706" spans="1:15" x14ac:dyDescent="0.3">
      <c r="A1706" s="62" t="s">
        <v>3246</v>
      </c>
      <c r="B1706" s="77" t="s">
        <v>70</v>
      </c>
      <c r="C1706" s="77" t="s">
        <v>12</v>
      </c>
      <c r="D1706" s="62" t="s">
        <v>3293</v>
      </c>
      <c r="E1706" s="62" t="s">
        <v>3294</v>
      </c>
      <c r="F1706" s="78">
        <v>45110</v>
      </c>
      <c r="G1706" s="78">
        <v>45138</v>
      </c>
      <c r="H1706" s="79" t="str">
        <f t="shared" si="66"/>
        <v>EVEN</v>
      </c>
      <c r="I1706" s="108">
        <v>0</v>
      </c>
      <c r="J1706" s="32" t="str">
        <f>UPPER(TEXT(F1706,"mmm")) &amp; " - " &amp; UPPER(TEXT(G1706,"mmm"))</f>
        <v>JUL - JUL</v>
      </c>
      <c r="K1706" s="32" t="s">
        <v>3137</v>
      </c>
      <c r="L1706" s="77" t="s">
        <v>895</v>
      </c>
      <c r="M1706" s="32" t="str">
        <f t="shared" si="65"/>
        <v>No</v>
      </c>
      <c r="N1706" s="32">
        <f>G1706 - F1706</f>
        <v>28</v>
      </c>
      <c r="O1706">
        <v>1</v>
      </c>
    </row>
    <row r="1707" spans="1:15" x14ac:dyDescent="0.3">
      <c r="A1707" s="62" t="s">
        <v>3256</v>
      </c>
      <c r="B1707" s="77" t="s">
        <v>70</v>
      </c>
      <c r="C1707" s="77" t="s">
        <v>12</v>
      </c>
      <c r="D1707" s="62" t="s">
        <v>3295</v>
      </c>
      <c r="E1707" s="62" t="s">
        <v>3296</v>
      </c>
      <c r="F1707" s="78">
        <v>45261</v>
      </c>
      <c r="G1707" s="78">
        <v>45383</v>
      </c>
      <c r="H1707" s="79" t="str">
        <f t="shared" si="66"/>
        <v>ODD</v>
      </c>
      <c r="I1707" s="108">
        <v>0</v>
      </c>
      <c r="J1707" s="32" t="str">
        <f>UPPER(TEXT(F1707,"mmm")) &amp; " - " &amp; UPPER(TEXT(G1707,"mmm"))</f>
        <v>DEC - APR</v>
      </c>
      <c r="K1707" s="32" t="s">
        <v>3137</v>
      </c>
      <c r="L1707" s="77" t="s">
        <v>895</v>
      </c>
      <c r="M1707" s="32" t="str">
        <f t="shared" si="65"/>
        <v>No</v>
      </c>
      <c r="N1707" s="32">
        <f>G1707 - F1707</f>
        <v>122</v>
      </c>
      <c r="O1707">
        <v>1</v>
      </c>
    </row>
    <row r="1708" spans="1:15" x14ac:dyDescent="0.3">
      <c r="A1708" s="62" t="s">
        <v>1347</v>
      </c>
      <c r="B1708" s="77" t="s">
        <v>70</v>
      </c>
      <c r="C1708" s="77" t="s">
        <v>12</v>
      </c>
      <c r="D1708" s="62" t="s">
        <v>3073</v>
      </c>
      <c r="E1708" s="62" t="s">
        <v>3297</v>
      </c>
      <c r="F1708" s="78">
        <v>44948</v>
      </c>
      <c r="G1708" s="78">
        <v>45147</v>
      </c>
      <c r="H1708" s="79" t="str">
        <f t="shared" si="66"/>
        <v>EVEN</v>
      </c>
      <c r="I1708" s="108">
        <v>0</v>
      </c>
      <c r="J1708" s="32" t="str">
        <f>UPPER(TEXT(F1708,"mmm")) &amp; " - " &amp; UPPER(TEXT(G1708,"mmm"))</f>
        <v>JAN - AUG</v>
      </c>
      <c r="K1708" s="32" t="s">
        <v>3137</v>
      </c>
      <c r="L1708" s="77" t="s">
        <v>895</v>
      </c>
      <c r="M1708" s="32" t="str">
        <f t="shared" si="65"/>
        <v>No</v>
      </c>
      <c r="N1708" s="32">
        <f>G1708 - F1708</f>
        <v>199</v>
      </c>
      <c r="O1708">
        <v>1</v>
      </c>
    </row>
    <row r="1709" spans="1:15" x14ac:dyDescent="0.3">
      <c r="A1709" s="62" t="s">
        <v>3298</v>
      </c>
      <c r="B1709" s="77" t="s">
        <v>70</v>
      </c>
      <c r="C1709" s="77" t="s">
        <v>12</v>
      </c>
      <c r="D1709" s="62" t="s">
        <v>159</v>
      </c>
      <c r="E1709" s="62" t="s">
        <v>3299</v>
      </c>
      <c r="F1709" s="78">
        <v>45482</v>
      </c>
      <c r="G1709" s="78">
        <v>45496</v>
      </c>
      <c r="H1709" s="79" t="str">
        <f t="shared" si="66"/>
        <v>EVEN</v>
      </c>
      <c r="I1709" s="108">
        <v>0</v>
      </c>
      <c r="J1709" s="32" t="str">
        <f>UPPER(TEXT(F1709,"mmm")) &amp; " - " &amp; UPPER(TEXT(G1709,"mmm"))</f>
        <v>JUL - JUL</v>
      </c>
      <c r="K1709" s="32" t="s">
        <v>3137</v>
      </c>
      <c r="L1709" s="77" t="s">
        <v>895</v>
      </c>
      <c r="M1709" s="32" t="str">
        <f t="shared" si="65"/>
        <v>No</v>
      </c>
      <c r="N1709" s="32">
        <f>G1709 - F1709</f>
        <v>14</v>
      </c>
      <c r="O1709">
        <v>1</v>
      </c>
    </row>
    <row r="1710" spans="1:15" x14ac:dyDescent="0.3">
      <c r="A1710" s="62" t="s">
        <v>3300</v>
      </c>
      <c r="B1710" s="77" t="s">
        <v>70</v>
      </c>
      <c r="C1710" s="77" t="s">
        <v>12</v>
      </c>
      <c r="D1710" s="62" t="s">
        <v>1233</v>
      </c>
      <c r="E1710" s="62" t="s">
        <v>3301</v>
      </c>
      <c r="F1710" s="78">
        <v>45108</v>
      </c>
      <c r="G1710" s="78">
        <v>45383</v>
      </c>
      <c r="H1710" s="79" t="str">
        <f t="shared" si="66"/>
        <v>EVEN</v>
      </c>
      <c r="I1710" s="108">
        <v>0</v>
      </c>
      <c r="J1710" s="32" t="str">
        <f>UPPER(TEXT(F1710,"mmm")) &amp; " - " &amp; UPPER(TEXT(G1710,"mmm"))</f>
        <v>JUL - APR</v>
      </c>
      <c r="K1710" s="32" t="s">
        <v>3137</v>
      </c>
      <c r="L1710" s="77" t="s">
        <v>895</v>
      </c>
      <c r="M1710" s="32" t="str">
        <f t="shared" si="65"/>
        <v>No</v>
      </c>
      <c r="N1710" s="32">
        <f>G1710 - F1710</f>
        <v>275</v>
      </c>
      <c r="O1710">
        <v>1</v>
      </c>
    </row>
    <row r="1711" spans="1:15" x14ac:dyDescent="0.3">
      <c r="A1711" s="62" t="s">
        <v>316</v>
      </c>
      <c r="B1711" s="77" t="s">
        <v>70</v>
      </c>
      <c r="C1711" s="77" t="s">
        <v>12</v>
      </c>
      <c r="D1711" s="62" t="s">
        <v>1243</v>
      </c>
      <c r="E1711" s="62" t="s">
        <v>3302</v>
      </c>
      <c r="F1711" s="78">
        <v>45418</v>
      </c>
      <c r="G1711" s="78">
        <v>45505</v>
      </c>
      <c r="H1711" s="79" t="str">
        <f t="shared" si="66"/>
        <v>EVEN</v>
      </c>
      <c r="I1711" s="108">
        <v>0</v>
      </c>
      <c r="J1711" s="32" t="str">
        <f>UPPER(TEXT(F1711,"mmm")) &amp; " - " &amp; UPPER(TEXT(G1711,"mmm"))</f>
        <v>MAY - AUG</v>
      </c>
      <c r="K1711" s="32" t="s">
        <v>3137</v>
      </c>
      <c r="L1711" s="77" t="s">
        <v>895</v>
      </c>
      <c r="M1711" s="32" t="str">
        <f t="shared" si="65"/>
        <v>No</v>
      </c>
      <c r="N1711" s="32">
        <f>G1711 - F1711</f>
        <v>87</v>
      </c>
      <c r="O1711">
        <v>1</v>
      </c>
    </row>
    <row r="1712" spans="1:15" x14ac:dyDescent="0.3">
      <c r="A1712" s="62" t="s">
        <v>2549</v>
      </c>
      <c r="B1712" s="77" t="s">
        <v>70</v>
      </c>
      <c r="C1712" s="77" t="s">
        <v>12</v>
      </c>
      <c r="D1712" s="62" t="s">
        <v>694</v>
      </c>
      <c r="E1712" s="62" t="s">
        <v>3303</v>
      </c>
      <c r="F1712" s="78">
        <v>45123</v>
      </c>
      <c r="G1712" s="78">
        <v>45184</v>
      </c>
      <c r="H1712" s="79" t="str">
        <f t="shared" si="66"/>
        <v>ODD</v>
      </c>
      <c r="I1712" s="108">
        <v>0</v>
      </c>
      <c r="J1712" s="32" t="str">
        <f>UPPER(TEXT(F1712,"mmm")) &amp; " - " &amp; UPPER(TEXT(G1712,"mmm"))</f>
        <v>JUL - SEP</v>
      </c>
      <c r="K1712" s="32" t="s">
        <v>3137</v>
      </c>
      <c r="L1712" s="77" t="s">
        <v>895</v>
      </c>
      <c r="M1712" s="32" t="str">
        <f t="shared" si="65"/>
        <v>No</v>
      </c>
      <c r="N1712" s="32">
        <f>G1712 - F1712</f>
        <v>61</v>
      </c>
      <c r="O1712">
        <v>1</v>
      </c>
    </row>
    <row r="1713" spans="1:15" x14ac:dyDescent="0.3">
      <c r="A1713" s="62" t="s">
        <v>2549</v>
      </c>
      <c r="B1713" s="77" t="s">
        <v>70</v>
      </c>
      <c r="C1713" s="77" t="s">
        <v>12</v>
      </c>
      <c r="D1713" s="62" t="s">
        <v>694</v>
      </c>
      <c r="E1713" s="62" t="s">
        <v>3304</v>
      </c>
      <c r="F1713" s="78">
        <v>45275</v>
      </c>
      <c r="G1713" s="78">
        <v>45459</v>
      </c>
      <c r="H1713" s="79" t="str">
        <f t="shared" si="66"/>
        <v>ODD</v>
      </c>
      <c r="I1713" s="108">
        <v>0</v>
      </c>
      <c r="J1713" s="32" t="str">
        <f>UPPER(TEXT(F1713,"mmm")) &amp; " - " &amp; UPPER(TEXT(G1713,"mmm"))</f>
        <v>DEC - JUN</v>
      </c>
      <c r="K1713" s="32" t="s">
        <v>3137</v>
      </c>
      <c r="L1713" s="77" t="s">
        <v>895</v>
      </c>
      <c r="M1713" s="32" t="str">
        <f t="shared" si="65"/>
        <v>No</v>
      </c>
      <c r="N1713" s="32">
        <f>G1713 - F1713</f>
        <v>184</v>
      </c>
      <c r="O1713">
        <v>1</v>
      </c>
    </row>
    <row r="1714" spans="1:15" x14ac:dyDescent="0.3">
      <c r="A1714" s="62" t="s">
        <v>3305</v>
      </c>
      <c r="B1714" s="77" t="s">
        <v>70</v>
      </c>
      <c r="C1714" s="77" t="s">
        <v>12</v>
      </c>
      <c r="D1714" s="62" t="s">
        <v>3306</v>
      </c>
      <c r="E1714" s="62" t="s">
        <v>3307</v>
      </c>
      <c r="F1714" s="78">
        <v>45266</v>
      </c>
      <c r="G1714" s="78">
        <v>45464</v>
      </c>
      <c r="H1714" s="79" t="str">
        <f t="shared" si="66"/>
        <v>ODD</v>
      </c>
      <c r="I1714" s="108">
        <v>0</v>
      </c>
      <c r="J1714" s="32" t="str">
        <f>UPPER(TEXT(F1714,"mmm")) &amp; " - " &amp; UPPER(TEXT(G1714,"mmm"))</f>
        <v>DEC - JUN</v>
      </c>
      <c r="K1714" s="32" t="s">
        <v>3137</v>
      </c>
      <c r="L1714" s="77" t="s">
        <v>895</v>
      </c>
      <c r="M1714" s="32" t="str">
        <f t="shared" si="65"/>
        <v>No</v>
      </c>
      <c r="N1714" s="32">
        <f>G1714 - F1714</f>
        <v>198</v>
      </c>
      <c r="O1714">
        <v>1</v>
      </c>
    </row>
    <row r="1715" spans="1:15" x14ac:dyDescent="0.3">
      <c r="A1715" s="62" t="s">
        <v>3308</v>
      </c>
      <c r="B1715" s="77" t="s">
        <v>70</v>
      </c>
      <c r="C1715" s="77" t="s">
        <v>12</v>
      </c>
      <c r="D1715" s="62" t="s">
        <v>935</v>
      </c>
      <c r="E1715" s="62" t="s">
        <v>3309</v>
      </c>
      <c r="F1715" s="78">
        <v>45352</v>
      </c>
      <c r="G1715" s="78">
        <v>45535</v>
      </c>
      <c r="H1715" s="79" t="str">
        <f t="shared" si="66"/>
        <v>EVEN</v>
      </c>
      <c r="I1715" s="108">
        <v>0</v>
      </c>
      <c r="J1715" s="32" t="str">
        <f>UPPER(TEXT(F1715,"mmm")) &amp; " - " &amp; UPPER(TEXT(G1715,"mmm"))</f>
        <v>MAR - AUG</v>
      </c>
      <c r="K1715" s="32" t="s">
        <v>3137</v>
      </c>
      <c r="L1715" s="77" t="s">
        <v>895</v>
      </c>
      <c r="M1715" s="32" t="str">
        <f t="shared" si="65"/>
        <v>No</v>
      </c>
      <c r="N1715" s="32">
        <f>G1715 - F1715</f>
        <v>183</v>
      </c>
      <c r="O1715">
        <v>1</v>
      </c>
    </row>
    <row r="1716" spans="1:15" x14ac:dyDescent="0.3">
      <c r="A1716" s="62" t="s">
        <v>2590</v>
      </c>
      <c r="B1716" s="77" t="s">
        <v>70</v>
      </c>
      <c r="C1716" s="77" t="s">
        <v>12</v>
      </c>
      <c r="D1716" s="62" t="s">
        <v>3310</v>
      </c>
      <c r="E1716" s="62" t="s">
        <v>3311</v>
      </c>
      <c r="F1716" s="78">
        <v>45121</v>
      </c>
      <c r="G1716" s="78">
        <v>45554</v>
      </c>
      <c r="H1716" s="79" t="str">
        <f t="shared" si="66"/>
        <v>EVEN</v>
      </c>
      <c r="I1716" s="108">
        <v>0</v>
      </c>
      <c r="J1716" s="32" t="str">
        <f>UPPER(TEXT(F1716,"mmm")) &amp; " - " &amp; UPPER(TEXT(G1716,"mmm"))</f>
        <v>JUL - SEP</v>
      </c>
      <c r="K1716" s="32" t="s">
        <v>3137</v>
      </c>
      <c r="L1716" s="77" t="s">
        <v>895</v>
      </c>
      <c r="M1716" s="32" t="str">
        <f t="shared" si="65"/>
        <v>No</v>
      </c>
      <c r="N1716" s="32">
        <f>G1716 - F1716</f>
        <v>433</v>
      </c>
      <c r="O1716">
        <v>1</v>
      </c>
    </row>
    <row r="1717" spans="1:15" x14ac:dyDescent="0.3">
      <c r="A1717" s="62" t="s">
        <v>2443</v>
      </c>
      <c r="B1717" s="77" t="s">
        <v>78</v>
      </c>
      <c r="C1717" s="77" t="s">
        <v>12</v>
      </c>
      <c r="D1717" s="62" t="s">
        <v>3032</v>
      </c>
      <c r="E1717" s="62" t="s">
        <v>3033</v>
      </c>
      <c r="F1717" s="78">
        <v>45082</v>
      </c>
      <c r="G1717" s="78">
        <v>45138</v>
      </c>
      <c r="H1717" s="79" t="str">
        <f t="shared" si="66"/>
        <v>EVEN</v>
      </c>
      <c r="I1717" s="108">
        <v>0</v>
      </c>
      <c r="J1717" s="32" t="str">
        <f>UPPER(TEXT(F1717,"mmm")) &amp; " - " &amp; UPPER(TEXT(G1717,"mmm"))</f>
        <v>JUN - JUL</v>
      </c>
      <c r="K1717" s="32" t="s">
        <v>3137</v>
      </c>
      <c r="L1717" s="99" t="s">
        <v>3895</v>
      </c>
      <c r="M1717" s="32" t="str">
        <f t="shared" si="65"/>
        <v>No</v>
      </c>
      <c r="N1717" s="32">
        <f>G1717 - F1717</f>
        <v>56</v>
      </c>
      <c r="O1717">
        <v>1</v>
      </c>
    </row>
    <row r="1718" spans="1:15" x14ac:dyDescent="0.3">
      <c r="A1718" s="62" t="s">
        <v>2898</v>
      </c>
      <c r="B1718" s="77" t="s">
        <v>78</v>
      </c>
      <c r="C1718" s="77" t="s">
        <v>12</v>
      </c>
      <c r="D1718" s="62" t="s">
        <v>1113</v>
      </c>
      <c r="E1718" s="62" t="s">
        <v>1919</v>
      </c>
      <c r="F1718" s="78">
        <v>45110</v>
      </c>
      <c r="G1718" s="78">
        <v>45145</v>
      </c>
      <c r="H1718" s="79" t="str">
        <f t="shared" si="66"/>
        <v>EVEN</v>
      </c>
      <c r="I1718" s="108">
        <v>0</v>
      </c>
      <c r="J1718" s="32" t="str">
        <f>UPPER(TEXT(F1718,"mmm")) &amp; " - " &amp; UPPER(TEXT(G1718,"mmm"))</f>
        <v>JUL - AUG</v>
      </c>
      <c r="K1718" s="32" t="s">
        <v>3137</v>
      </c>
      <c r="L1718" s="99" t="s">
        <v>3895</v>
      </c>
      <c r="M1718" s="32" t="str">
        <f t="shared" si="65"/>
        <v>No</v>
      </c>
      <c r="N1718" s="32">
        <f>G1718 - F1718</f>
        <v>35</v>
      </c>
      <c r="O1718">
        <v>1</v>
      </c>
    </row>
    <row r="1719" spans="1:15" x14ac:dyDescent="0.3">
      <c r="A1719" s="62" t="s">
        <v>2847</v>
      </c>
      <c r="B1719" s="77" t="s">
        <v>78</v>
      </c>
      <c r="C1719" s="77" t="s">
        <v>12</v>
      </c>
      <c r="D1719" s="62" t="s">
        <v>1136</v>
      </c>
      <c r="E1719" s="62" t="s">
        <v>3312</v>
      </c>
      <c r="F1719" s="78">
        <v>45108</v>
      </c>
      <c r="G1719" s="78">
        <v>45139</v>
      </c>
      <c r="H1719" s="79" t="str">
        <f t="shared" si="66"/>
        <v>EVEN</v>
      </c>
      <c r="I1719" s="108">
        <v>0</v>
      </c>
      <c r="J1719" s="32" t="str">
        <f>UPPER(TEXT(F1719,"mmm")) &amp; " - " &amp; UPPER(TEXT(G1719,"mmm"))</f>
        <v>JUL - AUG</v>
      </c>
      <c r="K1719" s="32" t="s">
        <v>3137</v>
      </c>
      <c r="L1719" s="99" t="s">
        <v>3895</v>
      </c>
      <c r="M1719" s="32" t="str">
        <f t="shared" si="65"/>
        <v>No</v>
      </c>
      <c r="N1719" s="32">
        <f>G1719 - F1719</f>
        <v>31</v>
      </c>
      <c r="O1719">
        <v>1</v>
      </c>
    </row>
    <row r="1720" spans="1:15" x14ac:dyDescent="0.3">
      <c r="A1720" s="62" t="s">
        <v>3313</v>
      </c>
      <c r="B1720" s="77" t="s">
        <v>78</v>
      </c>
      <c r="C1720" s="77" t="s">
        <v>12</v>
      </c>
      <c r="D1720" s="62" t="s">
        <v>3314</v>
      </c>
      <c r="E1720" s="62" t="s">
        <v>3315</v>
      </c>
      <c r="F1720" s="78">
        <v>45273</v>
      </c>
      <c r="G1720" s="78">
        <v>45297</v>
      </c>
      <c r="H1720" s="79" t="str">
        <f t="shared" si="66"/>
        <v>ODD</v>
      </c>
      <c r="I1720" s="108">
        <v>0</v>
      </c>
      <c r="J1720" s="32" t="str">
        <f>UPPER(TEXT(F1720,"mmm")) &amp; " - " &amp; UPPER(TEXT(G1720,"mmm"))</f>
        <v>DEC - JAN</v>
      </c>
      <c r="K1720" s="32" t="s">
        <v>3137</v>
      </c>
      <c r="L1720" s="99" t="s">
        <v>3895</v>
      </c>
      <c r="M1720" s="32" t="str">
        <f t="shared" si="65"/>
        <v>No</v>
      </c>
      <c r="N1720" s="32">
        <f>G1720 - F1720</f>
        <v>24</v>
      </c>
      <c r="O1720">
        <v>1</v>
      </c>
    </row>
    <row r="1721" spans="1:15" x14ac:dyDescent="0.3">
      <c r="A1721" s="62" t="s">
        <v>2894</v>
      </c>
      <c r="B1721" s="77" t="s">
        <v>78</v>
      </c>
      <c r="C1721" s="77" t="s">
        <v>12</v>
      </c>
      <c r="D1721" s="62" t="s">
        <v>3316</v>
      </c>
      <c r="E1721" s="62" t="s">
        <v>3317</v>
      </c>
      <c r="F1721" s="78">
        <v>45171</v>
      </c>
      <c r="G1721" s="78">
        <v>45255</v>
      </c>
      <c r="H1721" s="79" t="str">
        <f t="shared" si="66"/>
        <v>ODD</v>
      </c>
      <c r="I1721" s="108">
        <v>5000</v>
      </c>
      <c r="J1721" s="32" t="str">
        <f>UPPER(TEXT(F1721,"mmm")) &amp; " - " &amp; UPPER(TEXT(G1721,"mmm"))</f>
        <v>SEP - NOV</v>
      </c>
      <c r="K1721" s="32" t="s">
        <v>3137</v>
      </c>
      <c r="L1721" s="99" t="s">
        <v>3895</v>
      </c>
      <c r="M1721" s="32" t="str">
        <f t="shared" si="65"/>
        <v>Yes</v>
      </c>
      <c r="N1721" s="32">
        <f>G1721 - F1721</f>
        <v>84</v>
      </c>
      <c r="O1721">
        <v>1</v>
      </c>
    </row>
    <row r="1722" spans="1:15" x14ac:dyDescent="0.3">
      <c r="A1722" s="62" t="s">
        <v>3318</v>
      </c>
      <c r="B1722" s="77" t="s">
        <v>78</v>
      </c>
      <c r="C1722" s="77" t="s">
        <v>12</v>
      </c>
      <c r="D1722" s="62" t="s">
        <v>2896</v>
      </c>
      <c r="E1722" s="62" t="s">
        <v>3319</v>
      </c>
      <c r="F1722" s="78">
        <v>45217</v>
      </c>
      <c r="G1722" s="78">
        <v>45312</v>
      </c>
      <c r="H1722" s="79" t="str">
        <f t="shared" si="66"/>
        <v>ODD</v>
      </c>
      <c r="I1722" s="108">
        <v>0</v>
      </c>
      <c r="J1722" s="32" t="str">
        <f>UPPER(TEXT(F1722,"mmm")) &amp; " - " &amp; UPPER(TEXT(G1722,"mmm"))</f>
        <v>OCT - JAN</v>
      </c>
      <c r="K1722" s="32" t="s">
        <v>3137</v>
      </c>
      <c r="L1722" s="99" t="s">
        <v>3895</v>
      </c>
      <c r="M1722" s="32" t="str">
        <f t="shared" si="65"/>
        <v>No</v>
      </c>
      <c r="N1722" s="32">
        <f>G1722 - F1722</f>
        <v>95</v>
      </c>
      <c r="O1722">
        <v>1</v>
      </c>
    </row>
    <row r="1723" spans="1:15" x14ac:dyDescent="0.3">
      <c r="A1723" s="62" t="s">
        <v>3320</v>
      </c>
      <c r="B1723" s="77" t="s">
        <v>78</v>
      </c>
      <c r="C1723" s="77" t="s">
        <v>12</v>
      </c>
      <c r="D1723" s="62" t="s">
        <v>2604</v>
      </c>
      <c r="E1723" s="62" t="s">
        <v>3321</v>
      </c>
      <c r="F1723" s="78">
        <v>45356</v>
      </c>
      <c r="G1723" s="78">
        <v>45387</v>
      </c>
      <c r="H1723" s="79" t="str">
        <f t="shared" si="66"/>
        <v>EVEN</v>
      </c>
      <c r="I1723" s="108">
        <v>0</v>
      </c>
      <c r="J1723" s="32" t="str">
        <f>UPPER(TEXT(F1723,"mmm")) &amp; " - " &amp; UPPER(TEXT(G1723,"mmm"))</f>
        <v>MAR - APR</v>
      </c>
      <c r="K1723" s="32" t="s">
        <v>3137</v>
      </c>
      <c r="L1723" s="99" t="s">
        <v>3895</v>
      </c>
      <c r="M1723" s="32" t="str">
        <f t="shared" si="65"/>
        <v>No</v>
      </c>
      <c r="N1723" s="32">
        <f>G1723 - F1723</f>
        <v>31</v>
      </c>
      <c r="O1723">
        <v>1</v>
      </c>
    </row>
    <row r="1724" spans="1:15" x14ac:dyDescent="0.3">
      <c r="A1724" s="62" t="s">
        <v>2293</v>
      </c>
      <c r="B1724" s="77" t="s">
        <v>78</v>
      </c>
      <c r="C1724" s="77" t="s">
        <v>12</v>
      </c>
      <c r="D1724" s="62" t="s">
        <v>3322</v>
      </c>
      <c r="E1724" s="62" t="s">
        <v>393</v>
      </c>
      <c r="F1724" s="78">
        <v>45273</v>
      </c>
      <c r="G1724" s="78">
        <v>45335</v>
      </c>
      <c r="H1724" s="79" t="str">
        <f t="shared" si="66"/>
        <v>ODD</v>
      </c>
      <c r="I1724" s="108">
        <v>0</v>
      </c>
      <c r="J1724" s="32" t="str">
        <f>UPPER(TEXT(F1724,"mmm")) &amp; " - " &amp; UPPER(TEXT(G1724,"mmm"))</f>
        <v>DEC - FEB</v>
      </c>
      <c r="K1724" s="32" t="s">
        <v>3137</v>
      </c>
      <c r="L1724" s="99" t="s">
        <v>3895</v>
      </c>
      <c r="M1724" s="32" t="str">
        <f t="shared" si="65"/>
        <v>No</v>
      </c>
      <c r="N1724" s="32">
        <f>G1724 - F1724</f>
        <v>62</v>
      </c>
      <c r="O1724">
        <v>1</v>
      </c>
    </row>
    <row r="1725" spans="1:15" x14ac:dyDescent="0.3">
      <c r="A1725" s="62" t="s">
        <v>2621</v>
      </c>
      <c r="B1725" s="77" t="s">
        <v>78</v>
      </c>
      <c r="C1725" s="77" t="s">
        <v>12</v>
      </c>
      <c r="D1725" s="62" t="s">
        <v>3323</v>
      </c>
      <c r="E1725" s="62" t="s">
        <v>3324</v>
      </c>
      <c r="F1725" s="78">
        <v>45296</v>
      </c>
      <c r="G1725" s="78">
        <v>45392</v>
      </c>
      <c r="H1725" s="79" t="str">
        <f t="shared" si="66"/>
        <v>EVEN</v>
      </c>
      <c r="I1725" s="108">
        <v>0</v>
      </c>
      <c r="J1725" s="32" t="str">
        <f>UPPER(TEXT(F1725,"mmm")) &amp; " - " &amp; UPPER(TEXT(G1725,"mmm"))</f>
        <v>JAN - APR</v>
      </c>
      <c r="K1725" s="32" t="s">
        <v>3137</v>
      </c>
      <c r="L1725" s="99" t="s">
        <v>3895</v>
      </c>
      <c r="M1725" s="32" t="str">
        <f t="shared" si="65"/>
        <v>No</v>
      </c>
      <c r="N1725" s="32">
        <f>G1725 - F1725</f>
        <v>96</v>
      </c>
      <c r="O1725">
        <v>1</v>
      </c>
    </row>
    <row r="1726" spans="1:15" x14ac:dyDescent="0.3">
      <c r="A1726" s="62" t="s">
        <v>2293</v>
      </c>
      <c r="B1726" s="77" t="s">
        <v>78</v>
      </c>
      <c r="C1726" s="77" t="s">
        <v>12</v>
      </c>
      <c r="D1726" s="62" t="s">
        <v>3325</v>
      </c>
      <c r="E1726" s="62" t="s">
        <v>3326</v>
      </c>
      <c r="F1726" s="78">
        <v>45432</v>
      </c>
      <c r="G1726" s="78">
        <v>45488</v>
      </c>
      <c r="H1726" s="79" t="str">
        <f t="shared" si="66"/>
        <v>EVEN</v>
      </c>
      <c r="I1726" s="108">
        <v>0</v>
      </c>
      <c r="J1726" s="32" t="str">
        <f>UPPER(TEXT(F1726,"mmm")) &amp; " - " &amp; UPPER(TEXT(G1726,"mmm"))</f>
        <v>MAY - JUL</v>
      </c>
      <c r="K1726" s="32" t="s">
        <v>3137</v>
      </c>
      <c r="L1726" s="99" t="s">
        <v>3895</v>
      </c>
      <c r="M1726" s="32" t="str">
        <f t="shared" si="65"/>
        <v>No</v>
      </c>
      <c r="N1726" s="32">
        <f>G1726 - F1726</f>
        <v>56</v>
      </c>
      <c r="O1726">
        <v>1</v>
      </c>
    </row>
    <row r="1727" spans="1:15" x14ac:dyDescent="0.3">
      <c r="A1727" s="62" t="s">
        <v>2386</v>
      </c>
      <c r="B1727" s="77" t="s">
        <v>78</v>
      </c>
      <c r="C1727" s="77" t="s">
        <v>12</v>
      </c>
      <c r="D1727" s="62" t="s">
        <v>3327</v>
      </c>
      <c r="E1727" s="62" t="s">
        <v>998</v>
      </c>
      <c r="F1727" s="78">
        <v>45429</v>
      </c>
      <c r="G1727" s="78">
        <v>45459</v>
      </c>
      <c r="H1727" s="79" t="str">
        <f t="shared" si="66"/>
        <v>EVEN</v>
      </c>
      <c r="I1727" s="108">
        <v>2500</v>
      </c>
      <c r="J1727" s="32" t="str">
        <f>UPPER(TEXT(F1727,"mmm")) &amp; " - " &amp; UPPER(TEXT(G1727,"mmm"))</f>
        <v>MAY - JUN</v>
      </c>
      <c r="K1727" s="32" t="s">
        <v>3137</v>
      </c>
      <c r="L1727" s="99" t="s">
        <v>3895</v>
      </c>
      <c r="M1727" s="32" t="str">
        <f t="shared" si="65"/>
        <v>Yes</v>
      </c>
      <c r="N1727" s="32">
        <f>G1727 - F1727</f>
        <v>30</v>
      </c>
      <c r="O1727">
        <v>1</v>
      </c>
    </row>
    <row r="1728" spans="1:15" x14ac:dyDescent="0.3">
      <c r="A1728" s="62" t="s">
        <v>3328</v>
      </c>
      <c r="B1728" s="77" t="s">
        <v>78</v>
      </c>
      <c r="C1728" s="77" t="s">
        <v>12</v>
      </c>
      <c r="D1728" s="62" t="s">
        <v>3329</v>
      </c>
      <c r="E1728" s="62" t="s">
        <v>3330</v>
      </c>
      <c r="F1728" s="78">
        <v>45428</v>
      </c>
      <c r="G1728" s="78">
        <v>45477</v>
      </c>
      <c r="H1728" s="79" t="str">
        <f t="shared" si="66"/>
        <v>EVEN</v>
      </c>
      <c r="I1728" s="108">
        <v>0</v>
      </c>
      <c r="J1728" s="32" t="str">
        <f>UPPER(TEXT(F1728,"mmm")) &amp; " - " &amp; UPPER(TEXT(G1728,"mmm"))</f>
        <v>MAY - JUL</v>
      </c>
      <c r="K1728" s="32" t="s">
        <v>3137</v>
      </c>
      <c r="L1728" s="99" t="s">
        <v>3895</v>
      </c>
      <c r="M1728" s="32" t="str">
        <f t="shared" si="65"/>
        <v>No</v>
      </c>
      <c r="N1728" s="32">
        <f>G1728 - F1728</f>
        <v>49</v>
      </c>
      <c r="O1728">
        <v>1</v>
      </c>
    </row>
    <row r="1729" spans="1:15" x14ac:dyDescent="0.3">
      <c r="A1729" s="62" t="s">
        <v>2699</v>
      </c>
      <c r="B1729" s="77" t="s">
        <v>78</v>
      </c>
      <c r="C1729" s="77" t="s">
        <v>12</v>
      </c>
      <c r="D1729" s="62" t="s">
        <v>3331</v>
      </c>
      <c r="E1729" s="62" t="s">
        <v>3332</v>
      </c>
      <c r="F1729" s="78">
        <v>45433</v>
      </c>
      <c r="G1729" s="78">
        <v>45488</v>
      </c>
      <c r="H1729" s="79" t="str">
        <f t="shared" si="66"/>
        <v>EVEN</v>
      </c>
      <c r="I1729" s="108">
        <v>0</v>
      </c>
      <c r="J1729" s="32" t="str">
        <f>UPPER(TEXT(F1729,"mmm")) &amp; " - " &amp; UPPER(TEXT(G1729,"mmm"))</f>
        <v>MAY - JUL</v>
      </c>
      <c r="K1729" s="32" t="s">
        <v>3137</v>
      </c>
      <c r="L1729" s="99" t="s">
        <v>3895</v>
      </c>
      <c r="M1729" s="32" t="str">
        <f t="shared" ref="M1729:M1792" si="67">IF(I1729 &gt; 0, "Yes", "No")</f>
        <v>No</v>
      </c>
      <c r="N1729" s="32">
        <f>G1729 - F1729</f>
        <v>55</v>
      </c>
      <c r="O1729">
        <v>1</v>
      </c>
    </row>
    <row r="1730" spans="1:15" x14ac:dyDescent="0.3">
      <c r="A1730" s="62" t="s">
        <v>2702</v>
      </c>
      <c r="B1730" s="77" t="s">
        <v>78</v>
      </c>
      <c r="C1730" s="77" t="s">
        <v>12</v>
      </c>
      <c r="D1730" s="62" t="s">
        <v>3331</v>
      </c>
      <c r="E1730" s="62" t="s">
        <v>3333</v>
      </c>
      <c r="F1730" s="78">
        <v>45343</v>
      </c>
      <c r="G1730" s="78">
        <v>45488</v>
      </c>
      <c r="H1730" s="79" t="str">
        <f t="shared" si="66"/>
        <v>EVEN</v>
      </c>
      <c r="I1730" s="108">
        <v>0</v>
      </c>
      <c r="J1730" s="32" t="str">
        <f>UPPER(TEXT(F1730,"mmm")) &amp; " - " &amp; UPPER(TEXT(G1730,"mmm"))</f>
        <v>FEB - JUL</v>
      </c>
      <c r="K1730" s="32" t="s">
        <v>3137</v>
      </c>
      <c r="L1730" s="99" t="s">
        <v>3895</v>
      </c>
      <c r="M1730" s="32" t="str">
        <f t="shared" si="67"/>
        <v>No</v>
      </c>
      <c r="N1730" s="32">
        <f>G1730 - F1730</f>
        <v>145</v>
      </c>
      <c r="O1730">
        <v>1</v>
      </c>
    </row>
    <row r="1731" spans="1:15" x14ac:dyDescent="0.3">
      <c r="A1731" s="62" t="s">
        <v>3334</v>
      </c>
      <c r="B1731" s="77" t="s">
        <v>78</v>
      </c>
      <c r="C1731" s="77" t="s">
        <v>12</v>
      </c>
      <c r="D1731" s="62" t="s">
        <v>3335</v>
      </c>
      <c r="E1731" s="62" t="s">
        <v>3336</v>
      </c>
      <c r="F1731" s="78">
        <v>45117</v>
      </c>
      <c r="G1731" s="78">
        <v>45473</v>
      </c>
      <c r="H1731" s="79" t="str">
        <f t="shared" si="66"/>
        <v>EVEN</v>
      </c>
      <c r="I1731" s="108">
        <v>0</v>
      </c>
      <c r="J1731" s="32" t="str">
        <f>UPPER(TEXT(F1731,"mmm")) &amp; " - " &amp; UPPER(TEXT(G1731,"mmm"))</f>
        <v>JUL - JUN</v>
      </c>
      <c r="K1731" s="32" t="s">
        <v>3137</v>
      </c>
      <c r="L1731" s="99" t="s">
        <v>3895</v>
      </c>
      <c r="M1731" s="32" t="str">
        <f t="shared" si="67"/>
        <v>No</v>
      </c>
      <c r="N1731" s="32">
        <f>G1731 - F1731</f>
        <v>356</v>
      </c>
      <c r="O1731">
        <v>1</v>
      </c>
    </row>
    <row r="1732" spans="1:15" x14ac:dyDescent="0.3">
      <c r="A1732" s="62" t="s">
        <v>3337</v>
      </c>
      <c r="B1732" s="77" t="s">
        <v>78</v>
      </c>
      <c r="C1732" s="77" t="s">
        <v>12</v>
      </c>
      <c r="D1732" s="62" t="s">
        <v>3338</v>
      </c>
      <c r="E1732" s="62" t="s">
        <v>3339</v>
      </c>
      <c r="F1732" s="78">
        <v>45449</v>
      </c>
      <c r="G1732" s="78">
        <v>45478</v>
      </c>
      <c r="H1732" s="79" t="str">
        <f t="shared" si="66"/>
        <v>EVEN</v>
      </c>
      <c r="I1732" s="108">
        <v>0</v>
      </c>
      <c r="J1732" s="32" t="str">
        <f>UPPER(TEXT(F1732,"mmm")) &amp; " - " &amp; UPPER(TEXT(G1732,"mmm"))</f>
        <v>JUN - JUL</v>
      </c>
      <c r="K1732" s="32" t="s">
        <v>3137</v>
      </c>
      <c r="L1732" s="99" t="s">
        <v>3895</v>
      </c>
      <c r="M1732" s="32" t="str">
        <f t="shared" si="67"/>
        <v>No</v>
      </c>
      <c r="N1732" s="32">
        <f>G1732 - F1732</f>
        <v>29</v>
      </c>
      <c r="O1732">
        <v>1</v>
      </c>
    </row>
    <row r="1733" spans="1:15" x14ac:dyDescent="0.3">
      <c r="A1733" s="62" t="s">
        <v>3340</v>
      </c>
      <c r="B1733" s="77" t="s">
        <v>78</v>
      </c>
      <c r="C1733" s="77" t="s">
        <v>12</v>
      </c>
      <c r="D1733" s="62" t="s">
        <v>3341</v>
      </c>
      <c r="E1733" s="62" t="s">
        <v>1271</v>
      </c>
      <c r="F1733" s="78">
        <v>45453</v>
      </c>
      <c r="G1733" s="78">
        <v>45485</v>
      </c>
      <c r="H1733" s="79" t="str">
        <f t="shared" si="66"/>
        <v>EVEN</v>
      </c>
      <c r="I1733" s="108">
        <v>0</v>
      </c>
      <c r="J1733" s="32" t="str">
        <f>UPPER(TEXT(F1733,"mmm")) &amp; " - " &amp; UPPER(TEXT(G1733,"mmm"))</f>
        <v>JUN - JUL</v>
      </c>
      <c r="K1733" s="32" t="s">
        <v>3137</v>
      </c>
      <c r="L1733" s="99" t="s">
        <v>3895</v>
      </c>
      <c r="M1733" s="32" t="str">
        <f t="shared" si="67"/>
        <v>No</v>
      </c>
      <c r="N1733" s="32">
        <f>G1733 - F1733</f>
        <v>32</v>
      </c>
      <c r="O1733">
        <v>1</v>
      </c>
    </row>
    <row r="1734" spans="1:15" x14ac:dyDescent="0.3">
      <c r="A1734" s="62" t="s">
        <v>2550</v>
      </c>
      <c r="B1734" s="77" t="s">
        <v>78</v>
      </c>
      <c r="C1734" s="77" t="s">
        <v>12</v>
      </c>
      <c r="D1734" s="62" t="s">
        <v>3342</v>
      </c>
      <c r="E1734" s="62" t="s">
        <v>3343</v>
      </c>
      <c r="F1734" s="78">
        <v>45171</v>
      </c>
      <c r="G1734" s="78">
        <v>45255</v>
      </c>
      <c r="H1734" s="79" t="str">
        <f t="shared" si="66"/>
        <v>ODD</v>
      </c>
      <c r="I1734" s="108">
        <v>27500</v>
      </c>
      <c r="J1734" s="32" t="str">
        <f>UPPER(TEXT(F1734,"mmm")) &amp; " - " &amp; UPPER(TEXT(G1734,"mmm"))</f>
        <v>SEP - NOV</v>
      </c>
      <c r="K1734" s="32" t="s">
        <v>3137</v>
      </c>
      <c r="L1734" s="99" t="s">
        <v>3895</v>
      </c>
      <c r="M1734" s="32" t="str">
        <f t="shared" si="67"/>
        <v>Yes</v>
      </c>
      <c r="N1734" s="32">
        <f>G1734 - F1734</f>
        <v>84</v>
      </c>
      <c r="O1734">
        <v>1</v>
      </c>
    </row>
    <row r="1735" spans="1:15" x14ac:dyDescent="0.3">
      <c r="A1735" s="62" t="s">
        <v>2550</v>
      </c>
      <c r="B1735" s="77" t="s">
        <v>78</v>
      </c>
      <c r="C1735" s="77" t="s">
        <v>12</v>
      </c>
      <c r="D1735" s="62" t="s">
        <v>3342</v>
      </c>
      <c r="E1735" s="62" t="s">
        <v>3344</v>
      </c>
      <c r="F1735" s="78">
        <v>45319</v>
      </c>
      <c r="G1735" s="78">
        <v>45380</v>
      </c>
      <c r="H1735" s="79" t="str">
        <f t="shared" si="66"/>
        <v>EVEN</v>
      </c>
      <c r="I1735" s="108">
        <v>15000</v>
      </c>
      <c r="J1735" s="32" t="str">
        <f>UPPER(TEXT(F1735,"mmm")) &amp; " - " &amp; UPPER(TEXT(G1735,"mmm"))</f>
        <v>JAN - MAR</v>
      </c>
      <c r="K1735" s="32" t="s">
        <v>3137</v>
      </c>
      <c r="L1735" s="99" t="s">
        <v>3895</v>
      </c>
      <c r="M1735" s="32" t="str">
        <f t="shared" si="67"/>
        <v>Yes</v>
      </c>
      <c r="N1735" s="32">
        <f>G1735 - F1735</f>
        <v>61</v>
      </c>
      <c r="O1735">
        <v>1</v>
      </c>
    </row>
    <row r="1736" spans="1:15" x14ac:dyDescent="0.3">
      <c r="A1736" s="62" t="s">
        <v>3345</v>
      </c>
      <c r="B1736" s="77" t="s">
        <v>78</v>
      </c>
      <c r="C1736" s="77" t="s">
        <v>12</v>
      </c>
      <c r="D1736" s="62" t="s">
        <v>3346</v>
      </c>
      <c r="E1736" s="62" t="s">
        <v>3347</v>
      </c>
      <c r="F1736" s="78">
        <v>45432</v>
      </c>
      <c r="G1736" s="78">
        <v>45492</v>
      </c>
      <c r="H1736" s="79" t="str">
        <f t="shared" si="66"/>
        <v>EVEN</v>
      </c>
      <c r="I1736" s="108">
        <v>0</v>
      </c>
      <c r="J1736" s="32" t="str">
        <f>UPPER(TEXT(F1736,"mmm")) &amp; " - " &amp; UPPER(TEXT(G1736,"mmm"))</f>
        <v>MAY - JUL</v>
      </c>
      <c r="K1736" s="32" t="s">
        <v>3137</v>
      </c>
      <c r="L1736" s="99" t="s">
        <v>3895</v>
      </c>
      <c r="M1736" s="32" t="str">
        <f t="shared" si="67"/>
        <v>No</v>
      </c>
      <c r="N1736" s="32">
        <f>G1736 - F1736</f>
        <v>60</v>
      </c>
      <c r="O1736">
        <v>1</v>
      </c>
    </row>
    <row r="1737" spans="1:15" x14ac:dyDescent="0.3">
      <c r="A1737" s="62" t="s">
        <v>3146</v>
      </c>
      <c r="B1737" s="77" t="s">
        <v>78</v>
      </c>
      <c r="C1737" s="77" t="s">
        <v>12</v>
      </c>
      <c r="D1737" s="62" t="s">
        <v>3348</v>
      </c>
      <c r="E1737" s="62" t="s">
        <v>3349</v>
      </c>
      <c r="F1737" s="78">
        <v>45383</v>
      </c>
      <c r="G1737" s="78">
        <v>45443</v>
      </c>
      <c r="H1737" s="79" t="str">
        <f t="shared" si="66"/>
        <v>EVEN</v>
      </c>
      <c r="I1737" s="108">
        <v>0</v>
      </c>
      <c r="J1737" s="32" t="str">
        <f>UPPER(TEXT(F1737,"mmm")) &amp; " - " &amp; UPPER(TEXT(G1737,"mmm"))</f>
        <v>APR - MAY</v>
      </c>
      <c r="K1737" s="32" t="s">
        <v>3137</v>
      </c>
      <c r="L1737" s="99" t="s">
        <v>3895</v>
      </c>
      <c r="M1737" s="32" t="str">
        <f t="shared" si="67"/>
        <v>No</v>
      </c>
      <c r="N1737" s="32">
        <f>G1737 - F1737</f>
        <v>60</v>
      </c>
      <c r="O1737">
        <v>1</v>
      </c>
    </row>
    <row r="1738" spans="1:15" x14ac:dyDescent="0.3">
      <c r="A1738" s="62" t="s">
        <v>2455</v>
      </c>
      <c r="B1738" s="77" t="s">
        <v>78</v>
      </c>
      <c r="C1738" s="77" t="s">
        <v>12</v>
      </c>
      <c r="D1738" s="62" t="s">
        <v>3350</v>
      </c>
      <c r="E1738" s="62" t="s">
        <v>3351</v>
      </c>
      <c r="F1738" s="78">
        <v>45444</v>
      </c>
      <c r="G1738" s="78">
        <v>45504</v>
      </c>
      <c r="H1738" s="79" t="str">
        <f t="shared" si="66"/>
        <v>EVEN</v>
      </c>
      <c r="I1738" s="108">
        <v>5000</v>
      </c>
      <c r="J1738" s="32" t="str">
        <f>UPPER(TEXT(F1738,"mmm")) &amp; " - " &amp; UPPER(TEXT(G1738,"mmm"))</f>
        <v>JUN - JUL</v>
      </c>
      <c r="K1738" s="32" t="s">
        <v>3137</v>
      </c>
      <c r="L1738" s="99" t="s">
        <v>3895</v>
      </c>
      <c r="M1738" s="32" t="str">
        <f t="shared" si="67"/>
        <v>Yes</v>
      </c>
      <c r="N1738" s="32">
        <f>G1738 - F1738</f>
        <v>60</v>
      </c>
      <c r="O1738">
        <v>1</v>
      </c>
    </row>
    <row r="1739" spans="1:15" x14ac:dyDescent="0.3">
      <c r="A1739" s="62" t="s">
        <v>3352</v>
      </c>
      <c r="B1739" s="77" t="s">
        <v>78</v>
      </c>
      <c r="C1739" s="77" t="s">
        <v>12</v>
      </c>
      <c r="D1739" s="62" t="s">
        <v>3353</v>
      </c>
      <c r="E1739" s="62" t="s">
        <v>3354</v>
      </c>
      <c r="F1739" s="78">
        <v>45446</v>
      </c>
      <c r="G1739" s="78">
        <v>45476</v>
      </c>
      <c r="H1739" s="79" t="str">
        <f t="shared" si="66"/>
        <v>EVEN</v>
      </c>
      <c r="I1739" s="108">
        <v>0</v>
      </c>
      <c r="J1739" s="32" t="str">
        <f>UPPER(TEXT(F1739,"mmm")) &amp; " - " &amp; UPPER(TEXT(G1739,"mmm"))</f>
        <v>JUN - JUL</v>
      </c>
      <c r="K1739" s="32" t="s">
        <v>3137</v>
      </c>
      <c r="L1739" s="99" t="s">
        <v>3895</v>
      </c>
      <c r="M1739" s="32" t="str">
        <f t="shared" si="67"/>
        <v>No</v>
      </c>
      <c r="N1739" s="32">
        <f>G1739 - F1739</f>
        <v>30</v>
      </c>
      <c r="O1739">
        <v>1</v>
      </c>
    </row>
    <row r="1740" spans="1:15" x14ac:dyDescent="0.3">
      <c r="A1740" s="62" t="s">
        <v>3355</v>
      </c>
      <c r="B1740" s="77" t="s">
        <v>78</v>
      </c>
      <c r="C1740" s="77" t="s">
        <v>12</v>
      </c>
      <c r="D1740" s="62" t="s">
        <v>3356</v>
      </c>
      <c r="E1740" s="62" t="s">
        <v>3357</v>
      </c>
      <c r="F1740" s="78">
        <v>45446</v>
      </c>
      <c r="G1740" s="78">
        <v>45487</v>
      </c>
      <c r="H1740" s="79" t="str">
        <f t="shared" si="66"/>
        <v>EVEN</v>
      </c>
      <c r="I1740" s="108">
        <v>15000</v>
      </c>
      <c r="J1740" s="32" t="str">
        <f>UPPER(TEXT(F1740,"mmm")) &amp; " - " &amp; UPPER(TEXT(G1740,"mmm"))</f>
        <v>JUN - JUL</v>
      </c>
      <c r="K1740" s="32" t="s">
        <v>3137</v>
      </c>
      <c r="L1740" s="99" t="s">
        <v>3895</v>
      </c>
      <c r="M1740" s="32" t="str">
        <f t="shared" si="67"/>
        <v>Yes</v>
      </c>
      <c r="N1740" s="32">
        <f>G1740 - F1740</f>
        <v>41</v>
      </c>
      <c r="O1740">
        <v>1</v>
      </c>
    </row>
    <row r="1741" spans="1:15" x14ac:dyDescent="0.3">
      <c r="A1741" s="62" t="s">
        <v>2713</v>
      </c>
      <c r="B1741" s="77" t="s">
        <v>78</v>
      </c>
      <c r="C1741" s="77" t="s">
        <v>12</v>
      </c>
      <c r="D1741" s="62" t="s">
        <v>3358</v>
      </c>
      <c r="E1741" s="62" t="s">
        <v>2825</v>
      </c>
      <c r="F1741" s="78">
        <v>45439</v>
      </c>
      <c r="G1741" s="78">
        <v>45499</v>
      </c>
      <c r="H1741" s="79" t="str">
        <f t="shared" si="66"/>
        <v>EVEN</v>
      </c>
      <c r="I1741" s="108">
        <v>25000</v>
      </c>
      <c r="J1741" s="32" t="str">
        <f>UPPER(TEXT(F1741,"mmm")) &amp; " - " &amp; UPPER(TEXT(G1741,"mmm"))</f>
        <v>MAY - JUL</v>
      </c>
      <c r="K1741" s="32" t="s">
        <v>3137</v>
      </c>
      <c r="L1741" s="99" t="s">
        <v>3895</v>
      </c>
      <c r="M1741" s="32" t="str">
        <f t="shared" si="67"/>
        <v>Yes</v>
      </c>
      <c r="N1741" s="32">
        <f>G1741 - F1741</f>
        <v>60</v>
      </c>
      <c r="O1741">
        <v>1</v>
      </c>
    </row>
    <row r="1742" spans="1:15" x14ac:dyDescent="0.3">
      <c r="A1742" s="62" t="s">
        <v>3359</v>
      </c>
      <c r="B1742" s="77" t="s">
        <v>78</v>
      </c>
      <c r="C1742" s="77" t="s">
        <v>12</v>
      </c>
      <c r="D1742" s="62" t="s">
        <v>3360</v>
      </c>
      <c r="E1742" s="62" t="s">
        <v>3361</v>
      </c>
      <c r="F1742" s="78">
        <v>45455</v>
      </c>
      <c r="G1742" s="78">
        <v>45486</v>
      </c>
      <c r="H1742" s="79" t="str">
        <f t="shared" si="66"/>
        <v>EVEN</v>
      </c>
      <c r="I1742" s="108">
        <v>0</v>
      </c>
      <c r="J1742" s="32" t="str">
        <f>UPPER(TEXT(F1742,"mmm")) &amp; " - " &amp; UPPER(TEXT(G1742,"mmm"))</f>
        <v>JUN - JUL</v>
      </c>
      <c r="K1742" s="32" t="s">
        <v>3137</v>
      </c>
      <c r="L1742" s="99" t="s">
        <v>3895</v>
      </c>
      <c r="M1742" s="32" t="str">
        <f t="shared" si="67"/>
        <v>No</v>
      </c>
      <c r="N1742" s="32">
        <f>G1742 - F1742</f>
        <v>31</v>
      </c>
      <c r="O1742">
        <v>1</v>
      </c>
    </row>
    <row r="1743" spans="1:15" x14ac:dyDescent="0.3">
      <c r="A1743" s="62" t="s">
        <v>3362</v>
      </c>
      <c r="B1743" s="77" t="s">
        <v>78</v>
      </c>
      <c r="C1743" s="77" t="s">
        <v>12</v>
      </c>
      <c r="D1743" s="62" t="s">
        <v>3363</v>
      </c>
      <c r="E1743" s="62" t="s">
        <v>3364</v>
      </c>
      <c r="F1743" s="78">
        <v>45449</v>
      </c>
      <c r="G1743" s="78">
        <v>45506</v>
      </c>
      <c r="H1743" s="79" t="str">
        <f t="shared" si="66"/>
        <v>EVEN</v>
      </c>
      <c r="I1743" s="108">
        <v>20000</v>
      </c>
      <c r="J1743" s="32" t="str">
        <f>UPPER(TEXT(F1743,"mmm")) &amp; " - " &amp; UPPER(TEXT(G1743,"mmm"))</f>
        <v>JUN - AUG</v>
      </c>
      <c r="K1743" s="32" t="s">
        <v>3137</v>
      </c>
      <c r="L1743" s="99" t="s">
        <v>3895</v>
      </c>
      <c r="M1743" s="32" t="str">
        <f t="shared" si="67"/>
        <v>Yes</v>
      </c>
      <c r="N1743" s="32">
        <f>G1743 - F1743</f>
        <v>57</v>
      </c>
      <c r="O1743">
        <v>1</v>
      </c>
    </row>
    <row r="1744" spans="1:15" x14ac:dyDescent="0.3">
      <c r="A1744" s="62" t="s">
        <v>3365</v>
      </c>
      <c r="B1744" s="77" t="s">
        <v>78</v>
      </c>
      <c r="C1744" s="77" t="s">
        <v>12</v>
      </c>
      <c r="D1744" s="62" t="s">
        <v>3366</v>
      </c>
      <c r="E1744" s="62" t="s">
        <v>1374</v>
      </c>
      <c r="F1744" s="78">
        <v>45446</v>
      </c>
      <c r="G1744" s="78">
        <v>45506</v>
      </c>
      <c r="H1744" s="79" t="str">
        <f t="shared" si="66"/>
        <v>EVEN</v>
      </c>
      <c r="I1744" s="108">
        <v>5000</v>
      </c>
      <c r="J1744" s="32" t="str">
        <f>UPPER(TEXT(F1744,"mmm")) &amp; " - " &amp; UPPER(TEXT(G1744,"mmm"))</f>
        <v>JUN - AUG</v>
      </c>
      <c r="K1744" s="32" t="s">
        <v>3137</v>
      </c>
      <c r="L1744" s="99" t="s">
        <v>3895</v>
      </c>
      <c r="M1744" s="32" t="str">
        <f t="shared" si="67"/>
        <v>Yes</v>
      </c>
      <c r="N1744" s="32">
        <f>G1744 - F1744</f>
        <v>60</v>
      </c>
      <c r="O1744">
        <v>1</v>
      </c>
    </row>
    <row r="1745" spans="1:17" x14ac:dyDescent="0.3">
      <c r="A1745" s="62" t="s">
        <v>3367</v>
      </c>
      <c r="B1745" s="77" t="s">
        <v>78</v>
      </c>
      <c r="C1745" s="77" t="s">
        <v>12</v>
      </c>
      <c r="D1745" s="62" t="s">
        <v>3368</v>
      </c>
      <c r="E1745" s="62" t="s">
        <v>3369</v>
      </c>
      <c r="F1745" s="78">
        <v>45261</v>
      </c>
      <c r="G1745" s="78">
        <v>45292</v>
      </c>
      <c r="H1745" s="79" t="str">
        <f t="shared" si="66"/>
        <v>ODD</v>
      </c>
      <c r="I1745" s="108">
        <v>0</v>
      </c>
      <c r="J1745" s="32" t="str">
        <f>UPPER(TEXT(F1745,"mmm")) &amp; " - " &amp; UPPER(TEXT(G1745,"mmm"))</f>
        <v>DEC - JAN</v>
      </c>
      <c r="K1745" s="32" t="s">
        <v>3137</v>
      </c>
      <c r="L1745" s="99" t="s">
        <v>3895</v>
      </c>
      <c r="M1745" s="32" t="str">
        <f t="shared" si="67"/>
        <v>No</v>
      </c>
      <c r="N1745" s="32">
        <f>G1745 - F1745</f>
        <v>31</v>
      </c>
      <c r="O1745">
        <v>1</v>
      </c>
    </row>
    <row r="1746" spans="1:17" x14ac:dyDescent="0.3">
      <c r="A1746" s="62" t="s">
        <v>3370</v>
      </c>
      <c r="B1746" s="77" t="s">
        <v>78</v>
      </c>
      <c r="C1746" s="77" t="s">
        <v>12</v>
      </c>
      <c r="D1746" s="62" t="s">
        <v>3371</v>
      </c>
      <c r="E1746" s="62" t="s">
        <v>3372</v>
      </c>
      <c r="F1746" s="78">
        <v>45288</v>
      </c>
      <c r="G1746" s="78">
        <v>45471</v>
      </c>
      <c r="H1746" s="79" t="str">
        <f t="shared" si="66"/>
        <v>ODD</v>
      </c>
      <c r="I1746" s="108">
        <v>0</v>
      </c>
      <c r="J1746" s="32" t="str">
        <f>UPPER(TEXT(F1746,"mmm")) &amp; " - " &amp; UPPER(TEXT(G1746,"mmm"))</f>
        <v>DEC - JUN</v>
      </c>
      <c r="K1746" s="32" t="s">
        <v>3137</v>
      </c>
      <c r="L1746" s="99" t="s">
        <v>3895</v>
      </c>
      <c r="M1746" s="32" t="str">
        <f t="shared" si="67"/>
        <v>No</v>
      </c>
      <c r="N1746" s="32">
        <f>G1746 - F1746</f>
        <v>183</v>
      </c>
      <c r="O1746">
        <v>1</v>
      </c>
    </row>
    <row r="1747" spans="1:17" x14ac:dyDescent="0.3">
      <c r="A1747" s="62" t="s">
        <v>3373</v>
      </c>
      <c r="B1747" s="77" t="s">
        <v>78</v>
      </c>
      <c r="C1747" s="77" t="s">
        <v>12</v>
      </c>
      <c r="D1747" s="62" t="s">
        <v>3374</v>
      </c>
      <c r="E1747" s="62" t="s">
        <v>1438</v>
      </c>
      <c r="F1747" s="78">
        <v>45474</v>
      </c>
      <c r="G1747" s="78">
        <v>45504</v>
      </c>
      <c r="H1747" s="79" t="str">
        <f t="shared" si="66"/>
        <v>EVEN</v>
      </c>
      <c r="I1747" s="108">
        <v>0</v>
      </c>
      <c r="J1747" s="32" t="str">
        <f>UPPER(TEXT(F1747,"mmm")) &amp; " - " &amp; UPPER(TEXT(G1747,"mmm"))</f>
        <v>JUL - JUL</v>
      </c>
      <c r="K1747" s="32" t="s">
        <v>3137</v>
      </c>
      <c r="L1747" s="99" t="s">
        <v>3895</v>
      </c>
      <c r="M1747" s="32" t="str">
        <f t="shared" si="67"/>
        <v>No</v>
      </c>
      <c r="N1747" s="32">
        <f>G1747 - F1747</f>
        <v>30</v>
      </c>
      <c r="O1747">
        <v>1</v>
      </c>
    </row>
    <row r="1748" spans="1:17" x14ac:dyDescent="0.3">
      <c r="A1748" s="62" t="s">
        <v>2728</v>
      </c>
      <c r="B1748" s="77" t="s">
        <v>78</v>
      </c>
      <c r="C1748" s="77" t="s">
        <v>12</v>
      </c>
      <c r="D1748" s="62" t="s">
        <v>3375</v>
      </c>
      <c r="E1748" s="62" t="s">
        <v>3376</v>
      </c>
      <c r="F1748" s="78">
        <v>45383</v>
      </c>
      <c r="G1748" s="78">
        <v>45474</v>
      </c>
      <c r="H1748" s="79" t="str">
        <f t="shared" si="66"/>
        <v>EVEN</v>
      </c>
      <c r="I1748" s="108">
        <v>50000</v>
      </c>
      <c r="J1748" s="32" t="str">
        <f>UPPER(TEXT(F1748,"mmm")) &amp; " - " &amp; UPPER(TEXT(G1748,"mmm"))</f>
        <v>APR - JUL</v>
      </c>
      <c r="K1748" s="32" t="s">
        <v>3137</v>
      </c>
      <c r="L1748" s="99" t="s">
        <v>3895</v>
      </c>
      <c r="M1748" s="32" t="str">
        <f t="shared" si="67"/>
        <v>Yes</v>
      </c>
      <c r="N1748" s="32">
        <f>G1748 - F1748</f>
        <v>91</v>
      </c>
      <c r="O1748">
        <v>1</v>
      </c>
    </row>
    <row r="1749" spans="1:17" x14ac:dyDescent="0.3">
      <c r="A1749" s="62" t="s">
        <v>3377</v>
      </c>
      <c r="B1749" s="77" t="s">
        <v>78</v>
      </c>
      <c r="C1749" s="77" t="s">
        <v>12</v>
      </c>
      <c r="D1749" s="62" t="s">
        <v>3378</v>
      </c>
      <c r="E1749" s="62" t="s">
        <v>3379</v>
      </c>
      <c r="F1749" s="78">
        <v>45446</v>
      </c>
      <c r="G1749" s="78">
        <v>45476</v>
      </c>
      <c r="H1749" s="79" t="str">
        <f t="shared" si="66"/>
        <v>EVEN</v>
      </c>
      <c r="I1749" s="108">
        <v>0</v>
      </c>
      <c r="J1749" s="32" t="str">
        <f>UPPER(TEXT(F1749,"mmm")) &amp; " - " &amp; UPPER(TEXT(G1749,"mmm"))</f>
        <v>JUN - JUL</v>
      </c>
      <c r="K1749" s="32" t="s">
        <v>3137</v>
      </c>
      <c r="L1749" s="99" t="s">
        <v>3895</v>
      </c>
      <c r="M1749" s="32" t="str">
        <f t="shared" si="67"/>
        <v>No</v>
      </c>
      <c r="N1749" s="32">
        <f>G1749 - F1749</f>
        <v>30</v>
      </c>
      <c r="O1749">
        <v>1</v>
      </c>
    </row>
    <row r="1750" spans="1:17" x14ac:dyDescent="0.3">
      <c r="A1750" s="62" t="s">
        <v>3380</v>
      </c>
      <c r="B1750" s="77" t="s">
        <v>78</v>
      </c>
      <c r="C1750" s="77" t="s">
        <v>12</v>
      </c>
      <c r="D1750" s="62" t="s">
        <v>3381</v>
      </c>
      <c r="E1750" s="62" t="s">
        <v>3382</v>
      </c>
      <c r="F1750" s="78">
        <v>45170</v>
      </c>
      <c r="G1750" s="78">
        <v>45352</v>
      </c>
      <c r="H1750" s="79" t="str">
        <f t="shared" si="66"/>
        <v>ODD</v>
      </c>
      <c r="I1750" s="108">
        <v>10000</v>
      </c>
      <c r="J1750" s="32" t="str">
        <f>UPPER(TEXT(F1750,"mmm")) &amp; " - " &amp; UPPER(TEXT(G1750,"mmm"))</f>
        <v>SEP - MAR</v>
      </c>
      <c r="K1750" s="32" t="s">
        <v>3137</v>
      </c>
      <c r="L1750" s="99" t="s">
        <v>3895</v>
      </c>
      <c r="M1750" s="32" t="str">
        <f t="shared" si="67"/>
        <v>Yes</v>
      </c>
      <c r="N1750" s="32">
        <f>G1750 - F1750</f>
        <v>182</v>
      </c>
      <c r="O1750">
        <v>1</v>
      </c>
    </row>
    <row r="1751" spans="1:17" x14ac:dyDescent="0.3">
      <c r="A1751" s="62" t="s">
        <v>3383</v>
      </c>
      <c r="B1751" s="77" t="s">
        <v>78</v>
      </c>
      <c r="C1751" s="77" t="s">
        <v>12</v>
      </c>
      <c r="D1751" s="62" t="s">
        <v>3384</v>
      </c>
      <c r="E1751" s="62" t="s">
        <v>3385</v>
      </c>
      <c r="F1751" s="78">
        <v>45603</v>
      </c>
      <c r="G1751" s="78">
        <v>45632</v>
      </c>
      <c r="H1751" s="32" t="str">
        <f t="shared" ref="H1751" si="68">IF((AND(F1751&gt;=DATE(2019,7,15),F1751&lt;=DATE(2019,12,31))),"ODD", "EVEN")</f>
        <v>EVEN</v>
      </c>
      <c r="I1751" s="108">
        <v>0</v>
      </c>
      <c r="J1751" s="3" t="str">
        <f>UPPER(TEXT(F1751,"mmm")) &amp; " - " &amp; UPPER(TEXT(G1751,"mmm"))</f>
        <v>NOV - DEC</v>
      </c>
      <c r="K1751" s="32" t="s">
        <v>3137</v>
      </c>
      <c r="L1751" s="99" t="s">
        <v>3895</v>
      </c>
      <c r="M1751" s="32" t="str">
        <f t="shared" si="67"/>
        <v>No</v>
      </c>
      <c r="N1751" s="32">
        <f>G1751 - F1751</f>
        <v>29</v>
      </c>
      <c r="O1751">
        <v>1</v>
      </c>
      <c r="P1751" s="78"/>
      <c r="Q1751" s="78"/>
    </row>
    <row r="1752" spans="1:17" x14ac:dyDescent="0.3">
      <c r="A1752" s="62" t="s">
        <v>3386</v>
      </c>
      <c r="B1752" s="77" t="s">
        <v>78</v>
      </c>
      <c r="C1752" s="77" t="s">
        <v>12</v>
      </c>
      <c r="D1752" s="62" t="s">
        <v>3387</v>
      </c>
      <c r="E1752" s="62" t="s">
        <v>3025</v>
      </c>
      <c r="F1752" s="78">
        <v>45476</v>
      </c>
      <c r="G1752" s="78">
        <v>45518</v>
      </c>
      <c r="H1752" s="79" t="str">
        <f t="shared" si="66"/>
        <v>EVEN</v>
      </c>
      <c r="I1752" s="108">
        <v>5000</v>
      </c>
      <c r="J1752" s="32" t="str">
        <f>UPPER(TEXT(F1752,"mmm")) &amp; " - " &amp; UPPER(TEXT(G1752,"mmm"))</f>
        <v>JUL - AUG</v>
      </c>
      <c r="K1752" s="32" t="s">
        <v>3137</v>
      </c>
      <c r="L1752" s="99" t="s">
        <v>3895</v>
      </c>
      <c r="M1752" s="32" t="str">
        <f t="shared" si="67"/>
        <v>Yes</v>
      </c>
      <c r="N1752" s="32">
        <f>G1752 - F1752</f>
        <v>42</v>
      </c>
      <c r="O1752">
        <v>1</v>
      </c>
    </row>
    <row r="1753" spans="1:17" x14ac:dyDescent="0.3">
      <c r="A1753" s="62" t="s">
        <v>3388</v>
      </c>
      <c r="B1753" s="77" t="s">
        <v>78</v>
      </c>
      <c r="C1753" s="77" t="s">
        <v>12</v>
      </c>
      <c r="D1753" s="62" t="s">
        <v>3389</v>
      </c>
      <c r="E1753" s="62" t="s">
        <v>3390</v>
      </c>
      <c r="F1753" s="78">
        <v>45334</v>
      </c>
      <c r="G1753" s="78">
        <v>45394</v>
      </c>
      <c r="H1753" s="79" t="str">
        <f t="shared" si="66"/>
        <v>EVEN</v>
      </c>
      <c r="I1753" s="108">
        <v>0</v>
      </c>
      <c r="J1753" s="32" t="str">
        <f>UPPER(TEXT(F1753,"mmm")) &amp; " - " &amp; UPPER(TEXT(G1753,"mmm"))</f>
        <v>FEB - APR</v>
      </c>
      <c r="K1753" s="32" t="s">
        <v>3137</v>
      </c>
      <c r="L1753" s="99" t="s">
        <v>3895</v>
      </c>
      <c r="M1753" s="32" t="str">
        <f t="shared" si="67"/>
        <v>No</v>
      </c>
      <c r="N1753" s="32">
        <f>G1753 - F1753</f>
        <v>60</v>
      </c>
      <c r="O1753">
        <v>1</v>
      </c>
    </row>
    <row r="1754" spans="1:17" x14ac:dyDescent="0.3">
      <c r="A1754" s="62" t="s">
        <v>3391</v>
      </c>
      <c r="B1754" s="77" t="s">
        <v>78</v>
      </c>
      <c r="C1754" s="77" t="s">
        <v>12</v>
      </c>
      <c r="D1754" s="62" t="s">
        <v>3392</v>
      </c>
      <c r="E1754" s="62" t="s">
        <v>3393</v>
      </c>
      <c r="F1754" s="78">
        <v>45314</v>
      </c>
      <c r="G1754" s="78">
        <v>45344</v>
      </c>
      <c r="H1754" s="79" t="str">
        <f t="shared" si="66"/>
        <v>EVEN</v>
      </c>
      <c r="I1754" s="108">
        <v>0</v>
      </c>
      <c r="J1754" s="32" t="str">
        <f>UPPER(TEXT(F1754,"mmm")) &amp; " - " &amp; UPPER(TEXT(G1754,"mmm"))</f>
        <v>JAN - FEB</v>
      </c>
      <c r="K1754" s="32" t="s">
        <v>3137</v>
      </c>
      <c r="L1754" s="99" t="s">
        <v>3895</v>
      </c>
      <c r="M1754" s="32" t="str">
        <f t="shared" si="67"/>
        <v>No</v>
      </c>
      <c r="N1754" s="32">
        <f>G1754 - F1754</f>
        <v>30</v>
      </c>
      <c r="O1754">
        <v>1</v>
      </c>
    </row>
    <row r="1755" spans="1:17" x14ac:dyDescent="0.3">
      <c r="A1755" s="62" t="s">
        <v>3394</v>
      </c>
      <c r="B1755" s="77" t="s">
        <v>78</v>
      </c>
      <c r="C1755" s="77" t="s">
        <v>12</v>
      </c>
      <c r="D1755" s="62" t="s">
        <v>3395</v>
      </c>
      <c r="E1755" s="62" t="s">
        <v>3396</v>
      </c>
      <c r="F1755" s="78">
        <v>45366</v>
      </c>
      <c r="G1755" s="78">
        <v>45397</v>
      </c>
      <c r="H1755" s="79" t="str">
        <f t="shared" si="66"/>
        <v>EVEN</v>
      </c>
      <c r="I1755" s="108">
        <v>0</v>
      </c>
      <c r="J1755" s="32" t="str">
        <f>UPPER(TEXT(F1755,"mmm")) &amp; " - " &amp; UPPER(TEXT(G1755,"mmm"))</f>
        <v>MAR - APR</v>
      </c>
      <c r="K1755" s="32" t="s">
        <v>3137</v>
      </c>
      <c r="L1755" s="99" t="s">
        <v>3895</v>
      </c>
      <c r="M1755" s="32" t="str">
        <f t="shared" si="67"/>
        <v>No</v>
      </c>
      <c r="N1755" s="32">
        <f>G1755 - F1755</f>
        <v>31</v>
      </c>
      <c r="O1755">
        <v>1</v>
      </c>
    </row>
    <row r="1756" spans="1:17" x14ac:dyDescent="0.3">
      <c r="A1756" s="62" t="s">
        <v>2553</v>
      </c>
      <c r="B1756" s="77" t="s">
        <v>78</v>
      </c>
      <c r="C1756" s="77" t="s">
        <v>12</v>
      </c>
      <c r="D1756" s="62" t="s">
        <v>260</v>
      </c>
      <c r="E1756" s="62" t="s">
        <v>3397</v>
      </c>
      <c r="F1756" s="78">
        <v>45458</v>
      </c>
      <c r="G1756" s="78">
        <v>45534</v>
      </c>
      <c r="H1756" s="79" t="str">
        <f t="shared" si="66"/>
        <v>EVEN</v>
      </c>
      <c r="I1756" s="108">
        <v>0</v>
      </c>
      <c r="J1756" s="32" t="str">
        <f>UPPER(TEXT(F1756,"mmm")) &amp; " - " &amp; UPPER(TEXT(G1756,"mmm"))</f>
        <v>JUN - AUG</v>
      </c>
      <c r="K1756" s="32" t="s">
        <v>3137</v>
      </c>
      <c r="L1756" s="99" t="s">
        <v>3895</v>
      </c>
      <c r="M1756" s="32" t="str">
        <f t="shared" si="67"/>
        <v>No</v>
      </c>
      <c r="N1756" s="32">
        <f>G1756 - F1756</f>
        <v>76</v>
      </c>
      <c r="O1756">
        <v>1</v>
      </c>
    </row>
    <row r="1757" spans="1:17" x14ac:dyDescent="0.3">
      <c r="A1757" s="62" t="s">
        <v>2778</v>
      </c>
      <c r="B1757" s="77" t="s">
        <v>78</v>
      </c>
      <c r="C1757" s="77" t="s">
        <v>12</v>
      </c>
      <c r="D1757" s="62" t="s">
        <v>3398</v>
      </c>
      <c r="E1757" s="62" t="s">
        <v>3399</v>
      </c>
      <c r="F1757" s="78">
        <v>45442</v>
      </c>
      <c r="G1757" s="78">
        <v>45492</v>
      </c>
      <c r="H1757" s="79" t="str">
        <f t="shared" si="66"/>
        <v>EVEN</v>
      </c>
      <c r="I1757" s="108">
        <v>0</v>
      </c>
      <c r="J1757" s="32" t="str">
        <f>UPPER(TEXT(F1757,"mmm")) &amp; " - " &amp; UPPER(TEXT(G1757,"mmm"))</f>
        <v>MAY - JUL</v>
      </c>
      <c r="K1757" s="32" t="s">
        <v>3137</v>
      </c>
      <c r="L1757" s="99" t="s">
        <v>3895</v>
      </c>
      <c r="M1757" s="32" t="str">
        <f t="shared" si="67"/>
        <v>No</v>
      </c>
      <c r="N1757" s="32">
        <f>G1757 - F1757</f>
        <v>50</v>
      </c>
      <c r="O1757">
        <v>1</v>
      </c>
    </row>
    <row r="1758" spans="1:17" x14ac:dyDescent="0.3">
      <c r="A1758" s="62" t="s">
        <v>3400</v>
      </c>
      <c r="B1758" s="77" t="s">
        <v>78</v>
      </c>
      <c r="C1758" s="77" t="s">
        <v>12</v>
      </c>
      <c r="D1758" s="62" t="s">
        <v>3401</v>
      </c>
      <c r="E1758" s="62" t="s">
        <v>3402</v>
      </c>
      <c r="F1758" s="78">
        <v>45453</v>
      </c>
      <c r="G1758" s="78">
        <v>45514</v>
      </c>
      <c r="H1758" s="79" t="str">
        <f t="shared" si="66"/>
        <v>EVEN</v>
      </c>
      <c r="I1758" s="108">
        <v>100000</v>
      </c>
      <c r="J1758" s="32" t="str">
        <f>UPPER(TEXT(F1758,"mmm")) &amp; " - " &amp; UPPER(TEXT(G1758,"mmm"))</f>
        <v>JUN - AUG</v>
      </c>
      <c r="K1758" s="32" t="s">
        <v>3137</v>
      </c>
      <c r="L1758" s="99" t="s">
        <v>3895</v>
      </c>
      <c r="M1758" s="32" t="str">
        <f t="shared" si="67"/>
        <v>Yes</v>
      </c>
      <c r="N1758" s="32">
        <f>G1758 - F1758</f>
        <v>61</v>
      </c>
      <c r="O1758">
        <v>1</v>
      </c>
    </row>
    <row r="1759" spans="1:17" x14ac:dyDescent="0.3">
      <c r="A1759" s="62" t="s">
        <v>3403</v>
      </c>
      <c r="B1759" s="77" t="s">
        <v>78</v>
      </c>
      <c r="C1759" s="77" t="s">
        <v>12</v>
      </c>
      <c r="D1759" s="62" t="s">
        <v>3404</v>
      </c>
      <c r="E1759" s="62" t="s">
        <v>3405</v>
      </c>
      <c r="F1759" s="78">
        <v>45433</v>
      </c>
      <c r="G1759" s="78">
        <v>45492</v>
      </c>
      <c r="H1759" s="79" t="str">
        <f t="shared" si="66"/>
        <v>EVEN</v>
      </c>
      <c r="I1759" s="108">
        <v>0</v>
      </c>
      <c r="J1759" s="32" t="str">
        <f>UPPER(TEXT(F1759,"mmm")) &amp; " - " &amp; UPPER(TEXT(G1759,"mmm"))</f>
        <v>MAY - JUL</v>
      </c>
      <c r="K1759" s="32" t="s">
        <v>3137</v>
      </c>
      <c r="L1759" s="99" t="s">
        <v>3895</v>
      </c>
      <c r="M1759" s="32" t="str">
        <f t="shared" si="67"/>
        <v>No</v>
      </c>
      <c r="N1759" s="32">
        <f>G1759 - F1759</f>
        <v>59</v>
      </c>
      <c r="O1759">
        <v>1</v>
      </c>
    </row>
    <row r="1760" spans="1:17" x14ac:dyDescent="0.3">
      <c r="A1760" s="62" t="s">
        <v>3373</v>
      </c>
      <c r="B1760" s="77" t="s">
        <v>78</v>
      </c>
      <c r="C1760" s="77" t="s">
        <v>12</v>
      </c>
      <c r="D1760" s="62" t="s">
        <v>3374</v>
      </c>
      <c r="E1760" s="62" t="s">
        <v>3406</v>
      </c>
      <c r="F1760" s="78">
        <v>45474</v>
      </c>
      <c r="G1760" s="78">
        <v>45504</v>
      </c>
      <c r="H1760" s="79" t="str">
        <f t="shared" si="66"/>
        <v>EVEN</v>
      </c>
      <c r="I1760" s="108">
        <v>0</v>
      </c>
      <c r="J1760" s="32" t="str">
        <f>UPPER(TEXT(F1760,"mmm")) &amp; " - " &amp; UPPER(TEXT(G1760,"mmm"))</f>
        <v>JUL - JUL</v>
      </c>
      <c r="K1760" s="32" t="s">
        <v>3137</v>
      </c>
      <c r="L1760" s="99" t="s">
        <v>3895</v>
      </c>
      <c r="M1760" s="32" t="str">
        <f t="shared" si="67"/>
        <v>No</v>
      </c>
      <c r="N1760" s="32">
        <f>G1760 - F1760</f>
        <v>30</v>
      </c>
      <c r="O1760">
        <v>1</v>
      </c>
    </row>
    <row r="1761" spans="1:15" x14ac:dyDescent="0.3">
      <c r="A1761" s="62" t="s">
        <v>2747</v>
      </c>
      <c r="B1761" s="77" t="s">
        <v>78</v>
      </c>
      <c r="C1761" s="77" t="s">
        <v>12</v>
      </c>
      <c r="D1761" s="62" t="s">
        <v>3407</v>
      </c>
      <c r="E1761" s="62" t="s">
        <v>3408</v>
      </c>
      <c r="F1761" s="78">
        <v>45139</v>
      </c>
      <c r="G1761" s="78">
        <v>45263</v>
      </c>
      <c r="H1761" s="79" t="str">
        <f t="shared" si="66"/>
        <v>ODD</v>
      </c>
      <c r="I1761" s="108">
        <v>0</v>
      </c>
      <c r="J1761" s="32" t="str">
        <f>UPPER(TEXT(F1761,"mmm")) &amp; " - " &amp; UPPER(TEXT(G1761,"mmm"))</f>
        <v>AUG - DEC</v>
      </c>
      <c r="K1761" s="32" t="s">
        <v>3137</v>
      </c>
      <c r="L1761" s="99" t="s">
        <v>3895</v>
      </c>
      <c r="M1761" s="32" t="str">
        <f t="shared" si="67"/>
        <v>No</v>
      </c>
      <c r="N1761" s="32">
        <f>G1761 - F1761</f>
        <v>124</v>
      </c>
      <c r="O1761">
        <v>1</v>
      </c>
    </row>
    <row r="1762" spans="1:15" x14ac:dyDescent="0.3">
      <c r="A1762" s="62" t="s">
        <v>3409</v>
      </c>
      <c r="B1762" s="77" t="s">
        <v>78</v>
      </c>
      <c r="C1762" s="77" t="s">
        <v>12</v>
      </c>
      <c r="D1762" s="62" t="s">
        <v>3410</v>
      </c>
      <c r="E1762" s="62" t="s">
        <v>3411</v>
      </c>
      <c r="F1762" s="78">
        <v>45439</v>
      </c>
      <c r="G1762" s="78">
        <v>45486</v>
      </c>
      <c r="H1762" s="79" t="str">
        <f t="shared" si="66"/>
        <v>EVEN</v>
      </c>
      <c r="I1762" s="108">
        <v>0</v>
      </c>
      <c r="J1762" s="32" t="str">
        <f>UPPER(TEXT(F1762,"mmm")) &amp; " - " &amp; UPPER(TEXT(G1762,"mmm"))</f>
        <v>MAY - JUL</v>
      </c>
      <c r="K1762" s="32" t="s">
        <v>3137</v>
      </c>
      <c r="L1762" s="99" t="s">
        <v>3895</v>
      </c>
      <c r="M1762" s="32" t="str">
        <f t="shared" si="67"/>
        <v>No</v>
      </c>
      <c r="N1762" s="32">
        <f>G1762 - F1762</f>
        <v>47</v>
      </c>
      <c r="O1762">
        <v>1</v>
      </c>
    </row>
    <row r="1763" spans="1:15" x14ac:dyDescent="0.3">
      <c r="A1763" s="62" t="s">
        <v>3412</v>
      </c>
      <c r="B1763" s="77" t="s">
        <v>78</v>
      </c>
      <c r="C1763" s="77" t="s">
        <v>12</v>
      </c>
      <c r="D1763" s="62" t="s">
        <v>3413</v>
      </c>
      <c r="E1763" s="62" t="s">
        <v>3414</v>
      </c>
      <c r="F1763" s="78">
        <v>45433</v>
      </c>
      <c r="G1763" s="78">
        <v>45492</v>
      </c>
      <c r="H1763" s="79" t="str">
        <f t="shared" si="66"/>
        <v>EVEN</v>
      </c>
      <c r="I1763" s="108">
        <v>4000</v>
      </c>
      <c r="J1763" s="32" t="str">
        <f>UPPER(TEXT(F1763,"mmm")) &amp; " - " &amp; UPPER(TEXT(G1763,"mmm"))</f>
        <v>MAY - JUL</v>
      </c>
      <c r="K1763" s="32" t="s">
        <v>3137</v>
      </c>
      <c r="L1763" s="99" t="s">
        <v>3895</v>
      </c>
      <c r="M1763" s="32" t="str">
        <f t="shared" si="67"/>
        <v>Yes</v>
      </c>
      <c r="N1763" s="32">
        <f>G1763 - F1763</f>
        <v>59</v>
      </c>
      <c r="O1763">
        <v>1</v>
      </c>
    </row>
    <row r="1764" spans="1:15" x14ac:dyDescent="0.3">
      <c r="A1764" s="62" t="s">
        <v>3415</v>
      </c>
      <c r="B1764" s="77" t="s">
        <v>78</v>
      </c>
      <c r="C1764" s="77" t="s">
        <v>12</v>
      </c>
      <c r="D1764" s="62" t="s">
        <v>3416</v>
      </c>
      <c r="E1764" s="62" t="s">
        <v>3417</v>
      </c>
      <c r="F1764" s="78">
        <v>45114</v>
      </c>
      <c r="G1764" s="78">
        <v>45224</v>
      </c>
      <c r="H1764" s="79" t="str">
        <f t="shared" ref="H1764:H1827" si="69">IF(AND(F1764&gt;=DATE(2023,7,15), F1764&lt;=DATE(2023,12,31)), "ODD", "EVEN")</f>
        <v>EVEN</v>
      </c>
      <c r="I1764" s="108">
        <v>0</v>
      </c>
      <c r="J1764" s="32" t="str">
        <f>UPPER(TEXT(F1764,"mmm")) &amp; " - " &amp; UPPER(TEXT(G1764,"mmm"))</f>
        <v>JUL - OCT</v>
      </c>
      <c r="K1764" s="32" t="s">
        <v>3137</v>
      </c>
      <c r="L1764" s="77" t="s">
        <v>895</v>
      </c>
      <c r="M1764" s="32" t="str">
        <f t="shared" si="67"/>
        <v>No</v>
      </c>
      <c r="N1764" s="32">
        <f>G1764 - F1764</f>
        <v>110</v>
      </c>
      <c r="O1764">
        <v>1</v>
      </c>
    </row>
    <row r="1765" spans="1:15" x14ac:dyDescent="0.3">
      <c r="A1765" s="62" t="s">
        <v>3418</v>
      </c>
      <c r="B1765" s="77" t="s">
        <v>78</v>
      </c>
      <c r="C1765" s="77" t="s">
        <v>12</v>
      </c>
      <c r="D1765" s="62" t="s">
        <v>3419</v>
      </c>
      <c r="E1765" s="62" t="s">
        <v>3420</v>
      </c>
      <c r="F1765" s="78">
        <v>45114</v>
      </c>
      <c r="G1765" s="78">
        <v>45224</v>
      </c>
      <c r="H1765" s="79" t="str">
        <f t="shared" si="69"/>
        <v>EVEN</v>
      </c>
      <c r="I1765" s="108">
        <v>0</v>
      </c>
      <c r="J1765" s="32" t="str">
        <f>UPPER(TEXT(F1765,"mmm")) &amp; " - " &amp; UPPER(TEXT(G1765,"mmm"))</f>
        <v>JUL - OCT</v>
      </c>
      <c r="K1765" s="32" t="s">
        <v>3137</v>
      </c>
      <c r="L1765" s="77" t="s">
        <v>895</v>
      </c>
      <c r="M1765" s="32" t="str">
        <f t="shared" si="67"/>
        <v>No</v>
      </c>
      <c r="N1765" s="32">
        <f>G1765 - F1765</f>
        <v>110</v>
      </c>
      <c r="O1765">
        <v>1</v>
      </c>
    </row>
    <row r="1766" spans="1:15" x14ac:dyDescent="0.3">
      <c r="A1766" s="62" t="s">
        <v>3421</v>
      </c>
      <c r="B1766" s="77" t="s">
        <v>78</v>
      </c>
      <c r="C1766" s="77" t="s">
        <v>12</v>
      </c>
      <c r="D1766" s="62" t="s">
        <v>3422</v>
      </c>
      <c r="E1766" s="62" t="s">
        <v>3423</v>
      </c>
      <c r="F1766" s="78">
        <v>45114</v>
      </c>
      <c r="G1766" s="78">
        <v>45224</v>
      </c>
      <c r="H1766" s="79" t="str">
        <f t="shared" si="69"/>
        <v>EVEN</v>
      </c>
      <c r="I1766" s="108">
        <v>0</v>
      </c>
      <c r="J1766" s="32" t="str">
        <f>UPPER(TEXT(F1766,"mmm")) &amp; " - " &amp; UPPER(TEXT(G1766,"mmm"))</f>
        <v>JUL - OCT</v>
      </c>
      <c r="K1766" s="32" t="s">
        <v>3137</v>
      </c>
      <c r="L1766" s="77" t="s">
        <v>895</v>
      </c>
      <c r="M1766" s="32" t="str">
        <f t="shared" si="67"/>
        <v>No</v>
      </c>
      <c r="N1766" s="32">
        <f>G1766 - F1766</f>
        <v>110</v>
      </c>
      <c r="O1766">
        <v>1</v>
      </c>
    </row>
    <row r="1767" spans="1:15" x14ac:dyDescent="0.3">
      <c r="A1767" s="62" t="s">
        <v>3421</v>
      </c>
      <c r="B1767" s="77" t="s">
        <v>78</v>
      </c>
      <c r="C1767" s="77" t="s">
        <v>12</v>
      </c>
      <c r="D1767" s="62" t="s">
        <v>3419</v>
      </c>
      <c r="E1767" s="62" t="s">
        <v>3424</v>
      </c>
      <c r="F1767" s="78">
        <v>45114</v>
      </c>
      <c r="G1767" s="78">
        <v>45224</v>
      </c>
      <c r="H1767" s="79" t="str">
        <f t="shared" si="69"/>
        <v>EVEN</v>
      </c>
      <c r="I1767" s="108">
        <v>0</v>
      </c>
      <c r="J1767" s="32" t="str">
        <f>UPPER(TEXT(F1767,"mmm")) &amp; " - " &amp; UPPER(TEXT(G1767,"mmm"))</f>
        <v>JUL - OCT</v>
      </c>
      <c r="K1767" s="32" t="s">
        <v>3137</v>
      </c>
      <c r="L1767" s="77" t="s">
        <v>895</v>
      </c>
      <c r="M1767" s="32" t="str">
        <f t="shared" si="67"/>
        <v>No</v>
      </c>
      <c r="N1767" s="32">
        <f>G1767 - F1767</f>
        <v>110</v>
      </c>
      <c r="O1767">
        <v>1</v>
      </c>
    </row>
    <row r="1768" spans="1:15" x14ac:dyDescent="0.3">
      <c r="A1768" s="62" t="s">
        <v>2898</v>
      </c>
      <c r="B1768" s="77" t="s">
        <v>78</v>
      </c>
      <c r="C1768" s="77" t="s">
        <v>12</v>
      </c>
      <c r="D1768" s="62" t="s">
        <v>3425</v>
      </c>
      <c r="E1768" s="62" t="s">
        <v>3426</v>
      </c>
      <c r="F1768" s="78">
        <v>45089</v>
      </c>
      <c r="G1768" s="78">
        <v>45167</v>
      </c>
      <c r="H1768" s="79" t="str">
        <f t="shared" si="69"/>
        <v>EVEN</v>
      </c>
      <c r="I1768" s="108">
        <v>0</v>
      </c>
      <c r="J1768" s="32" t="str">
        <f>UPPER(TEXT(F1768,"mmm")) &amp; " - " &amp; UPPER(TEXT(G1768,"mmm"))</f>
        <v>JUN - AUG</v>
      </c>
      <c r="K1768" s="32" t="s">
        <v>3137</v>
      </c>
      <c r="L1768" s="77" t="s">
        <v>895</v>
      </c>
      <c r="M1768" s="32" t="str">
        <f t="shared" si="67"/>
        <v>No</v>
      </c>
      <c r="N1768" s="32">
        <f>G1768 - F1768</f>
        <v>78</v>
      </c>
      <c r="O1768">
        <v>1</v>
      </c>
    </row>
    <row r="1769" spans="1:15" x14ac:dyDescent="0.3">
      <c r="A1769" s="62" t="s">
        <v>3427</v>
      </c>
      <c r="B1769" s="77" t="s">
        <v>78</v>
      </c>
      <c r="C1769" s="77" t="s">
        <v>12</v>
      </c>
      <c r="D1769" s="62" t="s">
        <v>3428</v>
      </c>
      <c r="E1769" s="62" t="s">
        <v>3429</v>
      </c>
      <c r="F1769" s="78">
        <v>45124</v>
      </c>
      <c r="G1769" s="78">
        <v>45152</v>
      </c>
      <c r="H1769" s="79" t="str">
        <f t="shared" si="69"/>
        <v>ODD</v>
      </c>
      <c r="I1769" s="108">
        <v>0</v>
      </c>
      <c r="J1769" s="32" t="str">
        <f>UPPER(TEXT(F1769,"mmm")) &amp; " - " &amp; UPPER(TEXT(G1769,"mmm"))</f>
        <v>JUL - AUG</v>
      </c>
      <c r="K1769" s="32" t="s">
        <v>3137</v>
      </c>
      <c r="L1769" s="77" t="s">
        <v>895</v>
      </c>
      <c r="M1769" s="32" t="str">
        <f t="shared" si="67"/>
        <v>No</v>
      </c>
      <c r="N1769" s="32">
        <f>G1769 - F1769</f>
        <v>28</v>
      </c>
      <c r="O1769">
        <v>1</v>
      </c>
    </row>
    <row r="1770" spans="1:15" x14ac:dyDescent="0.3">
      <c r="A1770" s="62" t="s">
        <v>3427</v>
      </c>
      <c r="B1770" s="77" t="s">
        <v>78</v>
      </c>
      <c r="C1770" s="77" t="s">
        <v>12</v>
      </c>
      <c r="D1770" s="62" t="s">
        <v>3428</v>
      </c>
      <c r="E1770" s="62" t="s">
        <v>3429</v>
      </c>
      <c r="F1770" s="78">
        <v>45124</v>
      </c>
      <c r="G1770" s="78">
        <v>45180</v>
      </c>
      <c r="H1770" s="79" t="str">
        <f t="shared" si="69"/>
        <v>ODD</v>
      </c>
      <c r="I1770" s="108">
        <v>0</v>
      </c>
      <c r="J1770" s="32" t="str">
        <f>UPPER(TEXT(F1770,"mmm")) &amp; " - " &amp; UPPER(TEXT(G1770,"mmm"))</f>
        <v>JUL - SEP</v>
      </c>
      <c r="K1770" s="32" t="s">
        <v>3137</v>
      </c>
      <c r="L1770" s="77" t="s">
        <v>895</v>
      </c>
      <c r="M1770" s="32" t="str">
        <f t="shared" si="67"/>
        <v>No</v>
      </c>
      <c r="N1770" s="32">
        <f>G1770 - F1770</f>
        <v>56</v>
      </c>
      <c r="O1770">
        <v>1</v>
      </c>
    </row>
    <row r="1771" spans="1:15" x14ac:dyDescent="0.3">
      <c r="A1771" s="62" t="s">
        <v>3313</v>
      </c>
      <c r="B1771" s="77" t="s">
        <v>78</v>
      </c>
      <c r="C1771" s="77" t="s">
        <v>12</v>
      </c>
      <c r="D1771" s="62" t="s">
        <v>3295</v>
      </c>
      <c r="E1771" s="62" t="s">
        <v>3430</v>
      </c>
      <c r="F1771" s="78">
        <v>45294</v>
      </c>
      <c r="G1771" s="78">
        <v>45325</v>
      </c>
      <c r="H1771" s="79" t="str">
        <f t="shared" si="69"/>
        <v>EVEN</v>
      </c>
      <c r="I1771" s="108">
        <v>0</v>
      </c>
      <c r="J1771" s="32" t="str">
        <f>UPPER(TEXT(F1771,"mmm")) &amp; " - " &amp; UPPER(TEXT(G1771,"mmm"))</f>
        <v>JAN - FEB</v>
      </c>
      <c r="K1771" s="32" t="s">
        <v>3137</v>
      </c>
      <c r="L1771" s="77" t="s">
        <v>895</v>
      </c>
      <c r="M1771" s="32" t="str">
        <f t="shared" si="67"/>
        <v>No</v>
      </c>
      <c r="N1771" s="32">
        <f>G1771 - F1771</f>
        <v>31</v>
      </c>
      <c r="O1771">
        <v>1</v>
      </c>
    </row>
    <row r="1772" spans="1:15" x14ac:dyDescent="0.3">
      <c r="A1772" s="62" t="s">
        <v>3431</v>
      </c>
      <c r="B1772" s="77" t="s">
        <v>78</v>
      </c>
      <c r="C1772" s="77" t="s">
        <v>12</v>
      </c>
      <c r="D1772" s="62" t="s">
        <v>3432</v>
      </c>
      <c r="E1772" s="62" t="s">
        <v>3433</v>
      </c>
      <c r="F1772" s="78">
        <v>45356</v>
      </c>
      <c r="G1772" s="78">
        <v>45387</v>
      </c>
      <c r="H1772" s="79" t="str">
        <f t="shared" si="69"/>
        <v>EVEN</v>
      </c>
      <c r="I1772" s="108">
        <v>0</v>
      </c>
      <c r="J1772" s="32" t="str">
        <f>UPPER(TEXT(F1772,"mmm")) &amp; " - " &amp; UPPER(TEXT(G1772,"mmm"))</f>
        <v>MAR - APR</v>
      </c>
      <c r="K1772" s="32" t="s">
        <v>3137</v>
      </c>
      <c r="L1772" s="77" t="s">
        <v>895</v>
      </c>
      <c r="M1772" s="32" t="str">
        <f t="shared" si="67"/>
        <v>No</v>
      </c>
      <c r="N1772" s="32">
        <f>G1772 - F1772</f>
        <v>31</v>
      </c>
      <c r="O1772">
        <v>1</v>
      </c>
    </row>
    <row r="1773" spans="1:15" x14ac:dyDescent="0.3">
      <c r="A1773" s="62" t="s">
        <v>2702</v>
      </c>
      <c r="B1773" s="77" t="s">
        <v>78</v>
      </c>
      <c r="C1773" s="77" t="s">
        <v>12</v>
      </c>
      <c r="D1773" s="62" t="s">
        <v>3434</v>
      </c>
      <c r="E1773" s="62" t="s">
        <v>3435</v>
      </c>
      <c r="F1773" s="78">
        <v>45186</v>
      </c>
      <c r="G1773" s="78">
        <v>45429</v>
      </c>
      <c r="H1773" s="79" t="str">
        <f t="shared" si="69"/>
        <v>ODD</v>
      </c>
      <c r="I1773" s="108">
        <v>0</v>
      </c>
      <c r="J1773" s="32" t="str">
        <f>UPPER(TEXT(F1773,"mmm")) &amp; " - " &amp; UPPER(TEXT(G1773,"mmm"))</f>
        <v>SEP - MAY</v>
      </c>
      <c r="K1773" s="32" t="s">
        <v>3137</v>
      </c>
      <c r="L1773" s="77" t="s">
        <v>895</v>
      </c>
      <c r="M1773" s="32" t="str">
        <f t="shared" si="67"/>
        <v>No</v>
      </c>
      <c r="N1773" s="32">
        <f>G1773 - F1773</f>
        <v>243</v>
      </c>
      <c r="O1773">
        <v>1</v>
      </c>
    </row>
    <row r="1774" spans="1:15" x14ac:dyDescent="0.3">
      <c r="A1774" s="62" t="s">
        <v>2699</v>
      </c>
      <c r="B1774" s="77" t="s">
        <v>78</v>
      </c>
      <c r="C1774" s="77" t="s">
        <v>12</v>
      </c>
      <c r="D1774" s="62" t="s">
        <v>3436</v>
      </c>
      <c r="E1774" s="62" t="s">
        <v>3437</v>
      </c>
      <c r="F1774" s="78">
        <v>45186</v>
      </c>
      <c r="G1774" s="78">
        <v>45429</v>
      </c>
      <c r="H1774" s="79" t="str">
        <f t="shared" si="69"/>
        <v>ODD</v>
      </c>
      <c r="I1774" s="108">
        <v>0</v>
      </c>
      <c r="J1774" s="32" t="str">
        <f>UPPER(TEXT(F1774,"mmm")) &amp; " - " &amp; UPPER(TEXT(G1774,"mmm"))</f>
        <v>SEP - MAY</v>
      </c>
      <c r="K1774" s="32" t="s">
        <v>3137</v>
      </c>
      <c r="L1774" s="77" t="s">
        <v>895</v>
      </c>
      <c r="M1774" s="32" t="str">
        <f t="shared" si="67"/>
        <v>No</v>
      </c>
      <c r="N1774" s="32">
        <f>G1774 - F1774</f>
        <v>243</v>
      </c>
      <c r="O1774">
        <v>1</v>
      </c>
    </row>
    <row r="1775" spans="1:15" x14ac:dyDescent="0.3">
      <c r="A1775" s="62" t="s">
        <v>3438</v>
      </c>
      <c r="B1775" s="77" t="s">
        <v>78</v>
      </c>
      <c r="C1775" s="77" t="s">
        <v>12</v>
      </c>
      <c r="D1775" s="62" t="s">
        <v>3208</v>
      </c>
      <c r="E1775" s="62" t="s">
        <v>3439</v>
      </c>
      <c r="F1775" s="78">
        <v>45293</v>
      </c>
      <c r="G1775" s="78">
        <v>45467</v>
      </c>
      <c r="H1775" s="79" t="str">
        <f t="shared" si="69"/>
        <v>EVEN</v>
      </c>
      <c r="I1775" s="108">
        <v>0</v>
      </c>
      <c r="J1775" s="32" t="str">
        <f>UPPER(TEXT(F1775,"mmm")) &amp; " - " &amp; UPPER(TEXT(G1775,"mmm"))</f>
        <v>JAN - JUN</v>
      </c>
      <c r="K1775" s="32" t="s">
        <v>3137</v>
      </c>
      <c r="L1775" s="77" t="s">
        <v>895</v>
      </c>
      <c r="M1775" s="32" t="str">
        <f t="shared" si="67"/>
        <v>No</v>
      </c>
      <c r="N1775" s="32">
        <f>G1775 - F1775</f>
        <v>174</v>
      </c>
      <c r="O1775">
        <v>1</v>
      </c>
    </row>
    <row r="1776" spans="1:15" x14ac:dyDescent="0.3">
      <c r="A1776" s="62" t="s">
        <v>2293</v>
      </c>
      <c r="B1776" s="77" t="s">
        <v>78</v>
      </c>
      <c r="C1776" s="77" t="s">
        <v>12</v>
      </c>
      <c r="D1776" s="62" t="s">
        <v>1233</v>
      </c>
      <c r="E1776" s="62" t="s">
        <v>3440</v>
      </c>
      <c r="F1776" s="78">
        <v>45122</v>
      </c>
      <c r="G1776" s="78">
        <v>45392</v>
      </c>
      <c r="H1776" s="79" t="str">
        <f t="shared" si="69"/>
        <v>ODD</v>
      </c>
      <c r="I1776" s="108">
        <v>0</v>
      </c>
      <c r="J1776" s="32" t="str">
        <f>UPPER(TEXT(F1776,"mmm")) &amp; " - " &amp; UPPER(TEXT(G1776,"mmm"))</f>
        <v>JUL - APR</v>
      </c>
      <c r="K1776" s="32" t="s">
        <v>3137</v>
      </c>
      <c r="L1776" s="77" t="s">
        <v>895</v>
      </c>
      <c r="M1776" s="32" t="str">
        <f t="shared" si="67"/>
        <v>No</v>
      </c>
      <c r="N1776" s="32">
        <f>G1776 - F1776</f>
        <v>270</v>
      </c>
      <c r="O1776">
        <v>1</v>
      </c>
    </row>
    <row r="1777" spans="1:15" x14ac:dyDescent="0.3">
      <c r="A1777" s="62" t="s">
        <v>3441</v>
      </c>
      <c r="B1777" s="77" t="s">
        <v>78</v>
      </c>
      <c r="C1777" s="77" t="s">
        <v>12</v>
      </c>
      <c r="D1777" s="62" t="s">
        <v>3442</v>
      </c>
      <c r="E1777" s="62" t="s">
        <v>3443</v>
      </c>
      <c r="F1777" s="78">
        <v>45434</v>
      </c>
      <c r="G1777" s="78">
        <v>45492</v>
      </c>
      <c r="H1777" s="79" t="str">
        <f t="shared" si="69"/>
        <v>EVEN</v>
      </c>
      <c r="I1777" s="108">
        <v>0</v>
      </c>
      <c r="J1777" s="32" t="str">
        <f>UPPER(TEXT(F1777,"mmm")) &amp; " - " &amp; UPPER(TEXT(G1777,"mmm"))</f>
        <v>MAY - JUL</v>
      </c>
      <c r="K1777" s="32" t="s">
        <v>3137</v>
      </c>
      <c r="L1777" s="77" t="s">
        <v>895</v>
      </c>
      <c r="M1777" s="32" t="str">
        <f t="shared" si="67"/>
        <v>No</v>
      </c>
      <c r="N1777" s="32">
        <f>G1777 - F1777</f>
        <v>58</v>
      </c>
      <c r="O1777">
        <v>1</v>
      </c>
    </row>
    <row r="1778" spans="1:15" x14ac:dyDescent="0.3">
      <c r="A1778" s="62" t="s">
        <v>2702</v>
      </c>
      <c r="B1778" s="77" t="s">
        <v>78</v>
      </c>
      <c r="C1778" s="77" t="s">
        <v>12</v>
      </c>
      <c r="D1778" s="62" t="s">
        <v>674</v>
      </c>
      <c r="E1778" s="62" t="s">
        <v>3437</v>
      </c>
      <c r="F1778" s="78">
        <v>45186</v>
      </c>
      <c r="G1778" s="78">
        <v>45429</v>
      </c>
      <c r="H1778" s="79" t="str">
        <f t="shared" si="69"/>
        <v>ODD</v>
      </c>
      <c r="I1778" s="108">
        <v>0</v>
      </c>
      <c r="J1778" s="32" t="str">
        <f>UPPER(TEXT(F1778,"mmm")) &amp; " - " &amp; UPPER(TEXT(G1778,"mmm"))</f>
        <v>SEP - MAY</v>
      </c>
      <c r="K1778" s="32" t="s">
        <v>3137</v>
      </c>
      <c r="L1778" s="77" t="s">
        <v>895</v>
      </c>
      <c r="M1778" s="32" t="str">
        <f t="shared" si="67"/>
        <v>No</v>
      </c>
      <c r="N1778" s="32">
        <f>G1778 - F1778</f>
        <v>243</v>
      </c>
      <c r="O1778">
        <v>1</v>
      </c>
    </row>
    <row r="1779" spans="1:15" x14ac:dyDescent="0.3">
      <c r="A1779" s="62" t="s">
        <v>2699</v>
      </c>
      <c r="B1779" s="77" t="s">
        <v>78</v>
      </c>
      <c r="C1779" s="77" t="s">
        <v>12</v>
      </c>
      <c r="D1779" s="62" t="s">
        <v>674</v>
      </c>
      <c r="E1779" s="62" t="s">
        <v>3437</v>
      </c>
      <c r="F1779" s="78">
        <v>45186</v>
      </c>
      <c r="G1779" s="78">
        <v>45429</v>
      </c>
      <c r="H1779" s="79" t="str">
        <f t="shared" si="69"/>
        <v>ODD</v>
      </c>
      <c r="I1779" s="108">
        <v>0</v>
      </c>
      <c r="J1779" s="32" t="str">
        <f>UPPER(TEXT(F1779,"mmm")) &amp; " - " &amp; UPPER(TEXT(G1779,"mmm"))</f>
        <v>SEP - MAY</v>
      </c>
      <c r="K1779" s="32" t="s">
        <v>3137</v>
      </c>
      <c r="L1779" s="77" t="s">
        <v>895</v>
      </c>
      <c r="M1779" s="32" t="str">
        <f t="shared" si="67"/>
        <v>No</v>
      </c>
      <c r="N1779" s="32">
        <f>G1779 - F1779</f>
        <v>243</v>
      </c>
      <c r="O1779">
        <v>1</v>
      </c>
    </row>
    <row r="1780" spans="1:15" x14ac:dyDescent="0.3">
      <c r="A1780" s="62" t="s">
        <v>3444</v>
      </c>
      <c r="B1780" s="77" t="s">
        <v>78</v>
      </c>
      <c r="C1780" s="77" t="s">
        <v>12</v>
      </c>
      <c r="D1780" s="62" t="s">
        <v>1233</v>
      </c>
      <c r="E1780" s="62" t="s">
        <v>3445</v>
      </c>
      <c r="F1780" s="78">
        <v>45118</v>
      </c>
      <c r="G1780" s="78">
        <v>45411</v>
      </c>
      <c r="H1780" s="79" t="str">
        <f t="shared" si="69"/>
        <v>EVEN</v>
      </c>
      <c r="I1780" s="108">
        <v>0</v>
      </c>
      <c r="J1780" s="32" t="str">
        <f>UPPER(TEXT(F1780,"mmm")) &amp; " - " &amp; UPPER(TEXT(G1780,"mmm"))</f>
        <v>JUL - APR</v>
      </c>
      <c r="K1780" s="32" t="s">
        <v>3137</v>
      </c>
      <c r="L1780" s="77" t="s">
        <v>895</v>
      </c>
      <c r="M1780" s="32" t="str">
        <f t="shared" si="67"/>
        <v>No</v>
      </c>
      <c r="N1780" s="32">
        <f>G1780 - F1780</f>
        <v>293</v>
      </c>
      <c r="O1780">
        <v>1</v>
      </c>
    </row>
    <row r="1781" spans="1:15" x14ac:dyDescent="0.3">
      <c r="A1781" s="62" t="s">
        <v>3438</v>
      </c>
      <c r="B1781" s="77" t="s">
        <v>78</v>
      </c>
      <c r="C1781" s="77" t="s">
        <v>12</v>
      </c>
      <c r="D1781" s="62" t="s">
        <v>694</v>
      </c>
      <c r="E1781" s="62" t="s">
        <v>3446</v>
      </c>
      <c r="F1781" s="78">
        <v>45148</v>
      </c>
      <c r="G1781" s="78">
        <v>45199</v>
      </c>
      <c r="H1781" s="79" t="str">
        <f t="shared" si="69"/>
        <v>ODD</v>
      </c>
      <c r="I1781" s="108">
        <v>0</v>
      </c>
      <c r="J1781" s="32" t="str">
        <f>UPPER(TEXT(F1781,"mmm")) &amp; " - " &amp; UPPER(TEXT(G1781,"mmm"))</f>
        <v>AUG - SEP</v>
      </c>
      <c r="K1781" s="32" t="s">
        <v>3137</v>
      </c>
      <c r="L1781" s="77" t="s">
        <v>895</v>
      </c>
      <c r="M1781" s="32" t="str">
        <f t="shared" si="67"/>
        <v>No</v>
      </c>
      <c r="N1781" s="32">
        <f>G1781 - F1781</f>
        <v>51</v>
      </c>
      <c r="O1781">
        <v>1</v>
      </c>
    </row>
    <row r="1782" spans="1:15" x14ac:dyDescent="0.3">
      <c r="A1782" s="62" t="s">
        <v>3438</v>
      </c>
      <c r="B1782" s="77" t="s">
        <v>78</v>
      </c>
      <c r="C1782" s="77" t="s">
        <v>12</v>
      </c>
      <c r="D1782" s="62" t="s">
        <v>694</v>
      </c>
      <c r="E1782" s="62" t="s">
        <v>3447</v>
      </c>
      <c r="F1782" s="78">
        <v>45280</v>
      </c>
      <c r="G1782" s="78">
        <v>45504</v>
      </c>
      <c r="H1782" s="79" t="str">
        <f t="shared" si="69"/>
        <v>ODD</v>
      </c>
      <c r="I1782" s="108">
        <v>0</v>
      </c>
      <c r="J1782" s="32" t="str">
        <f>UPPER(TEXT(F1782,"mmm")) &amp; " - " &amp; UPPER(TEXT(G1782,"mmm"))</f>
        <v>DEC - JUL</v>
      </c>
      <c r="K1782" s="32" t="s">
        <v>3137</v>
      </c>
      <c r="L1782" s="77" t="s">
        <v>895</v>
      </c>
      <c r="M1782" s="32" t="str">
        <f t="shared" si="67"/>
        <v>No</v>
      </c>
      <c r="N1782" s="32">
        <f>G1782 - F1782</f>
        <v>224</v>
      </c>
      <c r="O1782">
        <v>1</v>
      </c>
    </row>
    <row r="1783" spans="1:15" x14ac:dyDescent="0.3">
      <c r="A1783" s="62" t="s">
        <v>3448</v>
      </c>
      <c r="B1783" s="77" t="s">
        <v>78</v>
      </c>
      <c r="C1783" s="77" t="s">
        <v>12</v>
      </c>
      <c r="D1783" s="62" t="s">
        <v>3449</v>
      </c>
      <c r="E1783" s="62" t="s">
        <v>3450</v>
      </c>
      <c r="F1783" s="78">
        <v>45270</v>
      </c>
      <c r="G1783" s="78">
        <v>45518</v>
      </c>
      <c r="H1783" s="79" t="str">
        <f t="shared" si="69"/>
        <v>ODD</v>
      </c>
      <c r="I1783" s="108">
        <v>0</v>
      </c>
      <c r="J1783" s="32" t="str">
        <f>UPPER(TEXT(F1783,"mmm")) &amp; " - " &amp; UPPER(TEXT(G1783,"mmm"))</f>
        <v>DEC - AUG</v>
      </c>
      <c r="K1783" s="32" t="s">
        <v>3137</v>
      </c>
      <c r="L1783" s="77" t="s">
        <v>895</v>
      </c>
      <c r="M1783" s="32" t="str">
        <f t="shared" si="67"/>
        <v>No</v>
      </c>
      <c r="N1783" s="32">
        <f>G1783 - F1783</f>
        <v>248</v>
      </c>
      <c r="O1783">
        <v>1</v>
      </c>
    </row>
    <row r="1784" spans="1:15" x14ac:dyDescent="0.3">
      <c r="A1784" s="62" t="s">
        <v>3451</v>
      </c>
      <c r="B1784" s="77" t="s">
        <v>78</v>
      </c>
      <c r="C1784" s="77" t="s">
        <v>12</v>
      </c>
      <c r="D1784" s="62" t="s">
        <v>3452</v>
      </c>
      <c r="E1784" s="62" t="s">
        <v>3453</v>
      </c>
      <c r="F1784" s="78">
        <v>45271</v>
      </c>
      <c r="G1784" s="78">
        <v>45470</v>
      </c>
      <c r="H1784" s="79" t="str">
        <f t="shared" si="69"/>
        <v>ODD</v>
      </c>
      <c r="I1784" s="108">
        <v>0</v>
      </c>
      <c r="J1784" s="32" t="str">
        <f>UPPER(TEXT(F1784,"mmm")) &amp; " - " &amp; UPPER(TEXT(G1784,"mmm"))</f>
        <v>DEC - JUN</v>
      </c>
      <c r="K1784" s="32" t="s">
        <v>3137</v>
      </c>
      <c r="L1784" s="77" t="s">
        <v>895</v>
      </c>
      <c r="M1784" s="32" t="str">
        <f t="shared" si="67"/>
        <v>No</v>
      </c>
      <c r="N1784" s="32">
        <f>G1784 - F1784</f>
        <v>199</v>
      </c>
      <c r="O1784">
        <v>1</v>
      </c>
    </row>
    <row r="1785" spans="1:15" x14ac:dyDescent="0.3">
      <c r="A1785" s="62" t="s">
        <v>3454</v>
      </c>
      <c r="B1785" s="77" t="s">
        <v>78</v>
      </c>
      <c r="C1785" s="77" t="s">
        <v>12</v>
      </c>
      <c r="D1785" s="62" t="s">
        <v>3455</v>
      </c>
      <c r="E1785" s="62" t="s">
        <v>3456</v>
      </c>
      <c r="F1785" s="78">
        <v>45128</v>
      </c>
      <c r="G1785" s="78">
        <v>45532</v>
      </c>
      <c r="H1785" s="79" t="str">
        <f t="shared" si="69"/>
        <v>ODD</v>
      </c>
      <c r="I1785" s="108">
        <v>0</v>
      </c>
      <c r="J1785" s="32" t="str">
        <f>UPPER(TEXT(F1785,"mmm")) &amp; " - " &amp; UPPER(TEXT(G1785,"mmm"))</f>
        <v>JUL - AUG</v>
      </c>
      <c r="K1785" s="32" t="s">
        <v>3137</v>
      </c>
      <c r="L1785" s="77" t="s">
        <v>895</v>
      </c>
      <c r="M1785" s="32" t="str">
        <f t="shared" si="67"/>
        <v>No</v>
      </c>
      <c r="N1785" s="32">
        <f>G1785 - F1785</f>
        <v>404</v>
      </c>
      <c r="O1785">
        <v>1</v>
      </c>
    </row>
    <row r="1786" spans="1:15" x14ac:dyDescent="0.3">
      <c r="A1786" s="62" t="s">
        <v>3457</v>
      </c>
      <c r="B1786" s="77" t="s">
        <v>78</v>
      </c>
      <c r="C1786" s="77" t="s">
        <v>12</v>
      </c>
      <c r="D1786" s="62" t="s">
        <v>593</v>
      </c>
      <c r="E1786" s="62" t="s">
        <v>3458</v>
      </c>
      <c r="F1786" s="78">
        <v>45158</v>
      </c>
      <c r="G1786" s="78">
        <v>45412</v>
      </c>
      <c r="H1786" s="79" t="str">
        <f t="shared" si="69"/>
        <v>ODD</v>
      </c>
      <c r="I1786" s="108">
        <v>0</v>
      </c>
      <c r="J1786" s="32" t="str">
        <f>UPPER(TEXT(F1786,"mmm")) &amp; " - " &amp; UPPER(TEXT(G1786,"mmm"))</f>
        <v>AUG - APR</v>
      </c>
      <c r="K1786" s="32" t="s">
        <v>3137</v>
      </c>
      <c r="L1786" s="77" t="s">
        <v>895</v>
      </c>
      <c r="M1786" s="32" t="str">
        <f t="shared" si="67"/>
        <v>No</v>
      </c>
      <c r="N1786" s="32">
        <f>G1786 - F1786</f>
        <v>254</v>
      </c>
      <c r="O1786">
        <v>1</v>
      </c>
    </row>
    <row r="1787" spans="1:15" x14ac:dyDescent="0.3">
      <c r="A1787" s="62" t="s">
        <v>3459</v>
      </c>
      <c r="B1787" s="77" t="s">
        <v>78</v>
      </c>
      <c r="C1787" s="77" t="s">
        <v>12</v>
      </c>
      <c r="D1787" s="62" t="s">
        <v>593</v>
      </c>
      <c r="E1787" s="62" t="s">
        <v>3460</v>
      </c>
      <c r="F1787" s="78">
        <v>45158</v>
      </c>
      <c r="G1787" s="78">
        <v>45412</v>
      </c>
      <c r="H1787" s="79" t="str">
        <f t="shared" si="69"/>
        <v>ODD</v>
      </c>
      <c r="I1787" s="108">
        <v>0</v>
      </c>
      <c r="J1787" s="32" t="str">
        <f>UPPER(TEXT(F1787,"mmm")) &amp; " - " &amp; UPPER(TEXT(G1787,"mmm"))</f>
        <v>AUG - APR</v>
      </c>
      <c r="K1787" s="32" t="s">
        <v>3137</v>
      </c>
      <c r="L1787" s="77" t="s">
        <v>895</v>
      </c>
      <c r="M1787" s="32" t="str">
        <f t="shared" si="67"/>
        <v>No</v>
      </c>
      <c r="N1787" s="32">
        <f>G1787 - F1787</f>
        <v>254</v>
      </c>
      <c r="O1787">
        <v>1</v>
      </c>
    </row>
    <row r="1788" spans="1:15" x14ac:dyDescent="0.3">
      <c r="A1788" s="62" t="s">
        <v>3461</v>
      </c>
      <c r="B1788" s="77" t="s">
        <v>78</v>
      </c>
      <c r="C1788" s="77" t="s">
        <v>12</v>
      </c>
      <c r="D1788" s="62" t="s">
        <v>25</v>
      </c>
      <c r="E1788" s="62" t="s">
        <v>3462</v>
      </c>
      <c r="F1788" s="78">
        <v>45352</v>
      </c>
      <c r="G1788" s="78">
        <v>45535</v>
      </c>
      <c r="H1788" s="79" t="str">
        <f t="shared" si="69"/>
        <v>EVEN</v>
      </c>
      <c r="I1788" s="108">
        <v>0</v>
      </c>
      <c r="J1788" s="32" t="str">
        <f>UPPER(TEXT(F1788,"mmm")) &amp; " - " &amp; UPPER(TEXT(G1788,"mmm"))</f>
        <v>MAR - AUG</v>
      </c>
      <c r="K1788" s="32" t="s">
        <v>3137</v>
      </c>
      <c r="L1788" s="77" t="s">
        <v>895</v>
      </c>
      <c r="M1788" s="32" t="str">
        <f t="shared" si="67"/>
        <v>No</v>
      </c>
      <c r="N1788" s="32">
        <f>G1788 - F1788</f>
        <v>183</v>
      </c>
      <c r="O1788">
        <v>1</v>
      </c>
    </row>
    <row r="1789" spans="1:15" x14ac:dyDescent="0.3">
      <c r="A1789" s="62" t="s">
        <v>3373</v>
      </c>
      <c r="B1789" s="77" t="s">
        <v>78</v>
      </c>
      <c r="C1789" s="77" t="s">
        <v>12</v>
      </c>
      <c r="D1789" s="62" t="s">
        <v>842</v>
      </c>
      <c r="E1789" s="62" t="s">
        <v>3463</v>
      </c>
      <c r="F1789" s="78">
        <v>45122</v>
      </c>
      <c r="G1789" s="78">
        <v>45499</v>
      </c>
      <c r="H1789" s="79" t="str">
        <f t="shared" si="69"/>
        <v>ODD</v>
      </c>
      <c r="I1789" s="108">
        <v>0</v>
      </c>
      <c r="J1789" s="32" t="str">
        <f>UPPER(TEXT(F1789,"mmm")) &amp; " - " &amp; UPPER(TEXT(G1789,"mmm"))</f>
        <v>JUL - JUL</v>
      </c>
      <c r="K1789" s="32" t="s">
        <v>3137</v>
      </c>
      <c r="L1789" s="77" t="s">
        <v>895</v>
      </c>
      <c r="M1789" s="32" t="str">
        <f t="shared" si="67"/>
        <v>No</v>
      </c>
      <c r="N1789" s="32">
        <f>G1789 - F1789</f>
        <v>377</v>
      </c>
      <c r="O1789">
        <v>1</v>
      </c>
    </row>
    <row r="1790" spans="1:15" x14ac:dyDescent="0.3">
      <c r="A1790" s="62" t="s">
        <v>3464</v>
      </c>
      <c r="B1790" s="77" t="s">
        <v>78</v>
      </c>
      <c r="C1790" s="77" t="s">
        <v>12</v>
      </c>
      <c r="D1790" s="62" t="s">
        <v>25</v>
      </c>
      <c r="E1790" s="62" t="s">
        <v>3465</v>
      </c>
      <c r="F1790" s="78">
        <v>45294</v>
      </c>
      <c r="G1790" s="78">
        <v>45535</v>
      </c>
      <c r="H1790" s="79" t="str">
        <f t="shared" si="69"/>
        <v>EVEN</v>
      </c>
      <c r="I1790" s="108">
        <v>0</v>
      </c>
      <c r="J1790" s="32" t="str">
        <f>UPPER(TEXT(F1790,"mmm")) &amp; " - " &amp; UPPER(TEXT(G1790,"mmm"))</f>
        <v>JAN - AUG</v>
      </c>
      <c r="K1790" s="32" t="s">
        <v>3137</v>
      </c>
      <c r="L1790" s="77" t="s">
        <v>895</v>
      </c>
      <c r="M1790" s="32" t="str">
        <f t="shared" si="67"/>
        <v>No</v>
      </c>
      <c r="N1790" s="32">
        <f>G1790 - F1790</f>
        <v>241</v>
      </c>
      <c r="O1790">
        <v>1</v>
      </c>
    </row>
    <row r="1791" spans="1:15" x14ac:dyDescent="0.3">
      <c r="A1791" s="62" t="s">
        <v>2798</v>
      </c>
      <c r="B1791" s="77" t="s">
        <v>66</v>
      </c>
      <c r="C1791" s="77" t="s">
        <v>12</v>
      </c>
      <c r="D1791" s="62" t="s">
        <v>2799</v>
      </c>
      <c r="E1791" s="62" t="s">
        <v>2800</v>
      </c>
      <c r="F1791" s="78">
        <v>44819</v>
      </c>
      <c r="G1791" s="78">
        <v>45061</v>
      </c>
      <c r="H1791" s="79" t="str">
        <f t="shared" si="69"/>
        <v>EVEN</v>
      </c>
      <c r="I1791" s="108">
        <v>0</v>
      </c>
      <c r="J1791" s="32" t="str">
        <f>UPPER(TEXT(F1791,"mmm")) &amp; " - " &amp; UPPER(TEXT(G1791,"mmm"))</f>
        <v>SEP - MAY</v>
      </c>
      <c r="K1791" s="32" t="s">
        <v>3137</v>
      </c>
      <c r="L1791" s="99" t="s">
        <v>3895</v>
      </c>
      <c r="M1791" s="32" t="str">
        <f t="shared" si="67"/>
        <v>No</v>
      </c>
      <c r="N1791" s="32">
        <f>G1791 - F1791</f>
        <v>242</v>
      </c>
      <c r="O1791">
        <v>1</v>
      </c>
    </row>
    <row r="1792" spans="1:15" x14ac:dyDescent="0.3">
      <c r="A1792" s="62" t="s">
        <v>3466</v>
      </c>
      <c r="B1792" s="77" t="s">
        <v>66</v>
      </c>
      <c r="C1792" s="77" t="s">
        <v>12</v>
      </c>
      <c r="D1792" s="62" t="s">
        <v>3467</v>
      </c>
      <c r="E1792" s="62" t="s">
        <v>2366</v>
      </c>
      <c r="F1792" s="78">
        <v>45083</v>
      </c>
      <c r="G1792" s="78">
        <v>45142</v>
      </c>
      <c r="H1792" s="79" t="str">
        <f t="shared" si="69"/>
        <v>EVEN</v>
      </c>
      <c r="I1792" s="108">
        <v>25000</v>
      </c>
      <c r="J1792" s="32" t="str">
        <f>UPPER(TEXT(F1792,"mmm")) &amp; " - " &amp; UPPER(TEXT(G1792,"mmm"))</f>
        <v>JUN - AUG</v>
      </c>
      <c r="K1792" s="32" t="s">
        <v>3137</v>
      </c>
      <c r="L1792" s="99" t="s">
        <v>3895</v>
      </c>
      <c r="M1792" s="32" t="str">
        <f t="shared" si="67"/>
        <v>Yes</v>
      </c>
      <c r="N1792" s="32">
        <f>G1792 - F1792</f>
        <v>59</v>
      </c>
      <c r="O1792">
        <v>1</v>
      </c>
    </row>
    <row r="1793" spans="1:15" x14ac:dyDescent="0.3">
      <c r="A1793" s="62" t="s">
        <v>2863</v>
      </c>
      <c r="B1793" s="77" t="s">
        <v>66</v>
      </c>
      <c r="C1793" s="77" t="s">
        <v>12</v>
      </c>
      <c r="D1793" s="62" t="s">
        <v>2864</v>
      </c>
      <c r="E1793" s="62" t="s">
        <v>2181</v>
      </c>
      <c r="F1793" s="78">
        <v>45108</v>
      </c>
      <c r="G1793" s="78">
        <v>45169</v>
      </c>
      <c r="H1793" s="79" t="str">
        <f t="shared" si="69"/>
        <v>EVEN</v>
      </c>
      <c r="I1793" s="108">
        <v>5000</v>
      </c>
      <c r="J1793" s="32" t="str">
        <f>UPPER(TEXT(F1793,"mmm")) &amp; " - " &amp; UPPER(TEXT(G1793,"mmm"))</f>
        <v>JUL - AUG</v>
      </c>
      <c r="K1793" s="32" t="s">
        <v>3137</v>
      </c>
      <c r="L1793" s="99" t="s">
        <v>3895</v>
      </c>
      <c r="M1793" s="32" t="str">
        <f t="shared" ref="M1793:M1856" si="70">IF(I1793 &gt; 0, "Yes", "No")</f>
        <v>Yes</v>
      </c>
      <c r="N1793" s="32">
        <f>G1793 - F1793</f>
        <v>61</v>
      </c>
      <c r="O1793">
        <v>1</v>
      </c>
    </row>
    <row r="1794" spans="1:15" x14ac:dyDescent="0.3">
      <c r="A1794" s="62" t="s">
        <v>3468</v>
      </c>
      <c r="B1794" s="77" t="s">
        <v>66</v>
      </c>
      <c r="C1794" s="77" t="s">
        <v>12</v>
      </c>
      <c r="D1794" s="62" t="s">
        <v>260</v>
      </c>
      <c r="E1794" s="62" t="s">
        <v>3469</v>
      </c>
      <c r="F1794" s="78">
        <v>44718</v>
      </c>
      <c r="G1794" s="78">
        <v>44779</v>
      </c>
      <c r="H1794" s="79" t="str">
        <f t="shared" si="69"/>
        <v>EVEN</v>
      </c>
      <c r="I1794" s="108">
        <v>0</v>
      </c>
      <c r="J1794" s="32" t="str">
        <f>UPPER(TEXT(F1794,"mmm")) &amp; " - " &amp; UPPER(TEXT(G1794,"mmm"))</f>
        <v>JUN - AUG</v>
      </c>
      <c r="K1794" s="32" t="s">
        <v>3137</v>
      </c>
      <c r="L1794" s="99" t="s">
        <v>3895</v>
      </c>
      <c r="M1794" s="32" t="str">
        <f t="shared" si="70"/>
        <v>No</v>
      </c>
      <c r="N1794" s="32">
        <f>G1794 - F1794</f>
        <v>61</v>
      </c>
      <c r="O1794">
        <v>1</v>
      </c>
    </row>
    <row r="1795" spans="1:15" x14ac:dyDescent="0.3">
      <c r="A1795" s="62" t="s">
        <v>3468</v>
      </c>
      <c r="B1795" s="77" t="s">
        <v>66</v>
      </c>
      <c r="C1795" s="77" t="s">
        <v>12</v>
      </c>
      <c r="D1795" s="62" t="s">
        <v>260</v>
      </c>
      <c r="E1795" s="62" t="s">
        <v>3470</v>
      </c>
      <c r="F1795" s="78">
        <v>45082</v>
      </c>
      <c r="G1795" s="78">
        <v>45135</v>
      </c>
      <c r="H1795" s="79" t="str">
        <f t="shared" si="69"/>
        <v>EVEN</v>
      </c>
      <c r="I1795" s="108">
        <v>70000</v>
      </c>
      <c r="J1795" s="32" t="str">
        <f>UPPER(TEXT(F1795,"mmm")) &amp; " - " &amp; UPPER(TEXT(G1795,"mmm"))</f>
        <v>JUN - JUL</v>
      </c>
      <c r="K1795" s="32" t="s">
        <v>3137</v>
      </c>
      <c r="L1795" s="99" t="s">
        <v>3895</v>
      </c>
      <c r="M1795" s="32" t="str">
        <f t="shared" si="70"/>
        <v>Yes</v>
      </c>
      <c r="N1795" s="32">
        <f>G1795 - F1795</f>
        <v>53</v>
      </c>
      <c r="O1795">
        <v>1</v>
      </c>
    </row>
    <row r="1796" spans="1:15" x14ac:dyDescent="0.3">
      <c r="A1796" s="62" t="s">
        <v>3014</v>
      </c>
      <c r="B1796" s="77" t="s">
        <v>66</v>
      </c>
      <c r="C1796" s="77" t="s">
        <v>12</v>
      </c>
      <c r="D1796" s="62" t="s">
        <v>3019</v>
      </c>
      <c r="E1796" s="62" t="s">
        <v>3020</v>
      </c>
      <c r="F1796" s="78">
        <v>45103</v>
      </c>
      <c r="G1796" s="78">
        <v>45124</v>
      </c>
      <c r="H1796" s="79" t="str">
        <f t="shared" si="69"/>
        <v>EVEN</v>
      </c>
      <c r="I1796" s="108">
        <v>0</v>
      </c>
      <c r="J1796" s="32" t="str">
        <f>UPPER(TEXT(F1796,"mmm")) &amp; " - " &amp; UPPER(TEXT(G1796,"mmm"))</f>
        <v>JUN - JUL</v>
      </c>
      <c r="K1796" s="32" t="s">
        <v>3137</v>
      </c>
      <c r="L1796" s="99" t="s">
        <v>3895</v>
      </c>
      <c r="M1796" s="32" t="str">
        <f t="shared" si="70"/>
        <v>No</v>
      </c>
      <c r="N1796" s="32">
        <f>G1796 - F1796</f>
        <v>21</v>
      </c>
      <c r="O1796">
        <v>1</v>
      </c>
    </row>
    <row r="1797" spans="1:15" x14ac:dyDescent="0.3">
      <c r="A1797" s="62" t="s">
        <v>3471</v>
      </c>
      <c r="B1797" s="77" t="s">
        <v>66</v>
      </c>
      <c r="C1797" s="77" t="s">
        <v>12</v>
      </c>
      <c r="D1797" s="62" t="s">
        <v>3472</v>
      </c>
      <c r="E1797" s="62" t="s">
        <v>3473</v>
      </c>
      <c r="F1797" s="78">
        <v>45111</v>
      </c>
      <c r="G1797" s="78">
        <v>45142</v>
      </c>
      <c r="H1797" s="79" t="str">
        <f t="shared" si="69"/>
        <v>EVEN</v>
      </c>
      <c r="I1797" s="108">
        <v>0</v>
      </c>
      <c r="J1797" s="32" t="str">
        <f>UPPER(TEXT(F1797,"mmm")) &amp; " - " &amp; UPPER(TEXT(G1797,"mmm"))</f>
        <v>JUL - AUG</v>
      </c>
      <c r="K1797" s="32" t="s">
        <v>3137</v>
      </c>
      <c r="L1797" s="99" t="s">
        <v>3895</v>
      </c>
      <c r="M1797" s="32" t="str">
        <f t="shared" si="70"/>
        <v>No</v>
      </c>
      <c r="N1797" s="32">
        <f>G1797 - F1797</f>
        <v>31</v>
      </c>
      <c r="O1797">
        <v>1</v>
      </c>
    </row>
    <row r="1798" spans="1:15" x14ac:dyDescent="0.3">
      <c r="A1798" s="62" t="s">
        <v>2823</v>
      </c>
      <c r="B1798" s="77" t="s">
        <v>66</v>
      </c>
      <c r="C1798" s="77" t="s">
        <v>12</v>
      </c>
      <c r="D1798" s="62" t="s">
        <v>3474</v>
      </c>
      <c r="E1798" s="62" t="s">
        <v>3475</v>
      </c>
      <c r="F1798" s="78">
        <v>45145</v>
      </c>
      <c r="G1798" s="78">
        <v>45187</v>
      </c>
      <c r="H1798" s="79" t="str">
        <f t="shared" si="69"/>
        <v>ODD</v>
      </c>
      <c r="I1798" s="108">
        <v>0</v>
      </c>
      <c r="J1798" s="32" t="str">
        <f>UPPER(TEXT(F1798,"mmm")) &amp; " - " &amp; UPPER(TEXT(G1798,"mmm"))</f>
        <v>AUG - SEP</v>
      </c>
      <c r="K1798" s="32" t="s">
        <v>3137</v>
      </c>
      <c r="L1798" s="99" t="s">
        <v>3895</v>
      </c>
      <c r="M1798" s="32" t="str">
        <f t="shared" si="70"/>
        <v>No</v>
      </c>
      <c r="N1798" s="32">
        <f>G1798 - F1798</f>
        <v>42</v>
      </c>
      <c r="O1798">
        <v>1</v>
      </c>
    </row>
    <row r="1799" spans="1:15" x14ac:dyDescent="0.3">
      <c r="A1799" s="62" t="s">
        <v>3026</v>
      </c>
      <c r="B1799" s="77" t="s">
        <v>66</v>
      </c>
      <c r="C1799" s="77" t="s">
        <v>12</v>
      </c>
      <c r="D1799" s="62" t="s">
        <v>3027</v>
      </c>
      <c r="E1799" s="62" t="s">
        <v>3028</v>
      </c>
      <c r="F1799" s="78">
        <v>44958</v>
      </c>
      <c r="G1799" s="78">
        <v>45046</v>
      </c>
      <c r="H1799" s="79" t="str">
        <f t="shared" si="69"/>
        <v>EVEN</v>
      </c>
      <c r="I1799" s="108">
        <v>0</v>
      </c>
      <c r="J1799" s="32" t="str">
        <f>UPPER(TEXT(F1799,"mmm")) &amp; " - " &amp; UPPER(TEXT(G1799,"mmm"))</f>
        <v>FEB - APR</v>
      </c>
      <c r="K1799" s="32" t="s">
        <v>3137</v>
      </c>
      <c r="L1799" s="99" t="s">
        <v>3895</v>
      </c>
      <c r="M1799" s="32" t="str">
        <f t="shared" si="70"/>
        <v>No</v>
      </c>
      <c r="N1799" s="32">
        <f>G1799 - F1799</f>
        <v>88</v>
      </c>
      <c r="O1799">
        <v>1</v>
      </c>
    </row>
    <row r="1800" spans="1:15" x14ac:dyDescent="0.3">
      <c r="A1800" s="62" t="s">
        <v>1448</v>
      </c>
      <c r="B1800" s="77" t="s">
        <v>66</v>
      </c>
      <c r="C1800" s="77" t="s">
        <v>12</v>
      </c>
      <c r="D1800" s="62" t="s">
        <v>3098</v>
      </c>
      <c r="E1800" s="62" t="s">
        <v>3099</v>
      </c>
      <c r="F1800" s="78">
        <v>45083</v>
      </c>
      <c r="G1800" s="78">
        <v>45173</v>
      </c>
      <c r="H1800" s="79" t="str">
        <f t="shared" si="69"/>
        <v>EVEN</v>
      </c>
      <c r="I1800" s="108">
        <v>26500</v>
      </c>
      <c r="J1800" s="32" t="str">
        <f>UPPER(TEXT(F1800,"mmm")) &amp; " - " &amp; UPPER(TEXT(G1800,"mmm"))</f>
        <v>JUN - SEP</v>
      </c>
      <c r="K1800" s="32" t="s">
        <v>3137</v>
      </c>
      <c r="L1800" s="99" t="s">
        <v>3895</v>
      </c>
      <c r="M1800" s="32" t="str">
        <f t="shared" si="70"/>
        <v>Yes</v>
      </c>
      <c r="N1800" s="32">
        <f>G1800 - F1800</f>
        <v>90</v>
      </c>
      <c r="O1800">
        <v>1</v>
      </c>
    </row>
    <row r="1801" spans="1:15" x14ac:dyDescent="0.3">
      <c r="A1801" s="62" t="s">
        <v>3089</v>
      </c>
      <c r="B1801" s="77" t="s">
        <v>66</v>
      </c>
      <c r="C1801" s="77" t="s">
        <v>12</v>
      </c>
      <c r="D1801" s="62" t="s">
        <v>3090</v>
      </c>
      <c r="E1801" s="62" t="s">
        <v>3091</v>
      </c>
      <c r="F1801" s="78">
        <v>45078</v>
      </c>
      <c r="G1801" s="78">
        <v>45139</v>
      </c>
      <c r="H1801" s="79" t="str">
        <f t="shared" si="69"/>
        <v>EVEN</v>
      </c>
      <c r="I1801" s="108">
        <v>8000</v>
      </c>
      <c r="J1801" s="32" t="str">
        <f>UPPER(TEXT(F1801,"mmm")) &amp; " - " &amp; UPPER(TEXT(G1801,"mmm"))</f>
        <v>JUN - AUG</v>
      </c>
      <c r="K1801" s="32" t="s">
        <v>3137</v>
      </c>
      <c r="L1801" s="99" t="s">
        <v>3895</v>
      </c>
      <c r="M1801" s="32" t="str">
        <f t="shared" si="70"/>
        <v>Yes</v>
      </c>
      <c r="N1801" s="32">
        <f>G1801 - F1801</f>
        <v>61</v>
      </c>
      <c r="O1801">
        <v>1</v>
      </c>
    </row>
    <row r="1802" spans="1:15" x14ac:dyDescent="0.3">
      <c r="A1802" s="62" t="s">
        <v>3300</v>
      </c>
      <c r="B1802" s="77" t="s">
        <v>66</v>
      </c>
      <c r="C1802" s="77" t="s">
        <v>12</v>
      </c>
      <c r="D1802" s="62" t="s">
        <v>3476</v>
      </c>
      <c r="E1802" s="62" t="s">
        <v>3477</v>
      </c>
      <c r="F1802" s="78">
        <v>45172</v>
      </c>
      <c r="G1802" s="78">
        <v>45233</v>
      </c>
      <c r="H1802" s="79" t="str">
        <f t="shared" si="69"/>
        <v>ODD</v>
      </c>
      <c r="I1802" s="108">
        <v>5000</v>
      </c>
      <c r="J1802" s="32" t="str">
        <f>UPPER(TEXT(F1802,"mmm")) &amp; " - " &amp; UPPER(TEXT(G1802,"mmm"))</f>
        <v>SEP - NOV</v>
      </c>
      <c r="K1802" s="32" t="s">
        <v>3137</v>
      </c>
      <c r="L1802" s="99" t="s">
        <v>3895</v>
      </c>
      <c r="M1802" s="32" t="str">
        <f t="shared" si="70"/>
        <v>Yes</v>
      </c>
      <c r="N1802" s="32">
        <f>G1802 - F1802</f>
        <v>61</v>
      </c>
      <c r="O1802">
        <v>1</v>
      </c>
    </row>
    <row r="1803" spans="1:15" x14ac:dyDescent="0.3">
      <c r="A1803" s="62" t="s">
        <v>2476</v>
      </c>
      <c r="B1803" s="77" t="s">
        <v>66</v>
      </c>
      <c r="C1803" s="77" t="s">
        <v>12</v>
      </c>
      <c r="D1803" s="62" t="s">
        <v>3129</v>
      </c>
      <c r="E1803" s="62" t="s">
        <v>2366</v>
      </c>
      <c r="F1803" s="78">
        <v>45078</v>
      </c>
      <c r="G1803" s="78">
        <v>45107</v>
      </c>
      <c r="H1803" s="79" t="str">
        <f t="shared" si="69"/>
        <v>EVEN</v>
      </c>
      <c r="I1803" s="108">
        <v>0</v>
      </c>
      <c r="J1803" s="32" t="str">
        <f>UPPER(TEXT(F1803,"mmm")) &amp; " - " &amp; UPPER(TEXT(G1803,"mmm"))</f>
        <v>JUN - JUN</v>
      </c>
      <c r="K1803" s="32" t="s">
        <v>3137</v>
      </c>
      <c r="L1803" s="99" t="s">
        <v>3895</v>
      </c>
      <c r="M1803" s="32" t="str">
        <f t="shared" si="70"/>
        <v>No</v>
      </c>
      <c r="N1803" s="32">
        <f>G1803 - F1803</f>
        <v>29</v>
      </c>
      <c r="O1803">
        <v>1</v>
      </c>
    </row>
    <row r="1804" spans="1:15" x14ac:dyDescent="0.3">
      <c r="A1804" s="62" t="s">
        <v>2815</v>
      </c>
      <c r="B1804" s="77" t="s">
        <v>66</v>
      </c>
      <c r="C1804" s="77" t="s">
        <v>12</v>
      </c>
      <c r="D1804" s="62" t="s">
        <v>2816</v>
      </c>
      <c r="E1804" s="62" t="s">
        <v>3478</v>
      </c>
      <c r="F1804" s="78">
        <v>45108</v>
      </c>
      <c r="G1804" s="78">
        <v>45142</v>
      </c>
      <c r="H1804" s="79" t="str">
        <f t="shared" si="69"/>
        <v>EVEN</v>
      </c>
      <c r="I1804" s="108">
        <v>0</v>
      </c>
      <c r="J1804" s="32" t="str">
        <f>UPPER(TEXT(F1804,"mmm")) &amp; " - " &amp; UPPER(TEXT(G1804,"mmm"))</f>
        <v>JUL - AUG</v>
      </c>
      <c r="K1804" s="32" t="s">
        <v>3137</v>
      </c>
      <c r="L1804" s="99" t="s">
        <v>3895</v>
      </c>
      <c r="M1804" s="32" t="str">
        <f t="shared" si="70"/>
        <v>No</v>
      </c>
      <c r="N1804" s="32">
        <f>G1804 - F1804</f>
        <v>34</v>
      </c>
      <c r="O1804">
        <v>1</v>
      </c>
    </row>
    <row r="1805" spans="1:15" x14ac:dyDescent="0.3">
      <c r="A1805" s="62" t="s">
        <v>3479</v>
      </c>
      <c r="B1805" s="77" t="s">
        <v>66</v>
      </c>
      <c r="C1805" s="77" t="s">
        <v>12</v>
      </c>
      <c r="D1805" s="62" t="s">
        <v>3480</v>
      </c>
      <c r="E1805" s="62" t="s">
        <v>2475</v>
      </c>
      <c r="F1805" s="78">
        <v>45185</v>
      </c>
      <c r="G1805" s="78">
        <v>45291</v>
      </c>
      <c r="H1805" s="79" t="str">
        <f t="shared" si="69"/>
        <v>ODD</v>
      </c>
      <c r="I1805" s="108">
        <v>0</v>
      </c>
      <c r="J1805" s="32" t="str">
        <f>UPPER(TEXT(F1805,"mmm")) &amp; " - " &amp; UPPER(TEXT(G1805,"mmm"))</f>
        <v>SEP - DEC</v>
      </c>
      <c r="K1805" s="32" t="s">
        <v>3137</v>
      </c>
      <c r="L1805" s="99" t="s">
        <v>3895</v>
      </c>
      <c r="M1805" s="32" t="str">
        <f t="shared" si="70"/>
        <v>No</v>
      </c>
      <c r="N1805" s="32">
        <f>G1805 - F1805</f>
        <v>106</v>
      </c>
      <c r="O1805">
        <v>1</v>
      </c>
    </row>
    <row r="1806" spans="1:15" x14ac:dyDescent="0.3">
      <c r="A1806" s="62" t="s">
        <v>2664</v>
      </c>
      <c r="B1806" s="77" t="s">
        <v>66</v>
      </c>
      <c r="C1806" s="77" t="s">
        <v>12</v>
      </c>
      <c r="D1806" s="62" t="s">
        <v>3481</v>
      </c>
      <c r="E1806" s="62" t="s">
        <v>3482</v>
      </c>
      <c r="F1806" s="78">
        <v>45169</v>
      </c>
      <c r="G1806" s="78">
        <v>45247</v>
      </c>
      <c r="H1806" s="79" t="str">
        <f t="shared" si="69"/>
        <v>ODD</v>
      </c>
      <c r="I1806" s="108">
        <v>1000</v>
      </c>
      <c r="J1806" s="32" t="str">
        <f>UPPER(TEXT(F1806,"mmm")) &amp; " - " &amp; UPPER(TEXT(G1806,"mmm"))</f>
        <v>AUG - NOV</v>
      </c>
      <c r="K1806" s="32" t="s">
        <v>3137</v>
      </c>
      <c r="L1806" s="99" t="s">
        <v>3895</v>
      </c>
      <c r="M1806" s="32" t="str">
        <f t="shared" si="70"/>
        <v>Yes</v>
      </c>
      <c r="N1806" s="32">
        <f>G1806 - F1806</f>
        <v>78</v>
      </c>
      <c r="O1806">
        <v>1</v>
      </c>
    </row>
    <row r="1807" spans="1:15" x14ac:dyDescent="0.3">
      <c r="A1807" s="62" t="s">
        <v>3065</v>
      </c>
      <c r="B1807" s="77" t="s">
        <v>66</v>
      </c>
      <c r="C1807" s="77" t="s">
        <v>12</v>
      </c>
      <c r="D1807" s="62" t="s">
        <v>3483</v>
      </c>
      <c r="E1807" s="62" t="s">
        <v>3484</v>
      </c>
      <c r="F1807" s="78">
        <v>45200</v>
      </c>
      <c r="G1807" s="78">
        <v>45291</v>
      </c>
      <c r="H1807" s="79" t="str">
        <f t="shared" si="69"/>
        <v>ODD</v>
      </c>
      <c r="I1807" s="108">
        <v>0</v>
      </c>
      <c r="J1807" s="32" t="str">
        <f>UPPER(TEXT(F1807,"mmm")) &amp; " - " &amp; UPPER(TEXT(G1807,"mmm"))</f>
        <v>OCT - DEC</v>
      </c>
      <c r="K1807" s="32" t="s">
        <v>3137</v>
      </c>
      <c r="L1807" s="99" t="s">
        <v>3895</v>
      </c>
      <c r="M1807" s="32" t="str">
        <f t="shared" si="70"/>
        <v>No</v>
      </c>
      <c r="N1807" s="32">
        <f>G1807 - F1807</f>
        <v>91</v>
      </c>
      <c r="O1807">
        <v>1</v>
      </c>
    </row>
    <row r="1808" spans="1:15" x14ac:dyDescent="0.3">
      <c r="A1808" s="62" t="s">
        <v>3065</v>
      </c>
      <c r="B1808" s="77" t="s">
        <v>66</v>
      </c>
      <c r="C1808" s="77" t="s">
        <v>12</v>
      </c>
      <c r="D1808" s="62" t="s">
        <v>3485</v>
      </c>
      <c r="E1808" s="62" t="s">
        <v>3486</v>
      </c>
      <c r="F1808" s="78">
        <v>45097</v>
      </c>
      <c r="G1808" s="78">
        <v>45139</v>
      </c>
      <c r="H1808" s="79" t="str">
        <f t="shared" si="69"/>
        <v>EVEN</v>
      </c>
      <c r="I1808" s="108">
        <v>0</v>
      </c>
      <c r="J1808" s="32" t="str">
        <f>UPPER(TEXT(F1808,"mmm")) &amp; " - " &amp; UPPER(TEXT(G1808,"mmm"))</f>
        <v>JUN - AUG</v>
      </c>
      <c r="K1808" s="32" t="s">
        <v>3137</v>
      </c>
      <c r="L1808" s="99" t="s">
        <v>3895</v>
      </c>
      <c r="M1808" s="32" t="str">
        <f t="shared" si="70"/>
        <v>No</v>
      </c>
      <c r="N1808" s="32">
        <f>G1808 - F1808</f>
        <v>42</v>
      </c>
      <c r="O1808">
        <v>1</v>
      </c>
    </row>
    <row r="1809" spans="1:15" x14ac:dyDescent="0.3">
      <c r="A1809" s="62" t="s">
        <v>3487</v>
      </c>
      <c r="B1809" s="77" t="s">
        <v>66</v>
      </c>
      <c r="C1809" s="77" t="s">
        <v>12</v>
      </c>
      <c r="D1809" s="62" t="s">
        <v>3488</v>
      </c>
      <c r="E1809" s="62" t="s">
        <v>1201</v>
      </c>
      <c r="F1809" s="78">
        <v>45170</v>
      </c>
      <c r="G1809" s="78">
        <v>45227</v>
      </c>
      <c r="H1809" s="79" t="str">
        <f t="shared" si="69"/>
        <v>ODD</v>
      </c>
      <c r="I1809" s="108">
        <v>0</v>
      </c>
      <c r="J1809" s="32" t="str">
        <f>UPPER(TEXT(F1809,"mmm")) &amp; " - " &amp; UPPER(TEXT(G1809,"mmm"))</f>
        <v>SEP - OCT</v>
      </c>
      <c r="K1809" s="32" t="s">
        <v>3137</v>
      </c>
      <c r="L1809" s="99" t="s">
        <v>3895</v>
      </c>
      <c r="M1809" s="32" t="str">
        <f t="shared" si="70"/>
        <v>No</v>
      </c>
      <c r="N1809" s="32">
        <f>G1809 - F1809</f>
        <v>57</v>
      </c>
      <c r="O1809">
        <v>1</v>
      </c>
    </row>
    <row r="1810" spans="1:15" x14ac:dyDescent="0.3">
      <c r="A1810" s="62" t="s">
        <v>3487</v>
      </c>
      <c r="B1810" s="77" t="s">
        <v>66</v>
      </c>
      <c r="C1810" s="77" t="s">
        <v>12</v>
      </c>
      <c r="D1810" s="62" t="s">
        <v>3489</v>
      </c>
      <c r="E1810" s="62" t="s">
        <v>1043</v>
      </c>
      <c r="F1810" s="78">
        <v>45139</v>
      </c>
      <c r="G1810" s="78">
        <v>45178</v>
      </c>
      <c r="H1810" s="79" t="str">
        <f t="shared" si="69"/>
        <v>ODD</v>
      </c>
      <c r="I1810" s="108">
        <v>0</v>
      </c>
      <c r="J1810" s="32" t="str">
        <f>UPPER(TEXT(F1810,"mmm")) &amp; " - " &amp; UPPER(TEXT(G1810,"mmm"))</f>
        <v>AUG - SEP</v>
      </c>
      <c r="K1810" s="32" t="s">
        <v>3137</v>
      </c>
      <c r="L1810" s="99" t="s">
        <v>3895</v>
      </c>
      <c r="M1810" s="32" t="str">
        <f t="shared" si="70"/>
        <v>No</v>
      </c>
      <c r="N1810" s="32">
        <f>G1810 - F1810</f>
        <v>39</v>
      </c>
      <c r="O1810">
        <v>1</v>
      </c>
    </row>
    <row r="1811" spans="1:15" x14ac:dyDescent="0.3">
      <c r="A1811" s="62" t="s">
        <v>3490</v>
      </c>
      <c r="B1811" s="77" t="s">
        <v>66</v>
      </c>
      <c r="C1811" s="77" t="s">
        <v>12</v>
      </c>
      <c r="D1811" s="62" t="s">
        <v>3491</v>
      </c>
      <c r="E1811" s="62" t="s">
        <v>3492</v>
      </c>
      <c r="F1811" s="78">
        <v>45279</v>
      </c>
      <c r="G1811" s="78">
        <v>45310</v>
      </c>
      <c r="H1811" s="79" t="str">
        <f t="shared" si="69"/>
        <v>ODD</v>
      </c>
      <c r="I1811" s="108">
        <v>0</v>
      </c>
      <c r="J1811" s="32" t="str">
        <f>UPPER(TEXT(F1811,"mmm")) &amp; " - " &amp; UPPER(TEXT(G1811,"mmm"))</f>
        <v>DEC - JAN</v>
      </c>
      <c r="K1811" s="32" t="s">
        <v>3137</v>
      </c>
      <c r="L1811" s="99" t="s">
        <v>3895</v>
      </c>
      <c r="M1811" s="32" t="str">
        <f t="shared" si="70"/>
        <v>No</v>
      </c>
      <c r="N1811" s="32">
        <f>G1811 - F1811</f>
        <v>31</v>
      </c>
      <c r="O1811">
        <v>1</v>
      </c>
    </row>
    <row r="1812" spans="1:15" x14ac:dyDescent="0.3">
      <c r="A1812" s="62" t="s">
        <v>3493</v>
      </c>
      <c r="B1812" s="77" t="s">
        <v>66</v>
      </c>
      <c r="C1812" s="77" t="s">
        <v>12</v>
      </c>
      <c r="D1812" s="62" t="s">
        <v>3494</v>
      </c>
      <c r="E1812" s="62" t="s">
        <v>3495</v>
      </c>
      <c r="F1812" s="78">
        <v>45278</v>
      </c>
      <c r="G1812" s="78">
        <v>45308</v>
      </c>
      <c r="H1812" s="79" t="str">
        <f t="shared" si="69"/>
        <v>ODD</v>
      </c>
      <c r="I1812" s="108">
        <v>0</v>
      </c>
      <c r="J1812" s="32" t="str">
        <f>UPPER(TEXT(F1812,"mmm")) &amp; " - " &amp; UPPER(TEXT(G1812,"mmm"))</f>
        <v>DEC - JAN</v>
      </c>
      <c r="K1812" s="32" t="s">
        <v>3137</v>
      </c>
      <c r="L1812" s="99" t="s">
        <v>3895</v>
      </c>
      <c r="M1812" s="32" t="str">
        <f t="shared" si="70"/>
        <v>No</v>
      </c>
      <c r="N1812" s="32">
        <f>G1812 - F1812</f>
        <v>30</v>
      </c>
      <c r="O1812">
        <v>1</v>
      </c>
    </row>
    <row r="1813" spans="1:15" x14ac:dyDescent="0.3">
      <c r="A1813" s="62" t="s">
        <v>3496</v>
      </c>
      <c r="B1813" s="77" t="s">
        <v>66</v>
      </c>
      <c r="C1813" s="77" t="s">
        <v>12</v>
      </c>
      <c r="D1813" s="62" t="s">
        <v>3497</v>
      </c>
      <c r="E1813" s="62" t="s">
        <v>3498</v>
      </c>
      <c r="F1813" s="78">
        <v>45287</v>
      </c>
      <c r="G1813" s="78">
        <v>45326</v>
      </c>
      <c r="H1813" s="79" t="str">
        <f t="shared" si="69"/>
        <v>ODD</v>
      </c>
      <c r="I1813" s="108">
        <v>3000</v>
      </c>
      <c r="J1813" s="32" t="str">
        <f>UPPER(TEXT(F1813,"mmm")) &amp; " - " &amp; UPPER(TEXT(G1813,"mmm"))</f>
        <v>DEC - FEB</v>
      </c>
      <c r="K1813" s="32" t="s">
        <v>3137</v>
      </c>
      <c r="L1813" s="99" t="s">
        <v>3895</v>
      </c>
      <c r="M1813" s="32" t="str">
        <f t="shared" si="70"/>
        <v>Yes</v>
      </c>
      <c r="N1813" s="32">
        <f>G1813 - F1813</f>
        <v>39</v>
      </c>
      <c r="O1813">
        <v>1</v>
      </c>
    </row>
    <row r="1814" spans="1:15" x14ac:dyDescent="0.3">
      <c r="A1814" s="62" t="s">
        <v>3499</v>
      </c>
      <c r="B1814" s="77" t="s">
        <v>66</v>
      </c>
      <c r="C1814" s="77" t="s">
        <v>12</v>
      </c>
      <c r="D1814" s="62" t="s">
        <v>3500</v>
      </c>
      <c r="E1814" s="62" t="s">
        <v>3501</v>
      </c>
      <c r="F1814" s="78">
        <v>45296</v>
      </c>
      <c r="G1814" s="78">
        <v>45327</v>
      </c>
      <c r="H1814" s="79" t="str">
        <f t="shared" si="69"/>
        <v>EVEN</v>
      </c>
      <c r="I1814" s="108">
        <v>0</v>
      </c>
      <c r="J1814" s="32" t="str">
        <f>UPPER(TEXT(F1814,"mmm")) &amp; " - " &amp; UPPER(TEXT(G1814,"mmm"))</f>
        <v>JAN - FEB</v>
      </c>
      <c r="K1814" s="32" t="s">
        <v>3137</v>
      </c>
      <c r="L1814" s="99" t="s">
        <v>3895</v>
      </c>
      <c r="M1814" s="32" t="str">
        <f t="shared" si="70"/>
        <v>No</v>
      </c>
      <c r="N1814" s="32">
        <f>G1814 - F1814</f>
        <v>31</v>
      </c>
      <c r="O1814">
        <v>1</v>
      </c>
    </row>
    <row r="1815" spans="1:15" x14ac:dyDescent="0.3">
      <c r="A1815" s="62" t="s">
        <v>3502</v>
      </c>
      <c r="B1815" s="77" t="s">
        <v>66</v>
      </c>
      <c r="C1815" s="77" t="s">
        <v>12</v>
      </c>
      <c r="D1815" s="62" t="s">
        <v>1042</v>
      </c>
      <c r="E1815" s="62" t="s">
        <v>3503</v>
      </c>
      <c r="F1815" s="78">
        <v>45323</v>
      </c>
      <c r="G1815" s="78">
        <v>45363</v>
      </c>
      <c r="H1815" s="79" t="str">
        <f t="shared" si="69"/>
        <v>EVEN</v>
      </c>
      <c r="I1815" s="108">
        <v>0</v>
      </c>
      <c r="J1815" s="32" t="str">
        <f>UPPER(TEXT(F1815,"mmm")) &amp; " - " &amp; UPPER(TEXT(G1815,"mmm"))</f>
        <v>FEB - MAR</v>
      </c>
      <c r="K1815" s="32" t="s">
        <v>3137</v>
      </c>
      <c r="L1815" s="99" t="s">
        <v>3895</v>
      </c>
      <c r="M1815" s="32" t="str">
        <f t="shared" si="70"/>
        <v>No</v>
      </c>
      <c r="N1815" s="32">
        <f>G1815 - F1815</f>
        <v>40</v>
      </c>
      <c r="O1815">
        <v>1</v>
      </c>
    </row>
    <row r="1816" spans="1:15" x14ac:dyDescent="0.3">
      <c r="A1816" s="62" t="s">
        <v>3504</v>
      </c>
      <c r="B1816" s="77" t="s">
        <v>66</v>
      </c>
      <c r="C1816" s="77" t="s">
        <v>12</v>
      </c>
      <c r="D1816" s="62" t="s">
        <v>1042</v>
      </c>
      <c r="E1816" s="62" t="s">
        <v>3505</v>
      </c>
      <c r="F1816" s="78">
        <v>45323</v>
      </c>
      <c r="G1816" s="78">
        <v>45363</v>
      </c>
      <c r="H1816" s="79" t="str">
        <f t="shared" si="69"/>
        <v>EVEN</v>
      </c>
      <c r="I1816" s="108">
        <v>0</v>
      </c>
      <c r="J1816" s="32" t="str">
        <f>UPPER(TEXT(F1816,"mmm")) &amp; " - " &amp; UPPER(TEXT(G1816,"mmm"))</f>
        <v>FEB - MAR</v>
      </c>
      <c r="K1816" s="32" t="s">
        <v>3137</v>
      </c>
      <c r="L1816" s="99" t="s">
        <v>3895</v>
      </c>
      <c r="M1816" s="32" t="str">
        <f t="shared" si="70"/>
        <v>No</v>
      </c>
      <c r="N1816" s="32">
        <f>G1816 - F1816</f>
        <v>40</v>
      </c>
      <c r="O1816">
        <v>1</v>
      </c>
    </row>
    <row r="1817" spans="1:15" x14ac:dyDescent="0.3">
      <c r="A1817" s="62" t="s">
        <v>3506</v>
      </c>
      <c r="B1817" s="77" t="s">
        <v>66</v>
      </c>
      <c r="C1817" s="77" t="s">
        <v>12</v>
      </c>
      <c r="D1817" s="62" t="s">
        <v>3507</v>
      </c>
      <c r="E1817" s="62" t="s">
        <v>3508</v>
      </c>
      <c r="F1817" s="78">
        <v>45281</v>
      </c>
      <c r="G1817" s="78">
        <v>45373</v>
      </c>
      <c r="H1817" s="79" t="str">
        <f t="shared" si="69"/>
        <v>ODD</v>
      </c>
      <c r="I1817" s="108">
        <v>0</v>
      </c>
      <c r="J1817" s="32" t="str">
        <f>UPPER(TEXT(F1817,"mmm")) &amp; " - " &amp; UPPER(TEXT(G1817,"mmm"))</f>
        <v>DEC - MAR</v>
      </c>
      <c r="K1817" s="32" t="s">
        <v>3137</v>
      </c>
      <c r="L1817" s="99" t="s">
        <v>3895</v>
      </c>
      <c r="M1817" s="32" t="str">
        <f t="shared" si="70"/>
        <v>No</v>
      </c>
      <c r="N1817" s="32">
        <f>G1817 - F1817</f>
        <v>92</v>
      </c>
      <c r="O1817">
        <v>1</v>
      </c>
    </row>
    <row r="1818" spans="1:15" x14ac:dyDescent="0.3">
      <c r="A1818" s="62" t="s">
        <v>3509</v>
      </c>
      <c r="B1818" s="77" t="s">
        <v>66</v>
      </c>
      <c r="C1818" s="77" t="s">
        <v>12</v>
      </c>
      <c r="D1818" s="62" t="s">
        <v>3510</v>
      </c>
      <c r="E1818" s="62" t="s">
        <v>3511</v>
      </c>
      <c r="F1818" s="78">
        <v>45224</v>
      </c>
      <c r="G1818" s="78">
        <v>45376</v>
      </c>
      <c r="H1818" s="79" t="str">
        <f t="shared" si="69"/>
        <v>ODD</v>
      </c>
      <c r="I1818" s="108">
        <v>0</v>
      </c>
      <c r="J1818" s="32" t="str">
        <f>UPPER(TEXT(F1818,"mmm")) &amp; " - " &amp; UPPER(TEXT(G1818,"mmm"))</f>
        <v>OCT - MAR</v>
      </c>
      <c r="K1818" s="32" t="s">
        <v>3137</v>
      </c>
      <c r="L1818" s="99" t="s">
        <v>3895</v>
      </c>
      <c r="M1818" s="32" t="str">
        <f t="shared" si="70"/>
        <v>No</v>
      </c>
      <c r="N1818" s="32">
        <f>G1818 - F1818</f>
        <v>152</v>
      </c>
      <c r="O1818">
        <v>1</v>
      </c>
    </row>
    <row r="1819" spans="1:15" x14ac:dyDescent="0.3">
      <c r="A1819" s="62" t="s">
        <v>3502</v>
      </c>
      <c r="B1819" s="77" t="s">
        <v>66</v>
      </c>
      <c r="C1819" s="77" t="s">
        <v>12</v>
      </c>
      <c r="D1819" s="62" t="s">
        <v>260</v>
      </c>
      <c r="E1819" s="62" t="s">
        <v>3512</v>
      </c>
      <c r="F1819" s="78">
        <v>45323</v>
      </c>
      <c r="G1819" s="78">
        <v>45385</v>
      </c>
      <c r="H1819" s="79" t="str">
        <f t="shared" si="69"/>
        <v>EVEN</v>
      </c>
      <c r="I1819" s="108">
        <v>0</v>
      </c>
      <c r="J1819" s="32" t="str">
        <f>UPPER(TEXT(F1819,"mmm")) &amp; " - " &amp; UPPER(TEXT(G1819,"mmm"))</f>
        <v>FEB - APR</v>
      </c>
      <c r="K1819" s="32" t="s">
        <v>3137</v>
      </c>
      <c r="L1819" s="99" t="s">
        <v>3895</v>
      </c>
      <c r="M1819" s="32" t="str">
        <f t="shared" si="70"/>
        <v>No</v>
      </c>
      <c r="N1819" s="32">
        <f>G1819 - F1819</f>
        <v>62</v>
      </c>
      <c r="O1819">
        <v>1</v>
      </c>
    </row>
    <row r="1820" spans="1:15" x14ac:dyDescent="0.3">
      <c r="A1820" s="62" t="s">
        <v>3513</v>
      </c>
      <c r="B1820" s="77" t="s">
        <v>66</v>
      </c>
      <c r="C1820" s="77" t="s">
        <v>12</v>
      </c>
      <c r="D1820" s="62" t="s">
        <v>260</v>
      </c>
      <c r="E1820" s="62" t="s">
        <v>3514</v>
      </c>
      <c r="F1820" s="78">
        <v>45352</v>
      </c>
      <c r="G1820" s="78">
        <v>45385</v>
      </c>
      <c r="H1820" s="79" t="str">
        <f t="shared" si="69"/>
        <v>EVEN</v>
      </c>
      <c r="I1820" s="108">
        <v>0</v>
      </c>
      <c r="J1820" s="32" t="str">
        <f>UPPER(TEXT(F1820,"mmm")) &amp; " - " &amp; UPPER(TEXT(G1820,"mmm"))</f>
        <v>MAR - APR</v>
      </c>
      <c r="K1820" s="32" t="s">
        <v>3137</v>
      </c>
      <c r="L1820" s="99" t="s">
        <v>3895</v>
      </c>
      <c r="M1820" s="32" t="str">
        <f t="shared" si="70"/>
        <v>No</v>
      </c>
      <c r="N1820" s="32">
        <f>G1820 - F1820</f>
        <v>33</v>
      </c>
      <c r="O1820">
        <v>1</v>
      </c>
    </row>
    <row r="1821" spans="1:15" x14ac:dyDescent="0.3">
      <c r="A1821" s="62" t="s">
        <v>2742</v>
      </c>
      <c r="B1821" s="77" t="s">
        <v>66</v>
      </c>
      <c r="C1821" s="77" t="s">
        <v>12</v>
      </c>
      <c r="D1821" s="62" t="s">
        <v>3515</v>
      </c>
      <c r="E1821" s="62" t="s">
        <v>3516</v>
      </c>
      <c r="F1821" s="78">
        <v>45327</v>
      </c>
      <c r="G1821" s="78">
        <v>45381</v>
      </c>
      <c r="H1821" s="79" t="str">
        <f t="shared" si="69"/>
        <v>EVEN</v>
      </c>
      <c r="I1821" s="108">
        <v>0</v>
      </c>
      <c r="J1821" s="32" t="str">
        <f>UPPER(TEXT(F1821,"mmm")) &amp; " - " &amp; UPPER(TEXT(G1821,"mmm"))</f>
        <v>FEB - MAR</v>
      </c>
      <c r="K1821" s="32" t="s">
        <v>3137</v>
      </c>
      <c r="L1821" s="99" t="s">
        <v>3895</v>
      </c>
      <c r="M1821" s="32" t="str">
        <f t="shared" si="70"/>
        <v>No</v>
      </c>
      <c r="N1821" s="32">
        <f>G1821 - F1821</f>
        <v>54</v>
      </c>
      <c r="O1821">
        <v>1</v>
      </c>
    </row>
    <row r="1822" spans="1:15" x14ac:dyDescent="0.3">
      <c r="A1822" s="62" t="s">
        <v>3502</v>
      </c>
      <c r="B1822" s="77" t="s">
        <v>66</v>
      </c>
      <c r="C1822" s="77" t="s">
        <v>12</v>
      </c>
      <c r="D1822" s="62" t="s">
        <v>3517</v>
      </c>
      <c r="E1822" s="62" t="s">
        <v>3518</v>
      </c>
      <c r="F1822" s="78">
        <v>45272</v>
      </c>
      <c r="G1822" s="78">
        <v>45394</v>
      </c>
      <c r="H1822" s="79" t="str">
        <f t="shared" si="69"/>
        <v>ODD</v>
      </c>
      <c r="I1822" s="108">
        <v>0</v>
      </c>
      <c r="J1822" s="32" t="str">
        <f>UPPER(TEXT(F1822,"mmm")) &amp; " - " &amp; UPPER(TEXT(G1822,"mmm"))</f>
        <v>DEC - APR</v>
      </c>
      <c r="K1822" s="32" t="s">
        <v>3137</v>
      </c>
      <c r="L1822" s="99" t="s">
        <v>3895</v>
      </c>
      <c r="M1822" s="32" t="str">
        <f t="shared" si="70"/>
        <v>No</v>
      </c>
      <c r="N1822" s="32">
        <f>G1822 - F1822</f>
        <v>122</v>
      </c>
      <c r="O1822">
        <v>1</v>
      </c>
    </row>
    <row r="1823" spans="1:15" x14ac:dyDescent="0.3">
      <c r="A1823" s="62" t="s">
        <v>2619</v>
      </c>
      <c r="B1823" s="77" t="s">
        <v>66</v>
      </c>
      <c r="C1823" s="77" t="s">
        <v>12</v>
      </c>
      <c r="D1823" s="62" t="s">
        <v>3519</v>
      </c>
      <c r="E1823" s="62" t="s">
        <v>3520</v>
      </c>
      <c r="F1823" s="78">
        <v>45261</v>
      </c>
      <c r="G1823" s="78">
        <v>45351</v>
      </c>
      <c r="H1823" s="79" t="str">
        <f t="shared" si="69"/>
        <v>ODD</v>
      </c>
      <c r="I1823" s="108">
        <v>5000</v>
      </c>
      <c r="J1823" s="32" t="str">
        <f>UPPER(TEXT(F1823,"mmm")) &amp; " - " &amp; UPPER(TEXT(G1823,"mmm"))</f>
        <v>DEC - FEB</v>
      </c>
      <c r="K1823" s="32" t="s">
        <v>3137</v>
      </c>
      <c r="L1823" s="99" t="s">
        <v>3895</v>
      </c>
      <c r="M1823" s="32" t="str">
        <f t="shared" si="70"/>
        <v>Yes</v>
      </c>
      <c r="N1823" s="32">
        <f>G1823 - F1823</f>
        <v>90</v>
      </c>
      <c r="O1823">
        <v>1</v>
      </c>
    </row>
    <row r="1824" spans="1:15" x14ac:dyDescent="0.3">
      <c r="A1824" s="62" t="s">
        <v>3308</v>
      </c>
      <c r="B1824" s="77" t="s">
        <v>66</v>
      </c>
      <c r="C1824" s="77" t="s">
        <v>12</v>
      </c>
      <c r="D1824" s="62" t="s">
        <v>3521</v>
      </c>
      <c r="E1824" s="62" t="s">
        <v>3522</v>
      </c>
      <c r="F1824" s="78">
        <v>45261</v>
      </c>
      <c r="G1824" s="78">
        <v>45351</v>
      </c>
      <c r="H1824" s="79" t="str">
        <f t="shared" si="69"/>
        <v>ODD</v>
      </c>
      <c r="I1824" s="108">
        <v>5000</v>
      </c>
      <c r="J1824" s="32" t="str">
        <f>UPPER(TEXT(F1824,"mmm")) &amp; " - " &amp; UPPER(TEXT(G1824,"mmm"))</f>
        <v>DEC - FEB</v>
      </c>
      <c r="K1824" s="32" t="s">
        <v>3137</v>
      </c>
      <c r="L1824" s="99" t="s">
        <v>3895</v>
      </c>
      <c r="M1824" s="32" t="str">
        <f t="shared" si="70"/>
        <v>Yes</v>
      </c>
      <c r="N1824" s="32">
        <f>G1824 - F1824</f>
        <v>90</v>
      </c>
      <c r="O1824">
        <v>1</v>
      </c>
    </row>
    <row r="1825" spans="1:15" x14ac:dyDescent="0.3">
      <c r="A1825" s="62" t="s">
        <v>2619</v>
      </c>
      <c r="B1825" s="77" t="s">
        <v>66</v>
      </c>
      <c r="C1825" s="77" t="s">
        <v>12</v>
      </c>
      <c r="D1825" s="62" t="s">
        <v>2247</v>
      </c>
      <c r="E1825" s="62" t="s">
        <v>3523</v>
      </c>
      <c r="F1825" s="78">
        <v>45108</v>
      </c>
      <c r="G1825" s="78">
        <v>45383</v>
      </c>
      <c r="H1825" s="79" t="str">
        <f t="shared" si="69"/>
        <v>EVEN</v>
      </c>
      <c r="I1825" s="108">
        <v>5000</v>
      </c>
      <c r="J1825" s="32" t="str">
        <f>UPPER(TEXT(F1825,"mmm")) &amp; " - " &amp; UPPER(TEXT(G1825,"mmm"))</f>
        <v>JUL - APR</v>
      </c>
      <c r="K1825" s="32" t="s">
        <v>3137</v>
      </c>
      <c r="L1825" s="99" t="s">
        <v>3895</v>
      </c>
      <c r="M1825" s="32" t="str">
        <f t="shared" si="70"/>
        <v>Yes</v>
      </c>
      <c r="N1825" s="32">
        <f>G1825 - F1825</f>
        <v>275</v>
      </c>
      <c r="O1825">
        <v>1</v>
      </c>
    </row>
    <row r="1826" spans="1:15" x14ac:dyDescent="0.3">
      <c r="A1826" s="62" t="s">
        <v>2847</v>
      </c>
      <c r="B1826" s="77" t="s">
        <v>66</v>
      </c>
      <c r="C1826" s="77" t="s">
        <v>12</v>
      </c>
      <c r="D1826" s="62" t="s">
        <v>3524</v>
      </c>
      <c r="E1826" s="62" t="s">
        <v>3503</v>
      </c>
      <c r="F1826" s="78">
        <v>45383</v>
      </c>
      <c r="G1826" s="78">
        <v>45412</v>
      </c>
      <c r="H1826" s="79" t="str">
        <f t="shared" si="69"/>
        <v>EVEN</v>
      </c>
      <c r="I1826" s="108">
        <v>0</v>
      </c>
      <c r="J1826" s="32" t="str">
        <f>UPPER(TEXT(F1826,"mmm")) &amp; " - " &amp; UPPER(TEXT(G1826,"mmm"))</f>
        <v>APR - APR</v>
      </c>
      <c r="K1826" s="32" t="s">
        <v>3137</v>
      </c>
      <c r="L1826" s="99" t="s">
        <v>3895</v>
      </c>
      <c r="M1826" s="32" t="str">
        <f t="shared" si="70"/>
        <v>No</v>
      </c>
      <c r="N1826" s="32">
        <f>G1826 - F1826</f>
        <v>29</v>
      </c>
      <c r="O1826">
        <v>1</v>
      </c>
    </row>
    <row r="1827" spans="1:15" x14ac:dyDescent="0.3">
      <c r="A1827" s="62" t="s">
        <v>3525</v>
      </c>
      <c r="B1827" s="77" t="s">
        <v>66</v>
      </c>
      <c r="C1827" s="77" t="s">
        <v>12</v>
      </c>
      <c r="D1827" s="62" t="s">
        <v>3526</v>
      </c>
      <c r="E1827" s="62" t="s">
        <v>1107</v>
      </c>
      <c r="F1827" s="78">
        <v>45361</v>
      </c>
      <c r="G1827" s="78">
        <v>45391</v>
      </c>
      <c r="H1827" s="79" t="str">
        <f t="shared" si="69"/>
        <v>EVEN</v>
      </c>
      <c r="I1827" s="108">
        <v>0</v>
      </c>
      <c r="J1827" s="32" t="str">
        <f>UPPER(TEXT(F1827,"mmm")) &amp; " - " &amp; UPPER(TEXT(G1827,"mmm"))</f>
        <v>MAR - APR</v>
      </c>
      <c r="K1827" s="32" t="s">
        <v>3137</v>
      </c>
      <c r="L1827" s="99" t="s">
        <v>3895</v>
      </c>
      <c r="M1827" s="32" t="str">
        <f t="shared" si="70"/>
        <v>No</v>
      </c>
      <c r="N1827" s="32">
        <f>G1827 - F1827</f>
        <v>30</v>
      </c>
      <c r="O1827">
        <v>1</v>
      </c>
    </row>
    <row r="1828" spans="1:15" x14ac:dyDescent="0.3">
      <c r="A1828" s="62" t="s">
        <v>3525</v>
      </c>
      <c r="B1828" s="77" t="s">
        <v>66</v>
      </c>
      <c r="C1828" s="77" t="s">
        <v>12</v>
      </c>
      <c r="D1828" s="62" t="s">
        <v>3527</v>
      </c>
      <c r="E1828" s="62" t="s">
        <v>1987</v>
      </c>
      <c r="F1828" s="78">
        <v>45209</v>
      </c>
      <c r="G1828" s="78">
        <v>45308</v>
      </c>
      <c r="H1828" s="79" t="str">
        <f t="shared" ref="H1828:H1891" si="71">IF(AND(F1828&gt;=DATE(2023,7,15), F1828&lt;=DATE(2023,12,31)), "ODD", "EVEN")</f>
        <v>ODD</v>
      </c>
      <c r="I1828" s="108">
        <v>0</v>
      </c>
      <c r="J1828" s="32" t="str">
        <f>UPPER(TEXT(F1828,"mmm")) &amp; " - " &amp; UPPER(TEXT(G1828,"mmm"))</f>
        <v>OCT - JAN</v>
      </c>
      <c r="K1828" s="32" t="s">
        <v>3137</v>
      </c>
      <c r="L1828" s="99" t="s">
        <v>3895</v>
      </c>
      <c r="M1828" s="32" t="str">
        <f t="shared" si="70"/>
        <v>No</v>
      </c>
      <c r="N1828" s="32">
        <f>G1828 - F1828</f>
        <v>99</v>
      </c>
      <c r="O1828">
        <v>1</v>
      </c>
    </row>
    <row r="1829" spans="1:15" x14ac:dyDescent="0.3">
      <c r="A1829" s="62" t="s">
        <v>3506</v>
      </c>
      <c r="B1829" s="77" t="s">
        <v>66</v>
      </c>
      <c r="C1829" s="77" t="s">
        <v>12</v>
      </c>
      <c r="D1829" s="62" t="s">
        <v>3528</v>
      </c>
      <c r="E1829" s="62" t="s">
        <v>3529</v>
      </c>
      <c r="F1829" s="78">
        <v>45368</v>
      </c>
      <c r="G1829" s="78">
        <v>45409</v>
      </c>
      <c r="H1829" s="79" t="str">
        <f t="shared" si="71"/>
        <v>EVEN</v>
      </c>
      <c r="I1829" s="108">
        <v>0</v>
      </c>
      <c r="J1829" s="32" t="str">
        <f>UPPER(TEXT(F1829,"mmm")) &amp; " - " &amp; UPPER(TEXT(G1829,"mmm"))</f>
        <v>MAR - APR</v>
      </c>
      <c r="K1829" s="32" t="s">
        <v>3137</v>
      </c>
      <c r="L1829" s="99" t="s">
        <v>3895</v>
      </c>
      <c r="M1829" s="32" t="str">
        <f t="shared" si="70"/>
        <v>No</v>
      </c>
      <c r="N1829" s="32">
        <f>G1829 - F1829</f>
        <v>41</v>
      </c>
      <c r="O1829">
        <v>1</v>
      </c>
    </row>
    <row r="1830" spans="1:15" x14ac:dyDescent="0.3">
      <c r="A1830" s="62" t="s">
        <v>1901</v>
      </c>
      <c r="B1830" s="77" t="s">
        <v>66</v>
      </c>
      <c r="C1830" s="77" t="s">
        <v>12</v>
      </c>
      <c r="D1830" s="62" t="s">
        <v>3530</v>
      </c>
      <c r="E1830" s="62" t="s">
        <v>3531</v>
      </c>
      <c r="F1830" s="78">
        <v>45108</v>
      </c>
      <c r="G1830" s="78">
        <v>45382</v>
      </c>
      <c r="H1830" s="79" t="str">
        <f t="shared" si="71"/>
        <v>EVEN</v>
      </c>
      <c r="I1830" s="108">
        <v>0</v>
      </c>
      <c r="J1830" s="32" t="str">
        <f>UPPER(TEXT(F1830,"mmm")) &amp; " - " &amp; UPPER(TEXT(G1830,"mmm"))</f>
        <v>JUL - MAR</v>
      </c>
      <c r="K1830" s="32" t="s">
        <v>3137</v>
      </c>
      <c r="L1830" s="99" t="s">
        <v>3895</v>
      </c>
      <c r="M1830" s="32" t="str">
        <f t="shared" si="70"/>
        <v>No</v>
      </c>
      <c r="N1830" s="32">
        <f>G1830 - F1830</f>
        <v>274</v>
      </c>
      <c r="O1830">
        <v>1</v>
      </c>
    </row>
    <row r="1831" spans="1:15" x14ac:dyDescent="0.3">
      <c r="A1831" s="62" t="s">
        <v>3454</v>
      </c>
      <c r="B1831" s="77" t="s">
        <v>66</v>
      </c>
      <c r="C1831" s="77" t="s">
        <v>12</v>
      </c>
      <c r="D1831" s="62" t="s">
        <v>3532</v>
      </c>
      <c r="E1831" s="62" t="s">
        <v>3533</v>
      </c>
      <c r="F1831" s="78">
        <v>45296</v>
      </c>
      <c r="G1831" s="78">
        <v>45383</v>
      </c>
      <c r="H1831" s="79" t="str">
        <f t="shared" si="71"/>
        <v>EVEN</v>
      </c>
      <c r="I1831" s="108">
        <v>0</v>
      </c>
      <c r="J1831" s="32" t="str">
        <f>UPPER(TEXT(F1831,"mmm")) &amp; " - " &amp; UPPER(TEXT(G1831,"mmm"))</f>
        <v>JAN - APR</v>
      </c>
      <c r="K1831" s="32" t="s">
        <v>3137</v>
      </c>
      <c r="L1831" s="99" t="s">
        <v>3895</v>
      </c>
      <c r="M1831" s="32" t="str">
        <f t="shared" si="70"/>
        <v>No</v>
      </c>
      <c r="N1831" s="32">
        <f>G1831 - F1831</f>
        <v>87</v>
      </c>
      <c r="O1831">
        <v>1</v>
      </c>
    </row>
    <row r="1832" spans="1:15" x14ac:dyDescent="0.3">
      <c r="A1832" s="62" t="s">
        <v>3534</v>
      </c>
      <c r="B1832" s="77" t="s">
        <v>66</v>
      </c>
      <c r="C1832" s="77" t="s">
        <v>12</v>
      </c>
      <c r="D1832" s="62" t="s">
        <v>3535</v>
      </c>
      <c r="E1832" s="62" t="s">
        <v>3536</v>
      </c>
      <c r="F1832" s="78">
        <v>45274</v>
      </c>
      <c r="G1832" s="78">
        <v>45305</v>
      </c>
      <c r="H1832" s="79" t="str">
        <f t="shared" si="71"/>
        <v>ODD</v>
      </c>
      <c r="I1832" s="108">
        <v>0</v>
      </c>
      <c r="J1832" s="32" t="str">
        <f>UPPER(TEXT(F1832,"mmm")) &amp; " - " &amp; UPPER(TEXT(G1832,"mmm"))</f>
        <v>DEC - JAN</v>
      </c>
      <c r="K1832" s="32" t="s">
        <v>3137</v>
      </c>
      <c r="L1832" s="99" t="s">
        <v>3895</v>
      </c>
      <c r="M1832" s="32" t="str">
        <f t="shared" si="70"/>
        <v>No</v>
      </c>
      <c r="N1832" s="32">
        <f>G1832 - F1832</f>
        <v>31</v>
      </c>
      <c r="O1832">
        <v>1</v>
      </c>
    </row>
    <row r="1833" spans="1:15" x14ac:dyDescent="0.3">
      <c r="A1833" s="62" t="s">
        <v>3537</v>
      </c>
      <c r="B1833" s="77" t="s">
        <v>66</v>
      </c>
      <c r="C1833" s="77" t="s">
        <v>12</v>
      </c>
      <c r="D1833" s="62" t="s">
        <v>3538</v>
      </c>
      <c r="E1833" s="62" t="s">
        <v>2583</v>
      </c>
      <c r="F1833" s="78">
        <v>45159</v>
      </c>
      <c r="G1833" s="78">
        <v>45378</v>
      </c>
      <c r="H1833" s="79" t="str">
        <f t="shared" si="71"/>
        <v>ODD</v>
      </c>
      <c r="I1833" s="108">
        <v>0</v>
      </c>
      <c r="J1833" s="32" t="str">
        <f>UPPER(TEXT(F1833,"mmm")) &amp; " - " &amp; UPPER(TEXT(G1833,"mmm"))</f>
        <v>AUG - MAR</v>
      </c>
      <c r="K1833" s="32" t="s">
        <v>3137</v>
      </c>
      <c r="L1833" s="99" t="s">
        <v>3895</v>
      </c>
      <c r="M1833" s="32" t="str">
        <f t="shared" si="70"/>
        <v>No</v>
      </c>
      <c r="N1833" s="32">
        <f>G1833 - F1833</f>
        <v>219</v>
      </c>
      <c r="O1833">
        <v>1</v>
      </c>
    </row>
    <row r="1834" spans="1:15" x14ac:dyDescent="0.3">
      <c r="A1834" s="62" t="s">
        <v>2847</v>
      </c>
      <c r="B1834" s="77" t="s">
        <v>66</v>
      </c>
      <c r="C1834" s="77" t="s">
        <v>12</v>
      </c>
      <c r="D1834" s="62" t="s">
        <v>3524</v>
      </c>
      <c r="E1834" s="62" t="s">
        <v>3271</v>
      </c>
      <c r="F1834" s="78">
        <v>45407</v>
      </c>
      <c r="G1834" s="78">
        <v>45437</v>
      </c>
      <c r="H1834" s="79" t="str">
        <f t="shared" si="71"/>
        <v>EVEN</v>
      </c>
      <c r="I1834" s="108">
        <v>0</v>
      </c>
      <c r="J1834" s="32" t="str">
        <f>UPPER(TEXT(F1834,"mmm")) &amp; " - " &amp; UPPER(TEXT(G1834,"mmm"))</f>
        <v>APR - MAY</v>
      </c>
      <c r="K1834" s="32" t="s">
        <v>3137</v>
      </c>
      <c r="L1834" s="99" t="s">
        <v>3895</v>
      </c>
      <c r="M1834" s="32" t="str">
        <f t="shared" si="70"/>
        <v>No</v>
      </c>
      <c r="N1834" s="32">
        <f>G1834 - F1834</f>
        <v>30</v>
      </c>
      <c r="O1834">
        <v>1</v>
      </c>
    </row>
    <row r="1835" spans="1:15" x14ac:dyDescent="0.3">
      <c r="A1835" s="62" t="s">
        <v>3539</v>
      </c>
      <c r="B1835" s="77" t="s">
        <v>66</v>
      </c>
      <c r="C1835" s="77" t="s">
        <v>12</v>
      </c>
      <c r="D1835" s="62" t="s">
        <v>1735</v>
      </c>
      <c r="E1835" s="62" t="s">
        <v>408</v>
      </c>
      <c r="F1835" s="78">
        <v>45407</v>
      </c>
      <c r="G1835" s="78">
        <v>45437</v>
      </c>
      <c r="H1835" s="79" t="str">
        <f t="shared" si="71"/>
        <v>EVEN</v>
      </c>
      <c r="I1835" s="108">
        <v>0</v>
      </c>
      <c r="J1835" s="32" t="str">
        <f>UPPER(TEXT(F1835,"mmm")) &amp; " - " &amp; UPPER(TEXT(G1835,"mmm"))</f>
        <v>APR - MAY</v>
      </c>
      <c r="K1835" s="32" t="s">
        <v>3137</v>
      </c>
      <c r="L1835" s="99" t="s">
        <v>3895</v>
      </c>
      <c r="M1835" s="32" t="str">
        <f t="shared" si="70"/>
        <v>No</v>
      </c>
      <c r="N1835" s="32">
        <f>G1835 - F1835</f>
        <v>30</v>
      </c>
      <c r="O1835">
        <v>1</v>
      </c>
    </row>
    <row r="1836" spans="1:15" x14ac:dyDescent="0.3">
      <c r="A1836" s="62" t="s">
        <v>3540</v>
      </c>
      <c r="B1836" s="77" t="s">
        <v>66</v>
      </c>
      <c r="C1836" s="77" t="s">
        <v>12</v>
      </c>
      <c r="D1836" s="62" t="s">
        <v>3541</v>
      </c>
      <c r="E1836" s="62" t="s">
        <v>393</v>
      </c>
      <c r="F1836" s="78">
        <v>45267</v>
      </c>
      <c r="G1836" s="78">
        <v>45303</v>
      </c>
      <c r="H1836" s="79" t="str">
        <f t="shared" si="71"/>
        <v>ODD</v>
      </c>
      <c r="I1836" s="108">
        <v>0</v>
      </c>
      <c r="J1836" s="32" t="str">
        <f>UPPER(TEXT(F1836,"mmm")) &amp; " - " &amp; UPPER(TEXT(G1836,"mmm"))</f>
        <v>DEC - JAN</v>
      </c>
      <c r="K1836" s="32" t="s">
        <v>3137</v>
      </c>
      <c r="L1836" s="99" t="s">
        <v>3895</v>
      </c>
      <c r="M1836" s="32" t="str">
        <f t="shared" si="70"/>
        <v>No</v>
      </c>
      <c r="N1836" s="32">
        <f>G1836 - F1836</f>
        <v>36</v>
      </c>
      <c r="O1836">
        <v>1</v>
      </c>
    </row>
    <row r="1837" spans="1:15" x14ac:dyDescent="0.3">
      <c r="A1837" s="62" t="s">
        <v>2658</v>
      </c>
      <c r="B1837" s="77" t="s">
        <v>66</v>
      </c>
      <c r="C1837" s="77" t="s">
        <v>12</v>
      </c>
      <c r="D1837" s="62" t="s">
        <v>2619</v>
      </c>
      <c r="E1837" s="62" t="s">
        <v>3542</v>
      </c>
      <c r="F1837" s="78">
        <v>45261</v>
      </c>
      <c r="G1837" s="78">
        <v>45351</v>
      </c>
      <c r="H1837" s="79" t="str">
        <f t="shared" si="71"/>
        <v>ODD</v>
      </c>
      <c r="I1837" s="108">
        <v>1666.67</v>
      </c>
      <c r="J1837" s="32" t="str">
        <f>UPPER(TEXT(F1837,"mmm")) &amp; " - " &amp; UPPER(TEXT(G1837,"mmm"))</f>
        <v>DEC - FEB</v>
      </c>
      <c r="K1837" s="32" t="s">
        <v>3137</v>
      </c>
      <c r="L1837" s="99" t="s">
        <v>3895</v>
      </c>
      <c r="M1837" s="32" t="str">
        <f t="shared" si="70"/>
        <v>Yes</v>
      </c>
      <c r="N1837" s="32">
        <f>G1837 - F1837</f>
        <v>90</v>
      </c>
      <c r="O1837">
        <v>1</v>
      </c>
    </row>
    <row r="1838" spans="1:15" x14ac:dyDescent="0.3">
      <c r="A1838" s="62" t="s">
        <v>3543</v>
      </c>
      <c r="B1838" s="77" t="s">
        <v>66</v>
      </c>
      <c r="C1838" s="77" t="s">
        <v>12</v>
      </c>
      <c r="D1838" s="62" t="s">
        <v>3544</v>
      </c>
      <c r="E1838" s="62" t="s">
        <v>1617</v>
      </c>
      <c r="F1838" s="78">
        <v>45299</v>
      </c>
      <c r="G1838" s="78">
        <v>45450</v>
      </c>
      <c r="H1838" s="79" t="str">
        <f t="shared" si="71"/>
        <v>EVEN</v>
      </c>
      <c r="I1838" s="108">
        <v>0</v>
      </c>
      <c r="J1838" s="32" t="str">
        <f>UPPER(TEXT(F1838,"mmm")) &amp; " - " &amp; UPPER(TEXT(G1838,"mmm"))</f>
        <v>JAN - JUN</v>
      </c>
      <c r="K1838" s="32" t="s">
        <v>3137</v>
      </c>
      <c r="L1838" s="99" t="s">
        <v>3895</v>
      </c>
      <c r="M1838" s="32" t="str">
        <f t="shared" si="70"/>
        <v>No</v>
      </c>
      <c r="N1838" s="32">
        <f>G1838 - F1838</f>
        <v>151</v>
      </c>
      <c r="O1838">
        <v>1</v>
      </c>
    </row>
    <row r="1839" spans="1:15" x14ac:dyDescent="0.3">
      <c r="A1839" s="62" t="s">
        <v>3502</v>
      </c>
      <c r="B1839" s="77" t="s">
        <v>66</v>
      </c>
      <c r="C1839" s="77" t="s">
        <v>12</v>
      </c>
      <c r="D1839" s="62" t="s">
        <v>3545</v>
      </c>
      <c r="E1839" s="62" t="s">
        <v>3546</v>
      </c>
      <c r="F1839" s="78">
        <v>45432</v>
      </c>
      <c r="G1839" s="78">
        <v>45492</v>
      </c>
      <c r="H1839" s="79" t="str">
        <f t="shared" si="71"/>
        <v>EVEN</v>
      </c>
      <c r="I1839" s="108">
        <v>0</v>
      </c>
      <c r="J1839" s="32" t="str">
        <f>UPPER(TEXT(F1839,"mmm")) &amp; " - " &amp; UPPER(TEXT(G1839,"mmm"))</f>
        <v>MAY - JUL</v>
      </c>
      <c r="K1839" s="32" t="s">
        <v>3137</v>
      </c>
      <c r="L1839" s="99" t="s">
        <v>3895</v>
      </c>
      <c r="M1839" s="32" t="str">
        <f t="shared" si="70"/>
        <v>No</v>
      </c>
      <c r="N1839" s="32">
        <f>G1839 - F1839</f>
        <v>60</v>
      </c>
      <c r="O1839">
        <v>1</v>
      </c>
    </row>
    <row r="1840" spans="1:15" x14ac:dyDescent="0.3">
      <c r="A1840" s="62" t="s">
        <v>2002</v>
      </c>
      <c r="B1840" s="77" t="s">
        <v>66</v>
      </c>
      <c r="C1840" s="77" t="s">
        <v>12</v>
      </c>
      <c r="D1840" s="62" t="s">
        <v>3547</v>
      </c>
      <c r="E1840" s="62" t="s">
        <v>3548</v>
      </c>
      <c r="F1840" s="78">
        <v>45427</v>
      </c>
      <c r="G1840" s="78">
        <v>45488</v>
      </c>
      <c r="H1840" s="79" t="str">
        <f t="shared" si="71"/>
        <v>EVEN</v>
      </c>
      <c r="I1840" s="108">
        <v>16000</v>
      </c>
      <c r="J1840" s="32" t="str">
        <f>UPPER(TEXT(F1840,"mmm")) &amp; " - " &amp; UPPER(TEXT(G1840,"mmm"))</f>
        <v>MAY - JUL</v>
      </c>
      <c r="K1840" s="32" t="s">
        <v>3137</v>
      </c>
      <c r="L1840" s="99" t="s">
        <v>3895</v>
      </c>
      <c r="M1840" s="32" t="str">
        <f t="shared" si="70"/>
        <v>Yes</v>
      </c>
      <c r="N1840" s="32">
        <f>G1840 - F1840</f>
        <v>61</v>
      </c>
      <c r="O1840">
        <v>1</v>
      </c>
    </row>
    <row r="1841" spans="1:15" x14ac:dyDescent="0.3">
      <c r="A1841" s="62" t="s">
        <v>3549</v>
      </c>
      <c r="B1841" s="77" t="s">
        <v>66</v>
      </c>
      <c r="C1841" s="77" t="s">
        <v>12</v>
      </c>
      <c r="D1841" s="62" t="s">
        <v>3550</v>
      </c>
      <c r="E1841" s="62" t="s">
        <v>3551</v>
      </c>
      <c r="F1841" s="78">
        <v>45439</v>
      </c>
      <c r="G1841" s="78">
        <v>45469</v>
      </c>
      <c r="H1841" s="79" t="str">
        <f t="shared" si="71"/>
        <v>EVEN</v>
      </c>
      <c r="I1841" s="108">
        <v>0</v>
      </c>
      <c r="J1841" s="32" t="str">
        <f>UPPER(TEXT(F1841,"mmm")) &amp; " - " &amp; UPPER(TEXT(G1841,"mmm"))</f>
        <v>MAY - JUN</v>
      </c>
      <c r="K1841" s="32" t="s">
        <v>3137</v>
      </c>
      <c r="L1841" s="99" t="s">
        <v>3895</v>
      </c>
      <c r="M1841" s="32" t="str">
        <f t="shared" si="70"/>
        <v>No</v>
      </c>
      <c r="N1841" s="32">
        <f>G1841 - F1841</f>
        <v>30</v>
      </c>
      <c r="O1841">
        <v>1</v>
      </c>
    </row>
    <row r="1842" spans="1:15" x14ac:dyDescent="0.3">
      <c r="A1842" s="62" t="s">
        <v>2522</v>
      </c>
      <c r="B1842" s="77" t="s">
        <v>66</v>
      </c>
      <c r="C1842" s="77" t="s">
        <v>12</v>
      </c>
      <c r="D1842" s="62" t="s">
        <v>3552</v>
      </c>
      <c r="E1842" s="62" t="s">
        <v>469</v>
      </c>
      <c r="F1842" s="78">
        <v>45439</v>
      </c>
      <c r="G1842" s="78">
        <v>45478</v>
      </c>
      <c r="H1842" s="79" t="str">
        <f t="shared" si="71"/>
        <v>EVEN</v>
      </c>
      <c r="I1842" s="108">
        <v>0</v>
      </c>
      <c r="J1842" s="32" t="str">
        <f>UPPER(TEXT(F1842,"mmm")) &amp; " - " &amp; UPPER(TEXT(G1842,"mmm"))</f>
        <v>MAY - JUL</v>
      </c>
      <c r="K1842" s="32" t="s">
        <v>3137</v>
      </c>
      <c r="L1842" s="99" t="s">
        <v>3895</v>
      </c>
      <c r="M1842" s="32" t="str">
        <f t="shared" si="70"/>
        <v>No</v>
      </c>
      <c r="N1842" s="32">
        <f>G1842 - F1842</f>
        <v>39</v>
      </c>
      <c r="O1842">
        <v>1</v>
      </c>
    </row>
    <row r="1843" spans="1:15" x14ac:dyDescent="0.3">
      <c r="A1843" s="62" t="s">
        <v>3553</v>
      </c>
      <c r="B1843" s="77" t="s">
        <v>66</v>
      </c>
      <c r="C1843" s="77" t="s">
        <v>12</v>
      </c>
      <c r="D1843" s="62" t="s">
        <v>3554</v>
      </c>
      <c r="E1843" s="62" t="s">
        <v>3555</v>
      </c>
      <c r="F1843" s="78">
        <v>45335</v>
      </c>
      <c r="G1843" s="78">
        <v>45412</v>
      </c>
      <c r="H1843" s="79" t="str">
        <f t="shared" si="71"/>
        <v>EVEN</v>
      </c>
      <c r="I1843" s="108">
        <v>0</v>
      </c>
      <c r="J1843" s="32" t="str">
        <f>UPPER(TEXT(F1843,"mmm")) &amp; " - " &amp; UPPER(TEXT(G1843,"mmm"))</f>
        <v>FEB - APR</v>
      </c>
      <c r="K1843" s="32" t="s">
        <v>3137</v>
      </c>
      <c r="L1843" s="99" t="s">
        <v>3895</v>
      </c>
      <c r="M1843" s="32" t="str">
        <f t="shared" si="70"/>
        <v>No</v>
      </c>
      <c r="N1843" s="32">
        <f>G1843 - F1843</f>
        <v>77</v>
      </c>
      <c r="O1843">
        <v>1</v>
      </c>
    </row>
    <row r="1844" spans="1:15" x14ac:dyDescent="0.3">
      <c r="A1844" s="62" t="s">
        <v>3300</v>
      </c>
      <c r="B1844" s="77" t="s">
        <v>66</v>
      </c>
      <c r="C1844" s="77" t="s">
        <v>12</v>
      </c>
      <c r="D1844" s="62" t="s">
        <v>2896</v>
      </c>
      <c r="E1844" s="62" t="s">
        <v>3556</v>
      </c>
      <c r="F1844" s="78">
        <v>45334</v>
      </c>
      <c r="G1844" s="78">
        <v>45394</v>
      </c>
      <c r="H1844" s="79" t="str">
        <f t="shared" si="71"/>
        <v>EVEN</v>
      </c>
      <c r="I1844" s="108">
        <v>0</v>
      </c>
      <c r="J1844" s="32" t="str">
        <f>UPPER(TEXT(F1844,"mmm")) &amp; " - " &amp; UPPER(TEXT(G1844,"mmm"))</f>
        <v>FEB - APR</v>
      </c>
      <c r="K1844" s="32" t="s">
        <v>3137</v>
      </c>
      <c r="L1844" s="99" t="s">
        <v>3895</v>
      </c>
      <c r="M1844" s="32" t="str">
        <f t="shared" si="70"/>
        <v>No</v>
      </c>
      <c r="N1844" s="32">
        <f>G1844 - F1844</f>
        <v>60</v>
      </c>
      <c r="O1844">
        <v>1</v>
      </c>
    </row>
    <row r="1845" spans="1:15" x14ac:dyDescent="0.3">
      <c r="A1845" s="62" t="s">
        <v>3427</v>
      </c>
      <c r="B1845" s="77" t="s">
        <v>66</v>
      </c>
      <c r="C1845" s="77" t="s">
        <v>12</v>
      </c>
      <c r="D1845" s="62" t="s">
        <v>3557</v>
      </c>
      <c r="E1845" s="62" t="s">
        <v>3558</v>
      </c>
      <c r="F1845" s="78">
        <v>45432</v>
      </c>
      <c r="G1845" s="78">
        <v>45485</v>
      </c>
      <c r="H1845" s="79" t="str">
        <f t="shared" si="71"/>
        <v>EVEN</v>
      </c>
      <c r="I1845" s="108">
        <v>0</v>
      </c>
      <c r="J1845" s="32" t="str">
        <f>UPPER(TEXT(F1845,"mmm")) &amp; " - " &amp; UPPER(TEXT(G1845,"mmm"))</f>
        <v>MAY - JUL</v>
      </c>
      <c r="K1845" s="32" t="s">
        <v>3137</v>
      </c>
      <c r="L1845" s="99" t="s">
        <v>3895</v>
      </c>
      <c r="M1845" s="32" t="str">
        <f t="shared" si="70"/>
        <v>No</v>
      </c>
      <c r="N1845" s="32">
        <f>G1845 - F1845</f>
        <v>53</v>
      </c>
      <c r="O1845">
        <v>1</v>
      </c>
    </row>
    <row r="1846" spans="1:15" x14ac:dyDescent="0.3">
      <c r="A1846" s="62" t="s">
        <v>2459</v>
      </c>
      <c r="B1846" s="77" t="s">
        <v>66</v>
      </c>
      <c r="C1846" s="77" t="s">
        <v>12</v>
      </c>
      <c r="D1846" s="62" t="s">
        <v>3559</v>
      </c>
      <c r="E1846" s="62" t="s">
        <v>3560</v>
      </c>
      <c r="F1846" s="78">
        <v>45453</v>
      </c>
      <c r="G1846" s="78">
        <v>45499</v>
      </c>
      <c r="H1846" s="79" t="str">
        <f t="shared" si="71"/>
        <v>EVEN</v>
      </c>
      <c r="I1846" s="108">
        <v>0</v>
      </c>
      <c r="J1846" s="32" t="str">
        <f>UPPER(TEXT(F1846,"mmm")) &amp; " - " &amp; UPPER(TEXT(G1846,"mmm"))</f>
        <v>JUN - JUL</v>
      </c>
      <c r="K1846" s="32" t="s">
        <v>3137</v>
      </c>
      <c r="L1846" s="99" t="s">
        <v>3895</v>
      </c>
      <c r="M1846" s="32" t="str">
        <f t="shared" si="70"/>
        <v>No</v>
      </c>
      <c r="N1846" s="32">
        <f>G1846 - F1846</f>
        <v>46</v>
      </c>
      <c r="O1846">
        <v>1</v>
      </c>
    </row>
    <row r="1847" spans="1:15" x14ac:dyDescent="0.3">
      <c r="A1847" s="62" t="s">
        <v>3285</v>
      </c>
      <c r="B1847" s="77" t="s">
        <v>66</v>
      </c>
      <c r="C1847" s="77" t="s">
        <v>12</v>
      </c>
      <c r="D1847" s="62" t="s">
        <v>3561</v>
      </c>
      <c r="E1847" s="62" t="s">
        <v>3562</v>
      </c>
      <c r="F1847" s="78">
        <v>45215</v>
      </c>
      <c r="G1847" s="78">
        <v>45246</v>
      </c>
      <c r="H1847" s="79" t="str">
        <f t="shared" si="71"/>
        <v>ODD</v>
      </c>
      <c r="I1847" s="108">
        <v>0</v>
      </c>
      <c r="J1847" s="32" t="str">
        <f>UPPER(TEXT(F1847,"mmm")) &amp; " - " &amp; UPPER(TEXT(G1847,"mmm"))</f>
        <v>OCT - NOV</v>
      </c>
      <c r="K1847" s="32" t="s">
        <v>3137</v>
      </c>
      <c r="L1847" s="99" t="s">
        <v>3895</v>
      </c>
      <c r="M1847" s="32" t="str">
        <f t="shared" si="70"/>
        <v>No</v>
      </c>
      <c r="N1847" s="32">
        <f>G1847 - F1847</f>
        <v>31</v>
      </c>
      <c r="O1847">
        <v>1</v>
      </c>
    </row>
    <row r="1848" spans="1:15" x14ac:dyDescent="0.3">
      <c r="A1848" s="62" t="s">
        <v>3285</v>
      </c>
      <c r="B1848" s="77" t="s">
        <v>66</v>
      </c>
      <c r="C1848" s="77" t="s">
        <v>12</v>
      </c>
      <c r="D1848" s="62" t="s">
        <v>1735</v>
      </c>
      <c r="E1848" s="62" t="s">
        <v>3503</v>
      </c>
      <c r="F1848" s="78">
        <v>45166</v>
      </c>
      <c r="G1848" s="78">
        <v>45199</v>
      </c>
      <c r="H1848" s="79" t="str">
        <f t="shared" si="71"/>
        <v>ODD</v>
      </c>
      <c r="I1848" s="108">
        <v>0</v>
      </c>
      <c r="J1848" s="32" t="str">
        <f>UPPER(TEXT(F1848,"mmm")) &amp; " - " &amp; UPPER(TEXT(G1848,"mmm"))</f>
        <v>AUG - SEP</v>
      </c>
      <c r="K1848" s="32" t="s">
        <v>3137</v>
      </c>
      <c r="L1848" s="99" t="s">
        <v>3895</v>
      </c>
      <c r="M1848" s="32" t="str">
        <f t="shared" si="70"/>
        <v>No</v>
      </c>
      <c r="N1848" s="32">
        <f>G1848 - F1848</f>
        <v>33</v>
      </c>
      <c r="O1848">
        <v>1</v>
      </c>
    </row>
    <row r="1849" spans="1:15" x14ac:dyDescent="0.3">
      <c r="A1849" s="62" t="s">
        <v>3285</v>
      </c>
      <c r="B1849" s="77" t="s">
        <v>66</v>
      </c>
      <c r="C1849" s="77" t="s">
        <v>12</v>
      </c>
      <c r="D1849" s="62" t="s">
        <v>3563</v>
      </c>
      <c r="E1849" s="62" t="s">
        <v>3564</v>
      </c>
      <c r="F1849" s="78">
        <v>45432</v>
      </c>
      <c r="G1849" s="78">
        <v>45492</v>
      </c>
      <c r="H1849" s="79" t="str">
        <f t="shared" si="71"/>
        <v>EVEN</v>
      </c>
      <c r="I1849" s="108">
        <v>0</v>
      </c>
      <c r="J1849" s="32" t="str">
        <f>UPPER(TEXT(F1849,"mmm")) &amp; " - " &amp; UPPER(TEXT(G1849,"mmm"))</f>
        <v>MAY - JUL</v>
      </c>
      <c r="K1849" s="32" t="s">
        <v>3137</v>
      </c>
      <c r="L1849" s="99" t="s">
        <v>3895</v>
      </c>
      <c r="M1849" s="32" t="str">
        <f t="shared" si="70"/>
        <v>No</v>
      </c>
      <c r="N1849" s="32">
        <f>G1849 - F1849</f>
        <v>60</v>
      </c>
      <c r="O1849">
        <v>1</v>
      </c>
    </row>
    <row r="1850" spans="1:15" x14ac:dyDescent="0.3">
      <c r="A1850" s="62" t="s">
        <v>3565</v>
      </c>
      <c r="B1850" s="77" t="s">
        <v>66</v>
      </c>
      <c r="C1850" s="77" t="s">
        <v>12</v>
      </c>
      <c r="D1850" s="62" t="s">
        <v>3335</v>
      </c>
      <c r="E1850" s="62" t="s">
        <v>3566</v>
      </c>
      <c r="F1850" s="78">
        <v>45117</v>
      </c>
      <c r="G1850" s="78">
        <v>45291</v>
      </c>
      <c r="H1850" s="79" t="str">
        <f t="shared" si="71"/>
        <v>EVEN</v>
      </c>
      <c r="I1850" s="108">
        <v>0</v>
      </c>
      <c r="J1850" s="32" t="str">
        <f>UPPER(TEXT(F1850,"mmm")) &amp; " - " &amp; UPPER(TEXT(G1850,"mmm"))</f>
        <v>JUL - DEC</v>
      </c>
      <c r="K1850" s="32" t="s">
        <v>3137</v>
      </c>
      <c r="L1850" s="99" t="s">
        <v>3895</v>
      </c>
      <c r="M1850" s="32" t="str">
        <f t="shared" si="70"/>
        <v>No</v>
      </c>
      <c r="N1850" s="32">
        <f>G1850 - F1850</f>
        <v>174</v>
      </c>
      <c r="O1850">
        <v>1</v>
      </c>
    </row>
    <row r="1851" spans="1:15" x14ac:dyDescent="0.3">
      <c r="A1851" s="62" t="s">
        <v>2445</v>
      </c>
      <c r="B1851" s="77" t="s">
        <v>66</v>
      </c>
      <c r="C1851" s="77" t="s">
        <v>12</v>
      </c>
      <c r="D1851" s="62" t="s">
        <v>3567</v>
      </c>
      <c r="E1851" s="62" t="s">
        <v>3568</v>
      </c>
      <c r="F1851" s="78">
        <v>45170</v>
      </c>
      <c r="G1851" s="78">
        <v>45327</v>
      </c>
      <c r="H1851" s="79" t="str">
        <f t="shared" si="71"/>
        <v>ODD</v>
      </c>
      <c r="I1851" s="108">
        <v>200</v>
      </c>
      <c r="J1851" s="32" t="str">
        <f>UPPER(TEXT(F1851,"mmm")) &amp; " - " &amp; UPPER(TEXT(G1851,"mmm"))</f>
        <v>SEP - FEB</v>
      </c>
      <c r="K1851" s="32" t="s">
        <v>3137</v>
      </c>
      <c r="L1851" s="99" t="s">
        <v>3895</v>
      </c>
      <c r="M1851" s="32" t="str">
        <f t="shared" si="70"/>
        <v>Yes</v>
      </c>
      <c r="N1851" s="32">
        <f>G1851 - F1851</f>
        <v>157</v>
      </c>
      <c r="O1851">
        <v>1</v>
      </c>
    </row>
    <row r="1852" spans="1:15" x14ac:dyDescent="0.3">
      <c r="A1852" s="62" t="s">
        <v>3543</v>
      </c>
      <c r="B1852" s="77" t="s">
        <v>66</v>
      </c>
      <c r="C1852" s="77" t="s">
        <v>12</v>
      </c>
      <c r="D1852" s="62" t="s">
        <v>3544</v>
      </c>
      <c r="E1852" s="62" t="s">
        <v>1617</v>
      </c>
      <c r="F1852" s="78">
        <v>45299</v>
      </c>
      <c r="G1852" s="78">
        <v>45450</v>
      </c>
      <c r="H1852" s="79" t="str">
        <f t="shared" si="71"/>
        <v>EVEN</v>
      </c>
      <c r="I1852" s="108">
        <v>0</v>
      </c>
      <c r="J1852" s="32" t="str">
        <f>UPPER(TEXT(F1852,"mmm")) &amp; " - " &amp; UPPER(TEXT(G1852,"mmm"))</f>
        <v>JAN - JUN</v>
      </c>
      <c r="K1852" s="32" t="s">
        <v>3137</v>
      </c>
      <c r="L1852" s="99" t="s">
        <v>3895</v>
      </c>
      <c r="M1852" s="32" t="str">
        <f t="shared" si="70"/>
        <v>No</v>
      </c>
      <c r="N1852" s="32">
        <f>G1852 - F1852</f>
        <v>151</v>
      </c>
      <c r="O1852">
        <v>1</v>
      </c>
    </row>
    <row r="1853" spans="1:15" x14ac:dyDescent="0.3">
      <c r="A1853" s="62" t="s">
        <v>3569</v>
      </c>
      <c r="B1853" s="77" t="s">
        <v>66</v>
      </c>
      <c r="C1853" s="77" t="s">
        <v>12</v>
      </c>
      <c r="D1853" s="62" t="s">
        <v>3335</v>
      </c>
      <c r="E1853" s="62" t="s">
        <v>3570</v>
      </c>
      <c r="F1853" s="78">
        <v>45117</v>
      </c>
      <c r="G1853" s="78">
        <v>45473</v>
      </c>
      <c r="H1853" s="79" t="str">
        <f t="shared" si="71"/>
        <v>EVEN</v>
      </c>
      <c r="I1853" s="108">
        <v>0</v>
      </c>
      <c r="J1853" s="32" t="str">
        <f>UPPER(TEXT(F1853,"mmm")) &amp; " - " &amp; UPPER(TEXT(G1853,"mmm"))</f>
        <v>JUL - JUN</v>
      </c>
      <c r="K1853" s="32" t="s">
        <v>3137</v>
      </c>
      <c r="L1853" s="99" t="s">
        <v>3895</v>
      </c>
      <c r="M1853" s="32" t="str">
        <f t="shared" si="70"/>
        <v>No</v>
      </c>
      <c r="N1853" s="32">
        <f>G1853 - F1853</f>
        <v>356</v>
      </c>
      <c r="O1853">
        <v>1</v>
      </c>
    </row>
    <row r="1854" spans="1:15" x14ac:dyDescent="0.3">
      <c r="A1854" s="62" t="s">
        <v>3571</v>
      </c>
      <c r="B1854" s="77" t="s">
        <v>66</v>
      </c>
      <c r="C1854" s="77" t="s">
        <v>12</v>
      </c>
      <c r="D1854" s="62" t="s">
        <v>3572</v>
      </c>
      <c r="E1854" s="62" t="s">
        <v>3573</v>
      </c>
      <c r="F1854" s="78">
        <v>45432</v>
      </c>
      <c r="G1854" s="78">
        <v>45498</v>
      </c>
      <c r="H1854" s="79" t="str">
        <f t="shared" si="71"/>
        <v>EVEN</v>
      </c>
      <c r="I1854" s="108">
        <v>0</v>
      </c>
      <c r="J1854" s="32" t="str">
        <f>UPPER(TEXT(F1854,"mmm")) &amp; " - " &amp; UPPER(TEXT(G1854,"mmm"))</f>
        <v>MAY - JUL</v>
      </c>
      <c r="K1854" s="32" t="s">
        <v>3137</v>
      </c>
      <c r="L1854" s="99" t="s">
        <v>3895</v>
      </c>
      <c r="M1854" s="32" t="str">
        <f t="shared" si="70"/>
        <v>No</v>
      </c>
      <c r="N1854" s="32">
        <f>G1854 - F1854</f>
        <v>66</v>
      </c>
      <c r="O1854">
        <v>1</v>
      </c>
    </row>
    <row r="1855" spans="1:15" x14ac:dyDescent="0.3">
      <c r="A1855" s="62" t="s">
        <v>3537</v>
      </c>
      <c r="B1855" s="77" t="s">
        <v>66</v>
      </c>
      <c r="C1855" s="77" t="s">
        <v>12</v>
      </c>
      <c r="D1855" s="62" t="s">
        <v>3574</v>
      </c>
      <c r="E1855" s="62" t="s">
        <v>3575</v>
      </c>
      <c r="F1855" s="78">
        <v>45453</v>
      </c>
      <c r="G1855" s="78">
        <v>45499</v>
      </c>
      <c r="H1855" s="79" t="str">
        <f t="shared" si="71"/>
        <v>EVEN</v>
      </c>
      <c r="I1855" s="108">
        <v>0</v>
      </c>
      <c r="J1855" s="32" t="str">
        <f>UPPER(TEXT(F1855,"mmm")) &amp; " - " &amp; UPPER(TEXT(G1855,"mmm"))</f>
        <v>JUN - JUL</v>
      </c>
      <c r="K1855" s="32" t="s">
        <v>3137</v>
      </c>
      <c r="L1855" s="99" t="s">
        <v>3895</v>
      </c>
      <c r="M1855" s="32" t="str">
        <f t="shared" si="70"/>
        <v>No</v>
      </c>
      <c r="N1855" s="32">
        <f>G1855 - F1855</f>
        <v>46</v>
      </c>
      <c r="O1855">
        <v>1</v>
      </c>
    </row>
    <row r="1856" spans="1:15" x14ac:dyDescent="0.3">
      <c r="A1856" s="62" t="s">
        <v>3576</v>
      </c>
      <c r="B1856" s="77" t="s">
        <v>66</v>
      </c>
      <c r="C1856" s="77" t="s">
        <v>12</v>
      </c>
      <c r="D1856" s="62" t="s">
        <v>3577</v>
      </c>
      <c r="E1856" s="62" t="s">
        <v>3578</v>
      </c>
      <c r="F1856" s="78">
        <v>45295</v>
      </c>
      <c r="G1856" s="78">
        <v>45488</v>
      </c>
      <c r="H1856" s="79" t="str">
        <f t="shared" si="71"/>
        <v>EVEN</v>
      </c>
      <c r="I1856" s="108">
        <v>5000</v>
      </c>
      <c r="J1856" s="32" t="str">
        <f>UPPER(TEXT(F1856,"mmm")) &amp; " - " &amp; UPPER(TEXT(G1856,"mmm"))</f>
        <v>JAN - JUL</v>
      </c>
      <c r="K1856" s="32" t="s">
        <v>3137</v>
      </c>
      <c r="L1856" s="99" t="s">
        <v>3895</v>
      </c>
      <c r="M1856" s="32" t="str">
        <f t="shared" si="70"/>
        <v>Yes</v>
      </c>
      <c r="N1856" s="32">
        <f>G1856 - F1856</f>
        <v>193</v>
      </c>
      <c r="O1856">
        <v>1</v>
      </c>
    </row>
    <row r="1857" spans="1:15" x14ac:dyDescent="0.3">
      <c r="A1857" s="62" t="s">
        <v>3579</v>
      </c>
      <c r="B1857" s="77" t="s">
        <v>66</v>
      </c>
      <c r="C1857" s="77" t="s">
        <v>12</v>
      </c>
      <c r="D1857" s="62" t="s">
        <v>3580</v>
      </c>
      <c r="E1857" s="62" t="s">
        <v>3581</v>
      </c>
      <c r="F1857" s="78">
        <v>45427</v>
      </c>
      <c r="G1857" s="78">
        <v>45488</v>
      </c>
      <c r="H1857" s="79" t="str">
        <f t="shared" si="71"/>
        <v>EVEN</v>
      </c>
      <c r="I1857" s="108">
        <v>0</v>
      </c>
      <c r="J1857" s="32" t="str">
        <f>UPPER(TEXT(F1857,"mmm")) &amp; " - " &amp; UPPER(TEXT(G1857,"mmm"))</f>
        <v>MAY - JUL</v>
      </c>
      <c r="K1857" s="32" t="s">
        <v>3137</v>
      </c>
      <c r="L1857" s="99" t="s">
        <v>3895</v>
      </c>
      <c r="M1857" s="32" t="str">
        <f t="shared" ref="M1857:M1920" si="72">IF(I1857 &gt; 0, "Yes", "No")</f>
        <v>No</v>
      </c>
      <c r="N1857" s="32">
        <f>G1857 - F1857</f>
        <v>61</v>
      </c>
      <c r="O1857">
        <v>1</v>
      </c>
    </row>
    <row r="1858" spans="1:15" x14ac:dyDescent="0.3">
      <c r="A1858" s="62" t="s">
        <v>2551</v>
      </c>
      <c r="B1858" s="77" t="s">
        <v>66</v>
      </c>
      <c r="C1858" s="77" t="s">
        <v>12</v>
      </c>
      <c r="D1858" s="62" t="s">
        <v>3582</v>
      </c>
      <c r="E1858" s="62" t="s">
        <v>3583</v>
      </c>
      <c r="F1858" s="78">
        <v>45463</v>
      </c>
      <c r="G1858" s="78">
        <v>45496</v>
      </c>
      <c r="H1858" s="79" t="str">
        <f t="shared" si="71"/>
        <v>EVEN</v>
      </c>
      <c r="I1858" s="108">
        <v>0</v>
      </c>
      <c r="J1858" s="32" t="str">
        <f>UPPER(TEXT(F1858,"mmm")) &amp; " - " &amp; UPPER(TEXT(G1858,"mmm"))</f>
        <v>JUN - JUL</v>
      </c>
      <c r="K1858" s="32" t="s">
        <v>3137</v>
      </c>
      <c r="L1858" s="99" t="s">
        <v>3895</v>
      </c>
      <c r="M1858" s="32" t="str">
        <f t="shared" si="72"/>
        <v>No</v>
      </c>
      <c r="N1858" s="32">
        <f>G1858 - F1858</f>
        <v>33</v>
      </c>
      <c r="O1858">
        <v>1</v>
      </c>
    </row>
    <row r="1859" spans="1:15" x14ac:dyDescent="0.3">
      <c r="A1859" s="62" t="s">
        <v>3584</v>
      </c>
      <c r="B1859" s="77" t="s">
        <v>66</v>
      </c>
      <c r="C1859" s="77" t="s">
        <v>12</v>
      </c>
      <c r="D1859" s="62" t="s">
        <v>3585</v>
      </c>
      <c r="E1859" s="62" t="s">
        <v>3586</v>
      </c>
      <c r="F1859" s="78">
        <v>45117</v>
      </c>
      <c r="G1859" s="78">
        <v>45291</v>
      </c>
      <c r="H1859" s="79" t="str">
        <f t="shared" si="71"/>
        <v>EVEN</v>
      </c>
      <c r="I1859" s="108">
        <v>0</v>
      </c>
      <c r="J1859" s="32" t="str">
        <f>UPPER(TEXT(F1859,"mmm")) &amp; " - " &amp; UPPER(TEXT(G1859,"mmm"))</f>
        <v>JUL - DEC</v>
      </c>
      <c r="K1859" s="32" t="s">
        <v>3137</v>
      </c>
      <c r="L1859" s="99" t="s">
        <v>3895</v>
      </c>
      <c r="M1859" s="32" t="str">
        <f t="shared" si="72"/>
        <v>No</v>
      </c>
      <c r="N1859" s="32">
        <f>G1859 - F1859</f>
        <v>174</v>
      </c>
      <c r="O1859">
        <v>1</v>
      </c>
    </row>
    <row r="1860" spans="1:15" x14ac:dyDescent="0.3">
      <c r="A1860" s="62" t="s">
        <v>3587</v>
      </c>
      <c r="B1860" s="77" t="s">
        <v>66</v>
      </c>
      <c r="C1860" s="77" t="s">
        <v>12</v>
      </c>
      <c r="D1860" s="62" t="s">
        <v>3588</v>
      </c>
      <c r="E1860" s="62" t="s">
        <v>3589</v>
      </c>
      <c r="F1860" s="78">
        <v>45439</v>
      </c>
      <c r="G1860" s="78">
        <v>45500</v>
      </c>
      <c r="H1860" s="79" t="str">
        <f t="shared" si="71"/>
        <v>EVEN</v>
      </c>
      <c r="I1860" s="108">
        <v>25000</v>
      </c>
      <c r="J1860" s="32" t="str">
        <f>UPPER(TEXT(F1860,"mmm")) &amp; " - " &amp; UPPER(TEXT(G1860,"mmm"))</f>
        <v>MAY - JUL</v>
      </c>
      <c r="K1860" s="32" t="s">
        <v>3137</v>
      </c>
      <c r="L1860" s="99" t="s">
        <v>3895</v>
      </c>
      <c r="M1860" s="32" t="str">
        <f t="shared" si="72"/>
        <v>Yes</v>
      </c>
      <c r="N1860" s="32">
        <f>G1860 - F1860</f>
        <v>61</v>
      </c>
      <c r="O1860">
        <v>1</v>
      </c>
    </row>
    <row r="1861" spans="1:15" x14ac:dyDescent="0.3">
      <c r="A1861" s="62" t="s">
        <v>3367</v>
      </c>
      <c r="B1861" s="77" t="s">
        <v>66</v>
      </c>
      <c r="C1861" s="77" t="s">
        <v>12</v>
      </c>
      <c r="D1861" s="62" t="s">
        <v>3590</v>
      </c>
      <c r="E1861" s="62" t="s">
        <v>3591</v>
      </c>
      <c r="F1861" s="78">
        <v>45446</v>
      </c>
      <c r="G1861" s="78">
        <v>45504</v>
      </c>
      <c r="H1861" s="79" t="str">
        <f t="shared" si="71"/>
        <v>EVEN</v>
      </c>
      <c r="I1861" s="108">
        <v>25000</v>
      </c>
      <c r="J1861" s="32" t="str">
        <f>UPPER(TEXT(F1861,"mmm")) &amp; " - " &amp; UPPER(TEXT(G1861,"mmm"))</f>
        <v>JUN - JUL</v>
      </c>
      <c r="K1861" s="32" t="s">
        <v>3137</v>
      </c>
      <c r="L1861" s="99" t="s">
        <v>3895</v>
      </c>
      <c r="M1861" s="32" t="str">
        <f t="shared" si="72"/>
        <v>Yes</v>
      </c>
      <c r="N1861" s="32">
        <f>G1861 - F1861</f>
        <v>58</v>
      </c>
      <c r="O1861">
        <v>1</v>
      </c>
    </row>
    <row r="1862" spans="1:15" x14ac:dyDescent="0.3">
      <c r="A1862" s="62" t="s">
        <v>3592</v>
      </c>
      <c r="B1862" s="77" t="s">
        <v>66</v>
      </c>
      <c r="C1862" s="77" t="s">
        <v>12</v>
      </c>
      <c r="D1862" s="62" t="s">
        <v>3593</v>
      </c>
      <c r="E1862" s="62" t="s">
        <v>469</v>
      </c>
      <c r="F1862" s="78">
        <v>45336</v>
      </c>
      <c r="G1862" s="78">
        <v>45471</v>
      </c>
      <c r="H1862" s="79" t="str">
        <f t="shared" si="71"/>
        <v>EVEN</v>
      </c>
      <c r="I1862" s="108">
        <v>15000</v>
      </c>
      <c r="J1862" s="32" t="str">
        <f>UPPER(TEXT(F1862,"mmm")) &amp; " - " &amp; UPPER(TEXT(G1862,"mmm"))</f>
        <v>FEB - JUN</v>
      </c>
      <c r="K1862" s="32" t="s">
        <v>3137</v>
      </c>
      <c r="L1862" s="99" t="s">
        <v>3895</v>
      </c>
      <c r="M1862" s="32" t="str">
        <f t="shared" si="72"/>
        <v>Yes</v>
      </c>
      <c r="N1862" s="32">
        <f>G1862 - F1862</f>
        <v>135</v>
      </c>
      <c r="O1862">
        <v>1</v>
      </c>
    </row>
    <row r="1863" spans="1:15" x14ac:dyDescent="0.3">
      <c r="A1863" s="62" t="s">
        <v>3015</v>
      </c>
      <c r="B1863" s="77" t="s">
        <v>66</v>
      </c>
      <c r="C1863" s="77" t="s">
        <v>12</v>
      </c>
      <c r="D1863" s="62" t="s">
        <v>3594</v>
      </c>
      <c r="E1863" s="62" t="s">
        <v>3595</v>
      </c>
      <c r="F1863" s="78">
        <v>45117</v>
      </c>
      <c r="G1863" s="78">
        <v>45291</v>
      </c>
      <c r="H1863" s="79" t="str">
        <f t="shared" si="71"/>
        <v>EVEN</v>
      </c>
      <c r="I1863" s="108">
        <v>0</v>
      </c>
      <c r="J1863" s="32" t="str">
        <f>UPPER(TEXT(F1863,"mmm")) &amp; " - " &amp; UPPER(TEXT(G1863,"mmm"))</f>
        <v>JUL - DEC</v>
      </c>
      <c r="K1863" s="32" t="s">
        <v>3137</v>
      </c>
      <c r="L1863" s="99" t="s">
        <v>3895</v>
      </c>
      <c r="M1863" s="32" t="str">
        <f t="shared" si="72"/>
        <v>No</v>
      </c>
      <c r="N1863" s="32">
        <f>G1863 - F1863</f>
        <v>174</v>
      </c>
      <c r="O1863">
        <v>1</v>
      </c>
    </row>
    <row r="1864" spans="1:15" x14ac:dyDescent="0.3">
      <c r="A1864" s="62" t="s">
        <v>3553</v>
      </c>
      <c r="B1864" s="77" t="s">
        <v>66</v>
      </c>
      <c r="C1864" s="77" t="s">
        <v>12</v>
      </c>
      <c r="D1864" s="62" t="s">
        <v>3596</v>
      </c>
      <c r="E1864" s="62" t="s">
        <v>3597</v>
      </c>
      <c r="F1864" s="78">
        <v>45453</v>
      </c>
      <c r="G1864" s="78">
        <v>45513</v>
      </c>
      <c r="H1864" s="79" t="str">
        <f t="shared" si="71"/>
        <v>EVEN</v>
      </c>
      <c r="I1864" s="108">
        <v>0</v>
      </c>
      <c r="J1864" s="32" t="str">
        <f>UPPER(TEXT(F1864,"mmm")) &amp; " - " &amp; UPPER(TEXT(G1864,"mmm"))</f>
        <v>JUN - AUG</v>
      </c>
      <c r="K1864" s="32" t="s">
        <v>3137</v>
      </c>
      <c r="L1864" s="99" t="s">
        <v>3895</v>
      </c>
      <c r="M1864" s="32" t="str">
        <f t="shared" si="72"/>
        <v>No</v>
      </c>
      <c r="N1864" s="32">
        <f>G1864 - F1864</f>
        <v>60</v>
      </c>
      <c r="O1864">
        <v>1</v>
      </c>
    </row>
    <row r="1865" spans="1:15" x14ac:dyDescent="0.3">
      <c r="A1865" s="62" t="s">
        <v>2769</v>
      </c>
      <c r="B1865" s="77" t="s">
        <v>66</v>
      </c>
      <c r="C1865" s="77" t="s">
        <v>12</v>
      </c>
      <c r="D1865" s="62" t="s">
        <v>3598</v>
      </c>
      <c r="E1865" s="62" t="s">
        <v>3599</v>
      </c>
      <c r="F1865" s="78">
        <v>45108</v>
      </c>
      <c r="G1865" s="78">
        <v>45473</v>
      </c>
      <c r="H1865" s="79" t="str">
        <f t="shared" si="71"/>
        <v>EVEN</v>
      </c>
      <c r="I1865" s="108">
        <v>0</v>
      </c>
      <c r="J1865" s="32" t="str">
        <f>UPPER(TEXT(F1865,"mmm")) &amp; " - " &amp; UPPER(TEXT(G1865,"mmm"))</f>
        <v>JUL - JUN</v>
      </c>
      <c r="K1865" s="32" t="s">
        <v>3137</v>
      </c>
      <c r="L1865" s="99" t="s">
        <v>3895</v>
      </c>
      <c r="M1865" s="32" t="str">
        <f t="shared" si="72"/>
        <v>No</v>
      </c>
      <c r="N1865" s="32">
        <f>G1865 - F1865</f>
        <v>365</v>
      </c>
      <c r="O1865">
        <v>1</v>
      </c>
    </row>
    <row r="1866" spans="1:15" x14ac:dyDescent="0.3">
      <c r="A1866" s="62" t="s">
        <v>3600</v>
      </c>
      <c r="B1866" s="77" t="s">
        <v>66</v>
      </c>
      <c r="C1866" s="77" t="s">
        <v>12</v>
      </c>
      <c r="D1866" s="62" t="s">
        <v>3601</v>
      </c>
      <c r="E1866" s="62" t="s">
        <v>3602</v>
      </c>
      <c r="F1866" s="78">
        <v>45427</v>
      </c>
      <c r="G1866" s="78">
        <v>45488</v>
      </c>
      <c r="H1866" s="79" t="str">
        <f t="shared" si="71"/>
        <v>EVEN</v>
      </c>
      <c r="I1866" s="108">
        <v>0</v>
      </c>
      <c r="J1866" s="32" t="str">
        <f>UPPER(TEXT(F1866,"mmm")) &amp; " - " &amp; UPPER(TEXT(G1866,"mmm"))</f>
        <v>MAY - JUL</v>
      </c>
      <c r="K1866" s="32" t="s">
        <v>3137</v>
      </c>
      <c r="L1866" s="99" t="s">
        <v>3895</v>
      </c>
      <c r="M1866" s="32" t="str">
        <f t="shared" si="72"/>
        <v>No</v>
      </c>
      <c r="N1866" s="32">
        <f>G1866 - F1866</f>
        <v>61</v>
      </c>
      <c r="O1866">
        <v>1</v>
      </c>
    </row>
    <row r="1867" spans="1:15" x14ac:dyDescent="0.3">
      <c r="A1867" s="62" t="s">
        <v>3479</v>
      </c>
      <c r="B1867" s="77" t="s">
        <v>66</v>
      </c>
      <c r="C1867" s="77" t="s">
        <v>12</v>
      </c>
      <c r="D1867" s="62" t="s">
        <v>3603</v>
      </c>
      <c r="E1867" s="62" t="s">
        <v>3604</v>
      </c>
      <c r="F1867" s="78">
        <v>45442</v>
      </c>
      <c r="G1867" s="78">
        <v>45502</v>
      </c>
      <c r="H1867" s="79" t="str">
        <f t="shared" si="71"/>
        <v>EVEN</v>
      </c>
      <c r="I1867" s="108">
        <v>0</v>
      </c>
      <c r="J1867" s="32" t="str">
        <f>UPPER(TEXT(F1867,"mmm")) &amp; " - " &amp; UPPER(TEXT(G1867,"mmm"))</f>
        <v>MAY - JUL</v>
      </c>
      <c r="K1867" s="32" t="s">
        <v>3137</v>
      </c>
      <c r="L1867" s="99" t="s">
        <v>3895</v>
      </c>
      <c r="M1867" s="32" t="str">
        <f t="shared" si="72"/>
        <v>No</v>
      </c>
      <c r="N1867" s="32">
        <f>G1867 - F1867</f>
        <v>60</v>
      </c>
      <c r="O1867">
        <v>1</v>
      </c>
    </row>
    <row r="1868" spans="1:15" x14ac:dyDescent="0.3">
      <c r="A1868" s="62" t="s">
        <v>2710</v>
      </c>
      <c r="B1868" s="77" t="s">
        <v>66</v>
      </c>
      <c r="C1868" s="77" t="s">
        <v>12</v>
      </c>
      <c r="D1868" s="62" t="s">
        <v>3605</v>
      </c>
      <c r="E1868" s="62" t="s">
        <v>2475</v>
      </c>
      <c r="F1868" s="78">
        <v>45432</v>
      </c>
      <c r="G1868" s="78">
        <v>45464</v>
      </c>
      <c r="H1868" s="79" t="str">
        <f t="shared" si="71"/>
        <v>EVEN</v>
      </c>
      <c r="I1868" s="108">
        <v>0</v>
      </c>
      <c r="J1868" s="32" t="str">
        <f>UPPER(TEXT(F1868,"mmm")) &amp; " - " &amp; UPPER(TEXT(G1868,"mmm"))</f>
        <v>MAY - JUN</v>
      </c>
      <c r="K1868" s="32" t="s">
        <v>3137</v>
      </c>
      <c r="L1868" s="99" t="s">
        <v>3895</v>
      </c>
      <c r="M1868" s="32" t="str">
        <f t="shared" si="72"/>
        <v>No</v>
      </c>
      <c r="N1868" s="32">
        <f>G1868 - F1868</f>
        <v>32</v>
      </c>
      <c r="O1868">
        <v>1</v>
      </c>
    </row>
    <row r="1869" spans="1:15" x14ac:dyDescent="0.3">
      <c r="A1869" s="62" t="s">
        <v>2386</v>
      </c>
      <c r="B1869" s="77" t="s">
        <v>66</v>
      </c>
      <c r="C1869" s="77" t="s">
        <v>12</v>
      </c>
      <c r="D1869" s="62" t="s">
        <v>3606</v>
      </c>
      <c r="E1869" s="62" t="s">
        <v>3607</v>
      </c>
      <c r="F1869" s="78">
        <v>45453</v>
      </c>
      <c r="G1869" s="78">
        <v>45518</v>
      </c>
      <c r="H1869" s="79" t="str">
        <f t="shared" si="71"/>
        <v>EVEN</v>
      </c>
      <c r="I1869" s="108">
        <v>5000</v>
      </c>
      <c r="J1869" s="32" t="str">
        <f>UPPER(TEXT(F1869,"mmm")) &amp; " - " &amp; UPPER(TEXT(G1869,"mmm"))</f>
        <v>JUN - AUG</v>
      </c>
      <c r="K1869" s="32" t="s">
        <v>3137</v>
      </c>
      <c r="L1869" s="99" t="s">
        <v>3895</v>
      </c>
      <c r="M1869" s="32" t="str">
        <f t="shared" si="72"/>
        <v>Yes</v>
      </c>
      <c r="N1869" s="32">
        <f>G1869 - F1869</f>
        <v>65</v>
      </c>
      <c r="O1869">
        <v>1</v>
      </c>
    </row>
    <row r="1870" spans="1:15" x14ac:dyDescent="0.3">
      <c r="A1870" s="62" t="s">
        <v>2389</v>
      </c>
      <c r="B1870" s="77" t="s">
        <v>66</v>
      </c>
      <c r="C1870" s="77" t="s">
        <v>12</v>
      </c>
      <c r="D1870" s="62" t="s">
        <v>3608</v>
      </c>
      <c r="E1870" s="62" t="s">
        <v>3609</v>
      </c>
      <c r="F1870" s="78">
        <v>45446</v>
      </c>
      <c r="G1870" s="78">
        <v>45499</v>
      </c>
      <c r="H1870" s="79" t="str">
        <f t="shared" si="71"/>
        <v>EVEN</v>
      </c>
      <c r="I1870" s="108">
        <v>75000</v>
      </c>
      <c r="J1870" s="32" t="str">
        <f>UPPER(TEXT(F1870,"mmm")) &amp; " - " &amp; UPPER(TEXT(G1870,"mmm"))</f>
        <v>JUN - JUL</v>
      </c>
      <c r="K1870" s="32" t="s">
        <v>3137</v>
      </c>
      <c r="L1870" s="99" t="s">
        <v>3895</v>
      </c>
      <c r="M1870" s="32" t="str">
        <f t="shared" si="72"/>
        <v>Yes</v>
      </c>
      <c r="N1870" s="32">
        <f>G1870 - F1870</f>
        <v>53</v>
      </c>
      <c r="O1870">
        <v>1</v>
      </c>
    </row>
    <row r="1871" spans="1:15" x14ac:dyDescent="0.3">
      <c r="A1871" s="62" t="s">
        <v>3610</v>
      </c>
      <c r="B1871" s="77" t="s">
        <v>66</v>
      </c>
      <c r="C1871" s="77" t="s">
        <v>12</v>
      </c>
      <c r="D1871" s="62" t="s">
        <v>3611</v>
      </c>
      <c r="E1871" s="62" t="s">
        <v>3612</v>
      </c>
      <c r="F1871" s="78">
        <v>45428</v>
      </c>
      <c r="G1871" s="78">
        <v>45492</v>
      </c>
      <c r="H1871" s="79" t="str">
        <f t="shared" si="71"/>
        <v>EVEN</v>
      </c>
      <c r="I1871" s="108">
        <v>0</v>
      </c>
      <c r="J1871" s="32" t="str">
        <f>UPPER(TEXT(F1871,"mmm")) &amp; " - " &amp; UPPER(TEXT(G1871,"mmm"))</f>
        <v>MAY - JUL</v>
      </c>
      <c r="K1871" s="32" t="s">
        <v>3137</v>
      </c>
      <c r="L1871" s="99" t="s">
        <v>3895</v>
      </c>
      <c r="M1871" s="32" t="str">
        <f t="shared" si="72"/>
        <v>No</v>
      </c>
      <c r="N1871" s="32">
        <f>G1871 - F1871</f>
        <v>64</v>
      </c>
      <c r="O1871">
        <v>1</v>
      </c>
    </row>
    <row r="1872" spans="1:15" x14ac:dyDescent="0.3">
      <c r="A1872" s="62" t="s">
        <v>2398</v>
      </c>
      <c r="B1872" s="77" t="s">
        <v>66</v>
      </c>
      <c r="C1872" s="77" t="s">
        <v>12</v>
      </c>
      <c r="D1872" s="62" t="s">
        <v>3613</v>
      </c>
      <c r="E1872" s="62" t="s">
        <v>3614</v>
      </c>
      <c r="F1872" s="78">
        <v>45433</v>
      </c>
      <c r="G1872" s="78">
        <v>45495</v>
      </c>
      <c r="H1872" s="79" t="str">
        <f t="shared" si="71"/>
        <v>EVEN</v>
      </c>
      <c r="I1872" s="108">
        <v>0</v>
      </c>
      <c r="J1872" s="32" t="str">
        <f>UPPER(TEXT(F1872,"mmm")) &amp; " - " &amp; UPPER(TEXT(G1872,"mmm"))</f>
        <v>MAY - JUL</v>
      </c>
      <c r="K1872" s="32" t="s">
        <v>3137</v>
      </c>
      <c r="L1872" s="99" t="s">
        <v>3895</v>
      </c>
      <c r="M1872" s="32" t="str">
        <f t="shared" si="72"/>
        <v>No</v>
      </c>
      <c r="N1872" s="32">
        <f>G1872 - F1872</f>
        <v>62</v>
      </c>
      <c r="O1872">
        <v>1</v>
      </c>
    </row>
    <row r="1873" spans="1:15" x14ac:dyDescent="0.3">
      <c r="A1873" s="62" t="s">
        <v>3615</v>
      </c>
      <c r="B1873" s="77" t="s">
        <v>66</v>
      </c>
      <c r="C1873" s="77" t="s">
        <v>12</v>
      </c>
      <c r="D1873" s="62" t="s">
        <v>3616</v>
      </c>
      <c r="E1873" s="62" t="s">
        <v>3617</v>
      </c>
      <c r="F1873" s="78">
        <v>45432</v>
      </c>
      <c r="G1873" s="78">
        <v>45504</v>
      </c>
      <c r="H1873" s="79" t="str">
        <f t="shared" si="71"/>
        <v>EVEN</v>
      </c>
      <c r="I1873" s="108">
        <v>20000</v>
      </c>
      <c r="J1873" s="32" t="str">
        <f>UPPER(TEXT(F1873,"mmm")) &amp; " - " &amp; UPPER(TEXT(G1873,"mmm"))</f>
        <v>MAY - JUL</v>
      </c>
      <c r="K1873" s="32" t="s">
        <v>3137</v>
      </c>
      <c r="L1873" s="99" t="s">
        <v>3895</v>
      </c>
      <c r="M1873" s="32" t="str">
        <f t="shared" si="72"/>
        <v>Yes</v>
      </c>
      <c r="N1873" s="32">
        <f>G1873 - F1873</f>
        <v>72</v>
      </c>
      <c r="O1873">
        <v>1</v>
      </c>
    </row>
    <row r="1874" spans="1:15" x14ac:dyDescent="0.3">
      <c r="A1874" s="62" t="s">
        <v>3618</v>
      </c>
      <c r="B1874" s="77" t="s">
        <v>66</v>
      </c>
      <c r="C1874" s="77" t="s">
        <v>12</v>
      </c>
      <c r="D1874" s="62" t="s">
        <v>3619</v>
      </c>
      <c r="E1874" s="62" t="s">
        <v>3620</v>
      </c>
      <c r="F1874" s="78">
        <v>45446</v>
      </c>
      <c r="G1874" s="78">
        <v>45499</v>
      </c>
      <c r="H1874" s="79" t="str">
        <f t="shared" si="71"/>
        <v>EVEN</v>
      </c>
      <c r="I1874" s="108">
        <v>75000</v>
      </c>
      <c r="J1874" s="32" t="str">
        <f>UPPER(TEXT(F1874,"mmm")) &amp; " - " &amp; UPPER(TEXT(G1874,"mmm"))</f>
        <v>JUN - JUL</v>
      </c>
      <c r="K1874" s="32" t="s">
        <v>3137</v>
      </c>
      <c r="L1874" s="99" t="s">
        <v>3895</v>
      </c>
      <c r="M1874" s="32" t="str">
        <f t="shared" si="72"/>
        <v>Yes</v>
      </c>
      <c r="N1874" s="32">
        <f>G1874 - F1874</f>
        <v>53</v>
      </c>
      <c r="O1874">
        <v>1</v>
      </c>
    </row>
    <row r="1875" spans="1:15" x14ac:dyDescent="0.3">
      <c r="A1875" s="62" t="s">
        <v>3621</v>
      </c>
      <c r="B1875" s="77" t="s">
        <v>66</v>
      </c>
      <c r="C1875" s="77" t="s">
        <v>12</v>
      </c>
      <c r="D1875" s="62" t="s">
        <v>3622</v>
      </c>
      <c r="E1875" s="62" t="s">
        <v>3623</v>
      </c>
      <c r="F1875" s="78">
        <v>45300</v>
      </c>
      <c r="G1875" s="78">
        <v>45504</v>
      </c>
      <c r="H1875" s="79" t="str">
        <f t="shared" si="71"/>
        <v>EVEN</v>
      </c>
      <c r="I1875" s="108">
        <v>0</v>
      </c>
      <c r="J1875" s="32" t="str">
        <f>UPPER(TEXT(F1875,"mmm")) &amp; " - " &amp; UPPER(TEXT(G1875,"mmm"))</f>
        <v>JAN - JUL</v>
      </c>
      <c r="K1875" s="32" t="s">
        <v>3137</v>
      </c>
      <c r="L1875" s="99" t="s">
        <v>3895</v>
      </c>
      <c r="M1875" s="32" t="str">
        <f t="shared" si="72"/>
        <v>No</v>
      </c>
      <c r="N1875" s="32">
        <f>G1875 - F1875</f>
        <v>204</v>
      </c>
      <c r="O1875">
        <v>1</v>
      </c>
    </row>
    <row r="1876" spans="1:15" x14ac:dyDescent="0.3">
      <c r="A1876" s="62" t="s">
        <v>3624</v>
      </c>
      <c r="B1876" s="77" t="s">
        <v>66</v>
      </c>
      <c r="C1876" s="77" t="s">
        <v>12</v>
      </c>
      <c r="D1876" s="62" t="s">
        <v>3625</v>
      </c>
      <c r="E1876" s="62" t="s">
        <v>3623</v>
      </c>
      <c r="F1876" s="78">
        <v>45300</v>
      </c>
      <c r="G1876" s="78">
        <v>45504</v>
      </c>
      <c r="H1876" s="79" t="str">
        <f t="shared" si="71"/>
        <v>EVEN</v>
      </c>
      <c r="I1876" s="108">
        <v>0</v>
      </c>
      <c r="J1876" s="32" t="str">
        <f>UPPER(TEXT(F1876,"mmm")) &amp; " - " &amp; UPPER(TEXT(G1876,"mmm"))</f>
        <v>JAN - JUL</v>
      </c>
      <c r="K1876" s="32" t="s">
        <v>3137</v>
      </c>
      <c r="L1876" s="99" t="s">
        <v>3895</v>
      </c>
      <c r="M1876" s="32" t="str">
        <f t="shared" si="72"/>
        <v>No</v>
      </c>
      <c r="N1876" s="32">
        <f>G1876 - F1876</f>
        <v>204</v>
      </c>
      <c r="O1876">
        <v>1</v>
      </c>
    </row>
    <row r="1877" spans="1:15" x14ac:dyDescent="0.3">
      <c r="A1877" s="62" t="s">
        <v>3621</v>
      </c>
      <c r="B1877" s="77" t="s">
        <v>66</v>
      </c>
      <c r="C1877" s="77" t="s">
        <v>12</v>
      </c>
      <c r="D1877" s="62" t="s">
        <v>3626</v>
      </c>
      <c r="E1877" s="62" t="s">
        <v>395</v>
      </c>
      <c r="F1877" s="78">
        <v>45446</v>
      </c>
      <c r="G1877" s="78">
        <v>45504</v>
      </c>
      <c r="H1877" s="79" t="str">
        <f t="shared" si="71"/>
        <v>EVEN</v>
      </c>
      <c r="I1877" s="108">
        <v>0</v>
      </c>
      <c r="J1877" s="32" t="str">
        <f>UPPER(TEXT(F1877,"mmm")) &amp; " - " &amp; UPPER(TEXT(G1877,"mmm"))</f>
        <v>JUN - JUL</v>
      </c>
      <c r="K1877" s="32" t="s">
        <v>3137</v>
      </c>
      <c r="L1877" s="99" t="s">
        <v>3895</v>
      </c>
      <c r="M1877" s="32" t="str">
        <f t="shared" si="72"/>
        <v>No</v>
      </c>
      <c r="N1877" s="32">
        <f>G1877 - F1877</f>
        <v>58</v>
      </c>
      <c r="O1877">
        <v>1</v>
      </c>
    </row>
    <row r="1878" spans="1:15" x14ac:dyDescent="0.3">
      <c r="A1878" s="62" t="s">
        <v>2422</v>
      </c>
      <c r="B1878" s="77" t="s">
        <v>66</v>
      </c>
      <c r="C1878" s="77" t="s">
        <v>12</v>
      </c>
      <c r="D1878" s="62" t="s">
        <v>3627</v>
      </c>
      <c r="E1878" s="62" t="s">
        <v>3628</v>
      </c>
      <c r="F1878" s="78">
        <v>45460</v>
      </c>
      <c r="G1878" s="78">
        <v>45499</v>
      </c>
      <c r="H1878" s="79" t="str">
        <f t="shared" si="71"/>
        <v>EVEN</v>
      </c>
      <c r="I1878" s="108">
        <v>10000</v>
      </c>
      <c r="J1878" s="32" t="str">
        <f>UPPER(TEXT(F1878,"mmm")) &amp; " - " &amp; UPPER(TEXT(G1878,"mmm"))</f>
        <v>JUN - JUL</v>
      </c>
      <c r="K1878" s="32" t="s">
        <v>3137</v>
      </c>
      <c r="L1878" s="99" t="s">
        <v>3895</v>
      </c>
      <c r="M1878" s="32" t="str">
        <f t="shared" si="72"/>
        <v>Yes</v>
      </c>
      <c r="N1878" s="32">
        <f>G1878 - F1878</f>
        <v>39</v>
      </c>
      <c r="O1878">
        <v>1</v>
      </c>
    </row>
    <row r="1879" spans="1:15" x14ac:dyDescent="0.3">
      <c r="A1879" s="62" t="s">
        <v>3629</v>
      </c>
      <c r="B1879" s="77" t="s">
        <v>66</v>
      </c>
      <c r="C1879" s="77" t="s">
        <v>12</v>
      </c>
      <c r="D1879" s="62" t="s">
        <v>3630</v>
      </c>
      <c r="E1879" s="62" t="s">
        <v>3631</v>
      </c>
      <c r="F1879" s="78">
        <v>45453</v>
      </c>
      <c r="G1879" s="78">
        <v>45483</v>
      </c>
      <c r="H1879" s="79" t="str">
        <f t="shared" si="71"/>
        <v>EVEN</v>
      </c>
      <c r="I1879" s="108">
        <v>0</v>
      </c>
      <c r="J1879" s="32" t="str">
        <f>UPPER(TEXT(F1879,"mmm")) &amp; " - " &amp; UPPER(TEXT(G1879,"mmm"))</f>
        <v>JUN - JUL</v>
      </c>
      <c r="K1879" s="32" t="s">
        <v>3137</v>
      </c>
      <c r="L1879" s="99" t="s">
        <v>3895</v>
      </c>
      <c r="M1879" s="32" t="str">
        <f t="shared" si="72"/>
        <v>No</v>
      </c>
      <c r="N1879" s="32">
        <f>G1879 - F1879</f>
        <v>30</v>
      </c>
      <c r="O1879">
        <v>1</v>
      </c>
    </row>
    <row r="1880" spans="1:15" x14ac:dyDescent="0.3">
      <c r="A1880" s="62" t="s">
        <v>2670</v>
      </c>
      <c r="B1880" s="77" t="s">
        <v>66</v>
      </c>
      <c r="C1880" s="77" t="s">
        <v>12</v>
      </c>
      <c r="D1880" s="62" t="s">
        <v>2604</v>
      </c>
      <c r="E1880" s="62" t="s">
        <v>3007</v>
      </c>
      <c r="F1880" s="78">
        <v>45041</v>
      </c>
      <c r="G1880" s="78">
        <v>45071</v>
      </c>
      <c r="H1880" s="79" t="str">
        <f t="shared" si="71"/>
        <v>EVEN</v>
      </c>
      <c r="I1880" s="108">
        <v>0</v>
      </c>
      <c r="J1880" s="32" t="str">
        <f>UPPER(TEXT(F1880,"mmm")) &amp; " - " &amp; UPPER(TEXT(G1880,"mmm"))</f>
        <v>APR - MAY</v>
      </c>
      <c r="K1880" s="32" t="s">
        <v>3137</v>
      </c>
      <c r="L1880" s="77" t="s">
        <v>895</v>
      </c>
      <c r="M1880" s="32" t="str">
        <f t="shared" si="72"/>
        <v>No</v>
      </c>
      <c r="N1880" s="32">
        <f>G1880 - F1880</f>
        <v>30</v>
      </c>
      <c r="O1880">
        <v>1</v>
      </c>
    </row>
    <row r="1881" spans="1:15" x14ac:dyDescent="0.3">
      <c r="A1881" s="62" t="s">
        <v>3502</v>
      </c>
      <c r="B1881" s="77" t="s">
        <v>66</v>
      </c>
      <c r="C1881" s="77" t="s">
        <v>12</v>
      </c>
      <c r="D1881" s="62" t="s">
        <v>3632</v>
      </c>
      <c r="E1881" s="62" t="s">
        <v>3633</v>
      </c>
      <c r="F1881" s="78">
        <v>45278</v>
      </c>
      <c r="G1881" s="78">
        <v>45319</v>
      </c>
      <c r="H1881" s="79" t="str">
        <f t="shared" si="71"/>
        <v>ODD</v>
      </c>
      <c r="I1881" s="108">
        <v>0</v>
      </c>
      <c r="J1881" s="32" t="str">
        <f>UPPER(TEXT(F1881,"mmm")) &amp; " - " &amp; UPPER(TEXT(G1881,"mmm"))</f>
        <v>DEC - JAN</v>
      </c>
      <c r="K1881" s="32" t="s">
        <v>3137</v>
      </c>
      <c r="L1881" s="77" t="s">
        <v>895</v>
      </c>
      <c r="M1881" s="32" t="str">
        <f t="shared" si="72"/>
        <v>No</v>
      </c>
      <c r="N1881" s="32">
        <f>G1881 - F1881</f>
        <v>41</v>
      </c>
      <c r="O1881">
        <v>1</v>
      </c>
    </row>
    <row r="1882" spans="1:15" x14ac:dyDescent="0.3">
      <c r="A1882" s="62" t="s">
        <v>2229</v>
      </c>
      <c r="B1882" s="77" t="s">
        <v>66</v>
      </c>
      <c r="C1882" s="77" t="s">
        <v>12</v>
      </c>
      <c r="D1882" s="62" t="s">
        <v>121</v>
      </c>
      <c r="E1882" s="62" t="s">
        <v>3634</v>
      </c>
      <c r="F1882" s="78">
        <v>45113</v>
      </c>
      <c r="G1882" s="78">
        <v>45323</v>
      </c>
      <c r="H1882" s="79" t="str">
        <f t="shared" si="71"/>
        <v>EVEN</v>
      </c>
      <c r="I1882" s="108">
        <v>0</v>
      </c>
      <c r="J1882" s="32" t="str">
        <f>UPPER(TEXT(F1882,"mmm")) &amp; " - " &amp; UPPER(TEXT(G1882,"mmm"))</f>
        <v>JUL - FEB</v>
      </c>
      <c r="K1882" s="32" t="s">
        <v>3137</v>
      </c>
      <c r="L1882" s="77" t="s">
        <v>895</v>
      </c>
      <c r="M1882" s="32" t="str">
        <f t="shared" si="72"/>
        <v>No</v>
      </c>
      <c r="N1882" s="32">
        <f>G1882 - F1882</f>
        <v>210</v>
      </c>
      <c r="O1882">
        <v>1</v>
      </c>
    </row>
    <row r="1883" spans="1:15" x14ac:dyDescent="0.3">
      <c r="A1883" s="62" t="s">
        <v>3635</v>
      </c>
      <c r="B1883" s="77" t="s">
        <v>66</v>
      </c>
      <c r="C1883" s="77" t="s">
        <v>12</v>
      </c>
      <c r="D1883" s="62" t="s">
        <v>121</v>
      </c>
      <c r="E1883" s="62" t="s">
        <v>3636</v>
      </c>
      <c r="F1883" s="78">
        <v>45125</v>
      </c>
      <c r="G1883" s="78">
        <v>45315</v>
      </c>
      <c r="H1883" s="79" t="str">
        <f t="shared" si="71"/>
        <v>ODD</v>
      </c>
      <c r="I1883" s="108">
        <v>0</v>
      </c>
      <c r="J1883" s="32" t="str">
        <f>UPPER(TEXT(F1883,"mmm")) &amp; " - " &amp; UPPER(TEXT(G1883,"mmm"))</f>
        <v>JUL - JAN</v>
      </c>
      <c r="K1883" s="32" t="s">
        <v>3137</v>
      </c>
      <c r="L1883" s="77" t="s">
        <v>895</v>
      </c>
      <c r="M1883" s="32" t="str">
        <f t="shared" si="72"/>
        <v>No</v>
      </c>
      <c r="N1883" s="32">
        <f>G1883 - F1883</f>
        <v>190</v>
      </c>
      <c r="O1883">
        <v>1</v>
      </c>
    </row>
    <row r="1884" spans="1:15" x14ac:dyDescent="0.3">
      <c r="A1884" s="62" t="s">
        <v>3637</v>
      </c>
      <c r="B1884" s="77" t="s">
        <v>66</v>
      </c>
      <c r="C1884" s="77" t="s">
        <v>12</v>
      </c>
      <c r="D1884" s="62" t="s">
        <v>935</v>
      </c>
      <c r="E1884" s="62" t="s">
        <v>3638</v>
      </c>
      <c r="F1884" s="78">
        <v>45294</v>
      </c>
      <c r="G1884" s="78">
        <v>45325</v>
      </c>
      <c r="H1884" s="79" t="str">
        <f t="shared" si="71"/>
        <v>EVEN</v>
      </c>
      <c r="I1884" s="108">
        <v>0</v>
      </c>
      <c r="J1884" s="32" t="str">
        <f>UPPER(TEXT(F1884,"mmm")) &amp; " - " &amp; UPPER(TEXT(G1884,"mmm"))</f>
        <v>JAN - FEB</v>
      </c>
      <c r="K1884" s="32" t="s">
        <v>3137</v>
      </c>
      <c r="L1884" s="77" t="s">
        <v>895</v>
      </c>
      <c r="M1884" s="32" t="str">
        <f t="shared" si="72"/>
        <v>No</v>
      </c>
      <c r="N1884" s="32">
        <f>G1884 - F1884</f>
        <v>31</v>
      </c>
      <c r="O1884">
        <v>1</v>
      </c>
    </row>
    <row r="1885" spans="1:15" x14ac:dyDescent="0.3">
      <c r="A1885" s="62" t="s">
        <v>3639</v>
      </c>
      <c r="B1885" s="77" t="s">
        <v>66</v>
      </c>
      <c r="C1885" s="77" t="s">
        <v>12</v>
      </c>
      <c r="D1885" s="62" t="s">
        <v>25</v>
      </c>
      <c r="E1885" s="62" t="s">
        <v>3640</v>
      </c>
      <c r="F1885" s="78">
        <v>45294</v>
      </c>
      <c r="G1885" s="78">
        <v>45325</v>
      </c>
      <c r="H1885" s="79" t="str">
        <f t="shared" si="71"/>
        <v>EVEN</v>
      </c>
      <c r="I1885" s="108">
        <v>0</v>
      </c>
      <c r="J1885" s="32" t="str">
        <f>UPPER(TEXT(F1885,"mmm")) &amp; " - " &amp; UPPER(TEXT(G1885,"mmm"))</f>
        <v>JAN - FEB</v>
      </c>
      <c r="K1885" s="32" t="s">
        <v>3137</v>
      </c>
      <c r="L1885" s="77" t="s">
        <v>895</v>
      </c>
      <c r="M1885" s="32" t="str">
        <f t="shared" si="72"/>
        <v>No</v>
      </c>
      <c r="N1885" s="32">
        <f>G1885 - F1885</f>
        <v>31</v>
      </c>
      <c r="O1885">
        <v>1</v>
      </c>
    </row>
    <row r="1886" spans="1:15" x14ac:dyDescent="0.3">
      <c r="A1886" s="62" t="s">
        <v>3300</v>
      </c>
      <c r="B1886" s="77" t="s">
        <v>66</v>
      </c>
      <c r="C1886" s="77" t="s">
        <v>12</v>
      </c>
      <c r="D1886" s="62" t="s">
        <v>3208</v>
      </c>
      <c r="E1886" s="62" t="s">
        <v>3641</v>
      </c>
      <c r="F1886" s="78">
        <v>45293</v>
      </c>
      <c r="G1886" s="78">
        <v>45467</v>
      </c>
      <c r="H1886" s="79" t="str">
        <f t="shared" si="71"/>
        <v>EVEN</v>
      </c>
      <c r="I1886" s="108">
        <v>0</v>
      </c>
      <c r="J1886" s="32" t="str">
        <f>UPPER(TEXT(F1886,"mmm")) &amp; " - " &amp; UPPER(TEXT(G1886,"mmm"))</f>
        <v>JAN - JUN</v>
      </c>
      <c r="K1886" s="32" t="s">
        <v>3137</v>
      </c>
      <c r="L1886" s="77" t="s">
        <v>895</v>
      </c>
      <c r="M1886" s="32" t="str">
        <f t="shared" si="72"/>
        <v>No</v>
      </c>
      <c r="N1886" s="32">
        <f>G1886 - F1886</f>
        <v>174</v>
      </c>
      <c r="O1886">
        <v>1</v>
      </c>
    </row>
    <row r="1887" spans="1:15" x14ac:dyDescent="0.3">
      <c r="A1887" s="62" t="s">
        <v>2459</v>
      </c>
      <c r="B1887" s="77" t="s">
        <v>66</v>
      </c>
      <c r="C1887" s="77" t="s">
        <v>12</v>
      </c>
      <c r="D1887" s="62" t="s">
        <v>1233</v>
      </c>
      <c r="E1887" s="62" t="s">
        <v>2714</v>
      </c>
      <c r="F1887" s="78">
        <v>45108</v>
      </c>
      <c r="G1887" s="78">
        <v>45406</v>
      </c>
      <c r="H1887" s="79" t="str">
        <f t="shared" si="71"/>
        <v>EVEN</v>
      </c>
      <c r="I1887" s="108">
        <v>0</v>
      </c>
      <c r="J1887" s="32" t="str">
        <f>UPPER(TEXT(F1887,"mmm")) &amp; " - " &amp; UPPER(TEXT(G1887,"mmm"))</f>
        <v>JUL - APR</v>
      </c>
      <c r="K1887" s="32" t="s">
        <v>3137</v>
      </c>
      <c r="L1887" s="77" t="s">
        <v>895</v>
      </c>
      <c r="M1887" s="32" t="str">
        <f t="shared" si="72"/>
        <v>No</v>
      </c>
      <c r="N1887" s="32">
        <f>G1887 - F1887</f>
        <v>298</v>
      </c>
      <c r="O1887">
        <v>1</v>
      </c>
    </row>
    <row r="1888" spans="1:15" x14ac:dyDescent="0.3">
      <c r="A1888" s="62" t="s">
        <v>3642</v>
      </c>
      <c r="B1888" s="77" t="s">
        <v>66</v>
      </c>
      <c r="C1888" s="77" t="s">
        <v>12</v>
      </c>
      <c r="D1888" s="62" t="s">
        <v>3643</v>
      </c>
      <c r="E1888" s="62" t="s">
        <v>3644</v>
      </c>
      <c r="F1888" s="78">
        <v>45108</v>
      </c>
      <c r="G1888" s="78">
        <v>45350</v>
      </c>
      <c r="H1888" s="79" t="str">
        <f t="shared" si="71"/>
        <v>EVEN</v>
      </c>
      <c r="I1888" s="108">
        <v>0</v>
      </c>
      <c r="J1888" s="32" t="str">
        <f>UPPER(TEXT(F1888,"mmm")) &amp; " - " &amp; UPPER(TEXT(G1888,"mmm"))</f>
        <v>JUL - FEB</v>
      </c>
      <c r="K1888" s="32" t="s">
        <v>3137</v>
      </c>
      <c r="L1888" s="77" t="s">
        <v>895</v>
      </c>
      <c r="M1888" s="32" t="str">
        <f t="shared" si="72"/>
        <v>No</v>
      </c>
      <c r="N1888" s="32">
        <f>G1888 - F1888</f>
        <v>242</v>
      </c>
      <c r="O1888">
        <v>1</v>
      </c>
    </row>
    <row r="1889" spans="1:15" x14ac:dyDescent="0.3">
      <c r="A1889" s="62" t="s">
        <v>3645</v>
      </c>
      <c r="B1889" s="77" t="s">
        <v>66</v>
      </c>
      <c r="C1889" s="77" t="s">
        <v>12</v>
      </c>
      <c r="D1889" s="62" t="s">
        <v>3643</v>
      </c>
      <c r="E1889" s="62" t="s">
        <v>3646</v>
      </c>
      <c r="F1889" s="78">
        <v>45108</v>
      </c>
      <c r="G1889" s="78">
        <v>45351</v>
      </c>
      <c r="H1889" s="79" t="str">
        <f t="shared" si="71"/>
        <v>EVEN</v>
      </c>
      <c r="I1889" s="108">
        <v>0</v>
      </c>
      <c r="J1889" s="32" t="str">
        <f>UPPER(TEXT(F1889,"mmm")) &amp; " - " &amp; UPPER(TEXT(G1889,"mmm"))</f>
        <v>JUL - FEB</v>
      </c>
      <c r="K1889" s="32" t="s">
        <v>3137</v>
      </c>
      <c r="L1889" s="77" t="s">
        <v>895</v>
      </c>
      <c r="M1889" s="32" t="str">
        <f t="shared" si="72"/>
        <v>No</v>
      </c>
      <c r="N1889" s="32">
        <f>G1889 - F1889</f>
        <v>243</v>
      </c>
      <c r="O1889">
        <v>1</v>
      </c>
    </row>
    <row r="1890" spans="1:15" x14ac:dyDescent="0.3">
      <c r="A1890" s="62" t="s">
        <v>2784</v>
      </c>
      <c r="B1890" s="77" t="s">
        <v>66</v>
      </c>
      <c r="C1890" s="77" t="s">
        <v>12</v>
      </c>
      <c r="D1890" s="62" t="s">
        <v>3647</v>
      </c>
      <c r="E1890" s="62" t="s">
        <v>3648</v>
      </c>
      <c r="F1890" s="78">
        <v>45108</v>
      </c>
      <c r="G1890" s="78">
        <v>45412</v>
      </c>
      <c r="H1890" s="79" t="str">
        <f t="shared" si="71"/>
        <v>EVEN</v>
      </c>
      <c r="I1890" s="108">
        <v>0</v>
      </c>
      <c r="J1890" s="32" t="str">
        <f>UPPER(TEXT(F1890,"mmm")) &amp; " - " &amp; UPPER(TEXT(G1890,"mmm"))</f>
        <v>JUL - APR</v>
      </c>
      <c r="K1890" s="32" t="s">
        <v>3137</v>
      </c>
      <c r="L1890" s="77" t="s">
        <v>895</v>
      </c>
      <c r="M1890" s="32" t="str">
        <f t="shared" si="72"/>
        <v>No</v>
      </c>
      <c r="N1890" s="32">
        <f>G1890 - F1890</f>
        <v>304</v>
      </c>
      <c r="O1890">
        <v>1</v>
      </c>
    </row>
    <row r="1891" spans="1:15" x14ac:dyDescent="0.3">
      <c r="A1891" s="62" t="s">
        <v>3649</v>
      </c>
      <c r="B1891" s="77" t="s">
        <v>66</v>
      </c>
      <c r="C1891" s="77" t="s">
        <v>12</v>
      </c>
      <c r="D1891" s="62" t="s">
        <v>3650</v>
      </c>
      <c r="E1891" s="62" t="s">
        <v>3651</v>
      </c>
      <c r="F1891" s="78">
        <v>45108</v>
      </c>
      <c r="G1891" s="78">
        <v>45474</v>
      </c>
      <c r="H1891" s="79" t="str">
        <f t="shared" si="71"/>
        <v>EVEN</v>
      </c>
      <c r="I1891" s="108">
        <v>0</v>
      </c>
      <c r="J1891" s="32" t="str">
        <f>UPPER(TEXT(F1891,"mmm")) &amp; " - " &amp; UPPER(TEXT(G1891,"mmm"))</f>
        <v>JUL - JUL</v>
      </c>
      <c r="K1891" s="32" t="s">
        <v>3137</v>
      </c>
      <c r="L1891" s="77" t="s">
        <v>895</v>
      </c>
      <c r="M1891" s="32" t="str">
        <f t="shared" si="72"/>
        <v>No</v>
      </c>
      <c r="N1891" s="32">
        <f>G1891 - F1891</f>
        <v>366</v>
      </c>
      <c r="O1891">
        <v>1</v>
      </c>
    </row>
    <row r="1892" spans="1:15" x14ac:dyDescent="0.3">
      <c r="A1892" s="62" t="s">
        <v>2459</v>
      </c>
      <c r="B1892" s="77" t="s">
        <v>66</v>
      </c>
      <c r="C1892" s="77" t="s">
        <v>12</v>
      </c>
      <c r="D1892" s="62" t="s">
        <v>1233</v>
      </c>
      <c r="E1892" s="62" t="s">
        <v>2714</v>
      </c>
      <c r="F1892" s="78">
        <v>45108</v>
      </c>
      <c r="G1892" s="78">
        <v>45406</v>
      </c>
      <c r="H1892" s="79" t="str">
        <f t="shared" ref="H1892:H1907" si="73">IF(AND(F1892&gt;=DATE(2023,7,15), F1892&lt;=DATE(2023,12,31)), "ODD", "EVEN")</f>
        <v>EVEN</v>
      </c>
      <c r="I1892" s="108">
        <v>0</v>
      </c>
      <c r="J1892" s="32" t="str">
        <f>UPPER(TEXT(F1892,"mmm")) &amp; " - " &amp; UPPER(TEXT(G1892,"mmm"))</f>
        <v>JUL - APR</v>
      </c>
      <c r="K1892" s="32" t="s">
        <v>3137</v>
      </c>
      <c r="L1892" s="77" t="s">
        <v>895</v>
      </c>
      <c r="M1892" s="32" t="str">
        <f t="shared" si="72"/>
        <v>No</v>
      </c>
      <c r="N1892" s="32">
        <f>G1892 - F1892</f>
        <v>298</v>
      </c>
      <c r="O1892">
        <v>1</v>
      </c>
    </row>
    <row r="1893" spans="1:15" x14ac:dyDescent="0.3">
      <c r="A1893" s="62" t="s">
        <v>2592</v>
      </c>
      <c r="B1893" s="77" t="s">
        <v>66</v>
      </c>
      <c r="C1893" s="77" t="s">
        <v>12</v>
      </c>
      <c r="D1893" s="62" t="s">
        <v>1233</v>
      </c>
      <c r="E1893" s="62" t="s">
        <v>3652</v>
      </c>
      <c r="F1893" s="78">
        <v>45108</v>
      </c>
      <c r="G1893" s="78">
        <v>45412</v>
      </c>
      <c r="H1893" s="79" t="str">
        <f t="shared" si="73"/>
        <v>EVEN</v>
      </c>
      <c r="I1893" s="108">
        <v>0</v>
      </c>
      <c r="J1893" s="32" t="str">
        <f>UPPER(TEXT(F1893,"mmm")) &amp; " - " &amp; UPPER(TEXT(G1893,"mmm"))</f>
        <v>JUL - APR</v>
      </c>
      <c r="K1893" s="32" t="s">
        <v>3137</v>
      </c>
      <c r="L1893" s="77" t="s">
        <v>895</v>
      </c>
      <c r="M1893" s="32" t="str">
        <f t="shared" si="72"/>
        <v>No</v>
      </c>
      <c r="N1893" s="32">
        <f>G1893 - F1893</f>
        <v>304</v>
      </c>
      <c r="O1893">
        <v>1</v>
      </c>
    </row>
    <row r="1894" spans="1:15" x14ac:dyDescent="0.3">
      <c r="A1894" s="62" t="s">
        <v>3653</v>
      </c>
      <c r="B1894" s="77" t="s">
        <v>66</v>
      </c>
      <c r="C1894" s="77" t="s">
        <v>12</v>
      </c>
      <c r="D1894" s="62" t="s">
        <v>1233</v>
      </c>
      <c r="E1894" s="62" t="s">
        <v>3654</v>
      </c>
      <c r="F1894" s="78">
        <v>45108</v>
      </c>
      <c r="G1894" s="78">
        <v>45383</v>
      </c>
      <c r="H1894" s="79" t="str">
        <f t="shared" si="73"/>
        <v>EVEN</v>
      </c>
      <c r="I1894" s="108">
        <v>0</v>
      </c>
      <c r="J1894" s="32" t="str">
        <f>UPPER(TEXT(F1894,"mmm")) &amp; " - " &amp; UPPER(TEXT(G1894,"mmm"))</f>
        <v>JUL - APR</v>
      </c>
      <c r="K1894" s="32" t="s">
        <v>3137</v>
      </c>
      <c r="L1894" s="77" t="s">
        <v>895</v>
      </c>
      <c r="M1894" s="32" t="str">
        <f t="shared" si="72"/>
        <v>No</v>
      </c>
      <c r="N1894" s="32">
        <f>G1894 - F1894</f>
        <v>275</v>
      </c>
      <c r="O1894">
        <v>1</v>
      </c>
    </row>
    <row r="1895" spans="1:15" x14ac:dyDescent="0.3">
      <c r="A1895" s="62" t="s">
        <v>3655</v>
      </c>
      <c r="B1895" s="77" t="s">
        <v>66</v>
      </c>
      <c r="C1895" s="77" t="s">
        <v>12</v>
      </c>
      <c r="D1895" s="62" t="s">
        <v>3656</v>
      </c>
      <c r="E1895" s="62" t="s">
        <v>3657</v>
      </c>
      <c r="F1895" s="78">
        <v>45266</v>
      </c>
      <c r="G1895" s="78">
        <v>45322</v>
      </c>
      <c r="H1895" s="79" t="str">
        <f t="shared" si="73"/>
        <v>ODD</v>
      </c>
      <c r="I1895" s="108">
        <v>0</v>
      </c>
      <c r="J1895" s="32" t="str">
        <f>UPPER(TEXT(F1895,"mmm")) &amp; " - " &amp; UPPER(TEXT(G1895,"mmm"))</f>
        <v>DEC - JAN</v>
      </c>
      <c r="K1895" s="32" t="s">
        <v>3137</v>
      </c>
      <c r="L1895" s="77" t="s">
        <v>895</v>
      </c>
      <c r="M1895" s="32" t="str">
        <f t="shared" si="72"/>
        <v>No</v>
      </c>
      <c r="N1895" s="32">
        <f>G1895 - F1895</f>
        <v>56</v>
      </c>
      <c r="O1895">
        <v>1</v>
      </c>
    </row>
    <row r="1896" spans="1:15" x14ac:dyDescent="0.3">
      <c r="A1896" s="62" t="s">
        <v>3645</v>
      </c>
      <c r="B1896" s="77" t="s">
        <v>66</v>
      </c>
      <c r="C1896" s="77" t="s">
        <v>12</v>
      </c>
      <c r="D1896" s="62" t="s">
        <v>694</v>
      </c>
      <c r="E1896" s="62" t="s">
        <v>3446</v>
      </c>
      <c r="F1896" s="78">
        <v>45261</v>
      </c>
      <c r="G1896" s="78">
        <v>45444</v>
      </c>
      <c r="H1896" s="79" t="str">
        <f t="shared" si="73"/>
        <v>ODD</v>
      </c>
      <c r="I1896" s="108">
        <v>0</v>
      </c>
      <c r="J1896" s="32" t="str">
        <f>UPPER(TEXT(F1896,"mmm")) &amp; " - " &amp; UPPER(TEXT(G1896,"mmm"))</f>
        <v>DEC - JUN</v>
      </c>
      <c r="K1896" s="32" t="s">
        <v>3137</v>
      </c>
      <c r="L1896" s="77" t="s">
        <v>895</v>
      </c>
      <c r="M1896" s="32" t="str">
        <f t="shared" si="72"/>
        <v>No</v>
      </c>
      <c r="N1896" s="32">
        <f>G1896 - F1896</f>
        <v>183</v>
      </c>
      <c r="O1896">
        <v>1</v>
      </c>
    </row>
    <row r="1897" spans="1:15" x14ac:dyDescent="0.3">
      <c r="A1897" s="62" t="s">
        <v>3658</v>
      </c>
      <c r="B1897" s="77" t="s">
        <v>66</v>
      </c>
      <c r="C1897" s="77" t="s">
        <v>12</v>
      </c>
      <c r="D1897" s="62" t="s">
        <v>1596</v>
      </c>
      <c r="E1897" s="62" t="s">
        <v>3659</v>
      </c>
      <c r="F1897" s="78">
        <v>45122</v>
      </c>
      <c r="G1897" s="78">
        <v>45499</v>
      </c>
      <c r="H1897" s="79" t="str">
        <f t="shared" si="73"/>
        <v>ODD</v>
      </c>
      <c r="I1897" s="108">
        <v>0</v>
      </c>
      <c r="J1897" s="32" t="str">
        <f>UPPER(TEXT(F1897,"mmm")) &amp; " - " &amp; UPPER(TEXT(G1897,"mmm"))</f>
        <v>JUL - JUL</v>
      </c>
      <c r="K1897" s="32" t="s">
        <v>3137</v>
      </c>
      <c r="L1897" s="77" t="s">
        <v>895</v>
      </c>
      <c r="M1897" s="32" t="str">
        <f t="shared" si="72"/>
        <v>No</v>
      </c>
      <c r="N1897" s="32">
        <f>G1897 - F1897</f>
        <v>377</v>
      </c>
      <c r="O1897">
        <v>1</v>
      </c>
    </row>
    <row r="1898" spans="1:15" x14ac:dyDescent="0.3">
      <c r="A1898" s="62" t="s">
        <v>3525</v>
      </c>
      <c r="B1898" s="77" t="s">
        <v>66</v>
      </c>
      <c r="C1898" s="77" t="s">
        <v>12</v>
      </c>
      <c r="D1898" s="62" t="s">
        <v>142</v>
      </c>
      <c r="E1898" s="62" t="s">
        <v>1789</v>
      </c>
      <c r="F1898" s="78">
        <v>45444</v>
      </c>
      <c r="G1898" s="78">
        <v>45473</v>
      </c>
      <c r="H1898" s="79" t="str">
        <f t="shared" si="73"/>
        <v>EVEN</v>
      </c>
      <c r="I1898" s="108">
        <v>0</v>
      </c>
      <c r="J1898" s="32" t="str">
        <f>UPPER(TEXT(F1898,"mmm")) &amp; " - " &amp; UPPER(TEXT(G1898,"mmm"))</f>
        <v>JUN - JUN</v>
      </c>
      <c r="K1898" s="32" t="s">
        <v>3137</v>
      </c>
      <c r="L1898" s="77" t="s">
        <v>895</v>
      </c>
      <c r="M1898" s="32" t="str">
        <f t="shared" si="72"/>
        <v>No</v>
      </c>
      <c r="N1898" s="32">
        <f>G1898 - F1898</f>
        <v>29</v>
      </c>
      <c r="O1898">
        <v>1</v>
      </c>
    </row>
    <row r="1899" spans="1:15" x14ac:dyDescent="0.3">
      <c r="A1899" s="62" t="s">
        <v>3615</v>
      </c>
      <c r="B1899" s="77" t="s">
        <v>66</v>
      </c>
      <c r="C1899" s="77" t="s">
        <v>12</v>
      </c>
      <c r="D1899" s="62" t="s">
        <v>3660</v>
      </c>
      <c r="E1899" s="62" t="s">
        <v>3661</v>
      </c>
      <c r="F1899" s="78">
        <v>45222</v>
      </c>
      <c r="G1899" s="78">
        <v>45504</v>
      </c>
      <c r="H1899" s="79" t="str">
        <f t="shared" si="73"/>
        <v>ODD</v>
      </c>
      <c r="I1899" s="108">
        <v>0</v>
      </c>
      <c r="J1899" s="32" t="str">
        <f>UPPER(TEXT(F1899,"mmm")) &amp; " - " &amp; UPPER(TEXT(G1899,"mmm"))</f>
        <v>OCT - JUL</v>
      </c>
      <c r="K1899" s="32" t="s">
        <v>3137</v>
      </c>
      <c r="L1899" s="77" t="s">
        <v>895</v>
      </c>
      <c r="M1899" s="32" t="str">
        <f t="shared" si="72"/>
        <v>No</v>
      </c>
      <c r="N1899" s="32">
        <f>G1899 - F1899</f>
        <v>282</v>
      </c>
      <c r="O1899">
        <v>1</v>
      </c>
    </row>
    <row r="1900" spans="1:15" x14ac:dyDescent="0.3">
      <c r="A1900" s="62" t="s">
        <v>3662</v>
      </c>
      <c r="B1900" s="77" t="s">
        <v>66</v>
      </c>
      <c r="C1900" s="77" t="s">
        <v>12</v>
      </c>
      <c r="D1900" s="62" t="s">
        <v>3208</v>
      </c>
      <c r="E1900" s="62" t="s">
        <v>3663</v>
      </c>
      <c r="F1900" s="78">
        <v>44905</v>
      </c>
      <c r="G1900" s="78">
        <v>45510</v>
      </c>
      <c r="H1900" s="79" t="str">
        <f t="shared" si="73"/>
        <v>EVEN</v>
      </c>
      <c r="I1900" s="108">
        <v>0</v>
      </c>
      <c r="J1900" s="32" t="str">
        <f>UPPER(TEXT(F1900,"mmm")) &amp; " - " &amp; UPPER(TEXT(G1900,"mmm"))</f>
        <v>DEC - AUG</v>
      </c>
      <c r="K1900" s="32" t="s">
        <v>3137</v>
      </c>
      <c r="L1900" s="77" t="s">
        <v>895</v>
      </c>
      <c r="M1900" s="32" t="str">
        <f t="shared" si="72"/>
        <v>No</v>
      </c>
      <c r="N1900" s="32">
        <f>G1900 - F1900</f>
        <v>605</v>
      </c>
      <c r="O1900">
        <v>1</v>
      </c>
    </row>
    <row r="1901" spans="1:15" x14ac:dyDescent="0.3">
      <c r="A1901" s="62" t="s">
        <v>3664</v>
      </c>
      <c r="B1901" s="77" t="s">
        <v>66</v>
      </c>
      <c r="C1901" s="77" t="s">
        <v>12</v>
      </c>
      <c r="D1901" s="62" t="s">
        <v>3665</v>
      </c>
      <c r="E1901" s="62" t="s">
        <v>3666</v>
      </c>
      <c r="F1901" s="78">
        <v>45108</v>
      </c>
      <c r="G1901" s="78">
        <v>45412</v>
      </c>
      <c r="H1901" s="79" t="str">
        <f t="shared" si="73"/>
        <v>EVEN</v>
      </c>
      <c r="I1901" s="108">
        <v>0</v>
      </c>
      <c r="J1901" s="32" t="str">
        <f>UPPER(TEXT(F1901,"mmm")) &amp; " - " &amp; UPPER(TEXT(G1901,"mmm"))</f>
        <v>JUL - APR</v>
      </c>
      <c r="K1901" s="32" t="s">
        <v>3137</v>
      </c>
      <c r="L1901" s="77" t="s">
        <v>895</v>
      </c>
      <c r="M1901" s="32" t="str">
        <f t="shared" si="72"/>
        <v>No</v>
      </c>
      <c r="N1901" s="32">
        <f>G1901 - F1901</f>
        <v>304</v>
      </c>
      <c r="O1901">
        <v>1</v>
      </c>
    </row>
    <row r="1902" spans="1:15" x14ac:dyDescent="0.3">
      <c r="A1902" s="62" t="s">
        <v>3667</v>
      </c>
      <c r="B1902" s="77" t="s">
        <v>66</v>
      </c>
      <c r="C1902" s="77" t="s">
        <v>12</v>
      </c>
      <c r="D1902" s="62" t="s">
        <v>593</v>
      </c>
      <c r="E1902" s="62" t="s">
        <v>3668</v>
      </c>
      <c r="F1902" s="78">
        <v>45158</v>
      </c>
      <c r="G1902" s="78">
        <v>45412</v>
      </c>
      <c r="H1902" s="79" t="str">
        <f t="shared" si="73"/>
        <v>ODD</v>
      </c>
      <c r="I1902" s="108">
        <v>0</v>
      </c>
      <c r="J1902" s="32" t="str">
        <f>UPPER(TEXT(F1902,"mmm")) &amp; " - " &amp; UPPER(TEXT(G1902,"mmm"))</f>
        <v>AUG - APR</v>
      </c>
      <c r="K1902" s="32" t="s">
        <v>3137</v>
      </c>
      <c r="L1902" s="77" t="s">
        <v>895</v>
      </c>
      <c r="M1902" s="32" t="str">
        <f t="shared" si="72"/>
        <v>No</v>
      </c>
      <c r="N1902" s="32">
        <f>G1902 - F1902</f>
        <v>254</v>
      </c>
      <c r="O1902">
        <v>1</v>
      </c>
    </row>
    <row r="1903" spans="1:15" x14ac:dyDescent="0.3">
      <c r="A1903" s="62" t="s">
        <v>2658</v>
      </c>
      <c r="B1903" s="77" t="s">
        <v>66</v>
      </c>
      <c r="C1903" s="77" t="s">
        <v>12</v>
      </c>
      <c r="D1903" s="62" t="s">
        <v>25</v>
      </c>
      <c r="E1903" s="62" t="s">
        <v>3669</v>
      </c>
      <c r="F1903" s="78">
        <v>45352</v>
      </c>
      <c r="G1903" s="78">
        <v>45535</v>
      </c>
      <c r="H1903" s="79" t="str">
        <f t="shared" si="73"/>
        <v>EVEN</v>
      </c>
      <c r="I1903" s="108">
        <v>0</v>
      </c>
      <c r="J1903" s="32" t="str">
        <f>UPPER(TEXT(F1903,"mmm")) &amp; " - " &amp; UPPER(TEXT(G1903,"mmm"))</f>
        <v>MAR - AUG</v>
      </c>
      <c r="K1903" s="32" t="s">
        <v>3137</v>
      </c>
      <c r="L1903" s="77" t="s">
        <v>895</v>
      </c>
      <c r="M1903" s="32" t="str">
        <f t="shared" si="72"/>
        <v>No</v>
      </c>
      <c r="N1903" s="32">
        <f>G1903 - F1903</f>
        <v>183</v>
      </c>
      <c r="O1903">
        <v>1</v>
      </c>
    </row>
    <row r="1904" spans="1:15" x14ac:dyDescent="0.3">
      <c r="A1904" s="62" t="s">
        <v>2658</v>
      </c>
      <c r="B1904" s="77" t="s">
        <v>66</v>
      </c>
      <c r="C1904" s="77" t="s">
        <v>12</v>
      </c>
      <c r="D1904" s="62" t="s">
        <v>3670</v>
      </c>
      <c r="E1904" s="62" t="s">
        <v>3671</v>
      </c>
      <c r="F1904" s="78">
        <v>45444</v>
      </c>
      <c r="G1904" s="78">
        <v>45535</v>
      </c>
      <c r="H1904" s="79" t="str">
        <f t="shared" si="73"/>
        <v>EVEN</v>
      </c>
      <c r="I1904" s="108">
        <v>0</v>
      </c>
      <c r="J1904" s="32" t="str">
        <f>UPPER(TEXT(F1904,"mmm")) &amp; " - " &amp; UPPER(TEXT(G1904,"mmm"))</f>
        <v>JUN - AUG</v>
      </c>
      <c r="K1904" s="32" t="s">
        <v>3137</v>
      </c>
      <c r="L1904" s="77" t="s">
        <v>895</v>
      </c>
      <c r="M1904" s="32" t="str">
        <f t="shared" si="72"/>
        <v>No</v>
      </c>
      <c r="N1904" s="32">
        <f>G1904 - F1904</f>
        <v>91</v>
      </c>
      <c r="O1904">
        <v>1</v>
      </c>
    </row>
    <row r="1905" spans="1:15" x14ac:dyDescent="0.3">
      <c r="A1905" s="62" t="s">
        <v>3672</v>
      </c>
      <c r="B1905" s="77" t="s">
        <v>66</v>
      </c>
      <c r="C1905" s="77" t="s">
        <v>12</v>
      </c>
      <c r="D1905" s="62" t="s">
        <v>3673</v>
      </c>
      <c r="E1905" s="62" t="s">
        <v>3674</v>
      </c>
      <c r="F1905" s="78">
        <v>45138</v>
      </c>
      <c r="G1905" s="78">
        <v>45504</v>
      </c>
      <c r="H1905" s="79" t="str">
        <f t="shared" si="73"/>
        <v>ODD</v>
      </c>
      <c r="I1905" s="108">
        <v>0</v>
      </c>
      <c r="J1905" s="32" t="str">
        <f>UPPER(TEXT(F1905,"mmm")) &amp; " - " &amp; UPPER(TEXT(G1905,"mmm"))</f>
        <v>JUL - JUL</v>
      </c>
      <c r="K1905" s="32" t="s">
        <v>3137</v>
      </c>
      <c r="L1905" s="77" t="s">
        <v>895</v>
      </c>
      <c r="M1905" s="32" t="str">
        <f t="shared" si="72"/>
        <v>No</v>
      </c>
      <c r="N1905" s="32">
        <f>G1905 - F1905</f>
        <v>366</v>
      </c>
      <c r="O1905">
        <v>1</v>
      </c>
    </row>
    <row r="1906" spans="1:15" x14ac:dyDescent="0.3">
      <c r="A1906" s="62" t="s">
        <v>3629</v>
      </c>
      <c r="B1906" s="77" t="s">
        <v>66</v>
      </c>
      <c r="C1906" s="77" t="s">
        <v>12</v>
      </c>
      <c r="D1906" s="62" t="s">
        <v>3675</v>
      </c>
      <c r="E1906" s="62" t="s">
        <v>3676</v>
      </c>
      <c r="F1906" s="78">
        <v>45108</v>
      </c>
      <c r="G1906" s="78">
        <v>45473</v>
      </c>
      <c r="H1906" s="79" t="str">
        <f t="shared" si="73"/>
        <v>EVEN</v>
      </c>
      <c r="I1906" s="108">
        <v>0</v>
      </c>
      <c r="J1906" s="32" t="str">
        <f>UPPER(TEXT(F1906,"mmm")) &amp; " - " &amp; UPPER(TEXT(G1906,"mmm"))</f>
        <v>JUL - JUN</v>
      </c>
      <c r="K1906" s="32" t="s">
        <v>3137</v>
      </c>
      <c r="L1906" s="77" t="s">
        <v>895</v>
      </c>
      <c r="M1906" s="32" t="str">
        <f t="shared" si="72"/>
        <v>No</v>
      </c>
      <c r="N1906" s="32">
        <f>G1906 - F1906</f>
        <v>365</v>
      </c>
      <c r="O1906">
        <v>1</v>
      </c>
    </row>
    <row r="1907" spans="1:15" x14ac:dyDescent="0.3">
      <c r="A1907" s="62" t="s">
        <v>3499</v>
      </c>
      <c r="B1907" s="77" t="s">
        <v>66</v>
      </c>
      <c r="C1907" s="77" t="s">
        <v>12</v>
      </c>
      <c r="D1907" s="62" t="s">
        <v>3632</v>
      </c>
      <c r="E1907" s="62" t="s">
        <v>3677</v>
      </c>
      <c r="F1907" s="78">
        <v>45309</v>
      </c>
      <c r="G1907" s="78">
        <v>45310</v>
      </c>
      <c r="H1907" s="79" t="str">
        <f t="shared" si="73"/>
        <v>EVEN</v>
      </c>
      <c r="I1907" s="108">
        <v>0</v>
      </c>
      <c r="J1907" s="32" t="str">
        <f>UPPER(TEXT(F1907,"mmm")) &amp; " - " &amp; UPPER(TEXT(G1907,"mmm"))</f>
        <v>JAN - JAN</v>
      </c>
      <c r="K1907" s="32" t="s">
        <v>3137</v>
      </c>
      <c r="L1907" s="77" t="s">
        <v>895</v>
      </c>
      <c r="M1907" s="32" t="str">
        <f t="shared" si="72"/>
        <v>No</v>
      </c>
      <c r="N1907" s="32">
        <f>G1907 - F1907</f>
        <v>1</v>
      </c>
      <c r="O1907">
        <v>1</v>
      </c>
    </row>
    <row r="1908" spans="1:15" x14ac:dyDescent="0.3">
      <c r="A1908" s="80" t="s">
        <v>3678</v>
      </c>
      <c r="B1908" s="85" t="s">
        <v>11</v>
      </c>
      <c r="C1908" s="85" t="s">
        <v>12</v>
      </c>
      <c r="D1908" s="80" t="s">
        <v>3679</v>
      </c>
      <c r="E1908" s="80" t="s">
        <v>3680</v>
      </c>
      <c r="F1908" s="81">
        <v>45436</v>
      </c>
      <c r="G1908" s="81">
        <v>45504</v>
      </c>
      <c r="H1908" s="89" t="str">
        <f>IF(AND(F1908&gt;=DATE(2024,7,15), F1908&lt;=DATE(2024,12,31)), "ODD", "EVEN")</f>
        <v>EVEN</v>
      </c>
      <c r="I1908" s="109">
        <v>0</v>
      </c>
      <c r="J1908" s="87" t="str">
        <f>UPPER(TEXT(F1908,"mmm")) &amp; " - " &amp; UPPER(TEXT(G1908,"mmm"))</f>
        <v>MAY - JUL</v>
      </c>
      <c r="K1908" s="87" t="s">
        <v>3681</v>
      </c>
      <c r="L1908" s="99" t="s">
        <v>3895</v>
      </c>
      <c r="M1908" s="32" t="str">
        <f t="shared" si="72"/>
        <v>No</v>
      </c>
      <c r="N1908" s="32">
        <f>G1908 - F1908</f>
        <v>68</v>
      </c>
      <c r="O1908">
        <v>1</v>
      </c>
    </row>
    <row r="1909" spans="1:15" x14ac:dyDescent="0.3">
      <c r="A1909" s="82" t="s">
        <v>3682</v>
      </c>
      <c r="B1909" s="86" t="s">
        <v>11</v>
      </c>
      <c r="C1909" s="86" t="s">
        <v>12</v>
      </c>
      <c r="D1909" s="82" t="s">
        <v>3683</v>
      </c>
      <c r="E1909" s="82" t="s">
        <v>3684</v>
      </c>
      <c r="F1909" s="83">
        <v>45547</v>
      </c>
      <c r="G1909" s="83">
        <v>45638</v>
      </c>
      <c r="H1909" s="89" t="str">
        <f t="shared" ref="H1909:H1972" si="74">IF(AND(F1909&gt;=DATE(2024,7,15), F1909&lt;=DATE(2024,12,31)), "ODD", "EVEN")</f>
        <v>ODD</v>
      </c>
      <c r="I1909" s="110">
        <v>0</v>
      </c>
      <c r="J1909" s="88" t="str">
        <f>UPPER(TEXT(F1909,"mmm")) &amp; " - " &amp; UPPER(TEXT(G1909,"mmm"))</f>
        <v>SEP - DEC</v>
      </c>
      <c r="K1909" s="88" t="s">
        <v>3681</v>
      </c>
      <c r="L1909" s="99" t="s">
        <v>3895</v>
      </c>
      <c r="M1909" s="32" t="str">
        <f t="shared" si="72"/>
        <v>No</v>
      </c>
      <c r="N1909" s="32">
        <f>G1909 - F1909</f>
        <v>91</v>
      </c>
      <c r="O1909">
        <v>1</v>
      </c>
    </row>
    <row r="1910" spans="1:15" x14ac:dyDescent="0.3">
      <c r="A1910" s="80" t="s">
        <v>3549</v>
      </c>
      <c r="B1910" s="85" t="s">
        <v>70</v>
      </c>
      <c r="C1910" s="85" t="s">
        <v>12</v>
      </c>
      <c r="D1910" s="84" t="s">
        <v>3685</v>
      </c>
      <c r="E1910" s="80" t="s">
        <v>3686</v>
      </c>
      <c r="F1910" s="81">
        <v>45612</v>
      </c>
      <c r="G1910" s="81">
        <v>45668</v>
      </c>
      <c r="H1910" s="89" t="str">
        <f t="shared" si="74"/>
        <v>ODD</v>
      </c>
      <c r="I1910" s="109">
        <v>0</v>
      </c>
      <c r="J1910" s="87" t="str">
        <f>UPPER(TEXT(F1910,"mmm")) &amp; " - " &amp; UPPER(TEXT(G1910,"mmm"))</f>
        <v>NOV - JAN</v>
      </c>
      <c r="K1910" s="87" t="s">
        <v>3681</v>
      </c>
      <c r="L1910" s="99" t="s">
        <v>3895</v>
      </c>
      <c r="M1910" s="32" t="str">
        <f t="shared" si="72"/>
        <v>No</v>
      </c>
      <c r="N1910" s="32">
        <f>G1910 - F1910</f>
        <v>56</v>
      </c>
      <c r="O1910">
        <v>1</v>
      </c>
    </row>
    <row r="1911" spans="1:15" x14ac:dyDescent="0.3">
      <c r="A1911" s="82" t="s">
        <v>3549</v>
      </c>
      <c r="B1911" s="86" t="s">
        <v>70</v>
      </c>
      <c r="C1911" s="86" t="s">
        <v>12</v>
      </c>
      <c r="D1911" s="82" t="s">
        <v>260</v>
      </c>
      <c r="E1911" s="82" t="s">
        <v>3687</v>
      </c>
      <c r="F1911" s="83">
        <v>45659</v>
      </c>
      <c r="G1911" s="83">
        <v>45687</v>
      </c>
      <c r="H1911" s="89" t="str">
        <f t="shared" si="74"/>
        <v>EVEN</v>
      </c>
      <c r="I1911" s="110">
        <v>0</v>
      </c>
      <c r="J1911" s="88" t="str">
        <f>UPPER(TEXT(F1911,"mmm")) &amp; " - " &amp; UPPER(TEXT(G1911,"mmm"))</f>
        <v>JAN - JAN</v>
      </c>
      <c r="K1911" s="88" t="s">
        <v>3681</v>
      </c>
      <c r="L1911" s="99" t="s">
        <v>3895</v>
      </c>
      <c r="M1911" s="32" t="str">
        <f t="shared" si="72"/>
        <v>No</v>
      </c>
      <c r="N1911" s="32">
        <f>G1911 - F1911</f>
        <v>28</v>
      </c>
      <c r="O1911">
        <v>1</v>
      </c>
    </row>
    <row r="1912" spans="1:15" x14ac:dyDescent="0.3">
      <c r="A1912" s="80" t="s">
        <v>3549</v>
      </c>
      <c r="B1912" s="85" t="s">
        <v>70</v>
      </c>
      <c r="C1912" s="85" t="s">
        <v>12</v>
      </c>
      <c r="D1912" s="80" t="s">
        <v>260</v>
      </c>
      <c r="E1912" s="80" t="s">
        <v>3688</v>
      </c>
      <c r="F1912" s="81">
        <v>45659</v>
      </c>
      <c r="G1912" s="81">
        <v>45687</v>
      </c>
      <c r="H1912" s="89" t="str">
        <f t="shared" si="74"/>
        <v>EVEN</v>
      </c>
      <c r="I1912" s="109">
        <v>0</v>
      </c>
      <c r="J1912" s="87" t="str">
        <f>UPPER(TEXT(F1912,"mmm")) &amp; " - " &amp; UPPER(TEXT(G1912,"mmm"))</f>
        <v>JAN - JAN</v>
      </c>
      <c r="K1912" s="87" t="s">
        <v>3681</v>
      </c>
      <c r="L1912" s="99" t="s">
        <v>3895</v>
      </c>
      <c r="M1912" s="32" t="str">
        <f t="shared" si="72"/>
        <v>No</v>
      </c>
      <c r="N1912" s="32">
        <f>G1912 - F1912</f>
        <v>28</v>
      </c>
      <c r="O1912">
        <v>1</v>
      </c>
    </row>
    <row r="1913" spans="1:15" x14ac:dyDescent="0.3">
      <c r="A1913" s="82" t="s">
        <v>3549</v>
      </c>
      <c r="B1913" s="86" t="s">
        <v>70</v>
      </c>
      <c r="C1913" s="86" t="s">
        <v>12</v>
      </c>
      <c r="D1913" s="82" t="s">
        <v>260</v>
      </c>
      <c r="E1913" s="82" t="s">
        <v>3689</v>
      </c>
      <c r="F1913" s="83">
        <v>45659</v>
      </c>
      <c r="G1913" s="83">
        <v>45687</v>
      </c>
      <c r="H1913" s="89" t="str">
        <f t="shared" si="74"/>
        <v>EVEN</v>
      </c>
      <c r="I1913" s="110">
        <v>0</v>
      </c>
      <c r="J1913" s="88" t="str">
        <f>UPPER(TEXT(F1913,"mmm")) &amp; " - " &amp; UPPER(TEXT(G1913,"mmm"))</f>
        <v>JAN - JAN</v>
      </c>
      <c r="K1913" s="88" t="s">
        <v>3681</v>
      </c>
      <c r="L1913" s="99" t="s">
        <v>3895</v>
      </c>
      <c r="M1913" s="32" t="str">
        <f t="shared" si="72"/>
        <v>No</v>
      </c>
      <c r="N1913" s="32">
        <f>G1913 - F1913</f>
        <v>28</v>
      </c>
      <c r="O1913">
        <v>1</v>
      </c>
    </row>
    <row r="1914" spans="1:15" x14ac:dyDescent="0.3">
      <c r="A1914" s="80" t="s">
        <v>3549</v>
      </c>
      <c r="B1914" s="85" t="s">
        <v>70</v>
      </c>
      <c r="C1914" s="85" t="s">
        <v>12</v>
      </c>
      <c r="D1914" s="80" t="s">
        <v>260</v>
      </c>
      <c r="E1914" s="80" t="s">
        <v>3688</v>
      </c>
      <c r="F1914" s="81">
        <v>45665</v>
      </c>
      <c r="G1914" s="81">
        <v>45695</v>
      </c>
      <c r="H1914" s="89" t="str">
        <f t="shared" si="74"/>
        <v>EVEN</v>
      </c>
      <c r="I1914" s="109">
        <v>0</v>
      </c>
      <c r="J1914" s="87" t="str">
        <f>UPPER(TEXT(F1914,"mmm")) &amp; " - " &amp; UPPER(TEXT(G1914,"mmm"))</f>
        <v>JAN - FEB</v>
      </c>
      <c r="K1914" s="87" t="s">
        <v>3681</v>
      </c>
      <c r="L1914" s="99" t="s">
        <v>3895</v>
      </c>
      <c r="M1914" s="32" t="str">
        <f t="shared" si="72"/>
        <v>No</v>
      </c>
      <c r="N1914" s="32">
        <f>G1914 - F1914</f>
        <v>30</v>
      </c>
      <c r="O1914">
        <v>1</v>
      </c>
    </row>
    <row r="1915" spans="1:15" x14ac:dyDescent="0.3">
      <c r="A1915" s="82" t="s">
        <v>3549</v>
      </c>
      <c r="B1915" s="86" t="s">
        <v>70</v>
      </c>
      <c r="C1915" s="86" t="s">
        <v>12</v>
      </c>
      <c r="D1915" s="82" t="s">
        <v>260</v>
      </c>
      <c r="E1915" s="82" t="s">
        <v>3690</v>
      </c>
      <c r="F1915" s="83">
        <v>45667</v>
      </c>
      <c r="G1915" s="83">
        <v>45695</v>
      </c>
      <c r="H1915" s="89" t="str">
        <f t="shared" si="74"/>
        <v>EVEN</v>
      </c>
      <c r="I1915" s="110">
        <v>0</v>
      </c>
      <c r="J1915" s="88" t="str">
        <f>UPPER(TEXT(F1915,"mmm")) &amp; " - " &amp; UPPER(TEXT(G1915,"mmm"))</f>
        <v>JAN - FEB</v>
      </c>
      <c r="K1915" s="88" t="s">
        <v>3681</v>
      </c>
      <c r="L1915" s="99" t="s">
        <v>3895</v>
      </c>
      <c r="M1915" s="32" t="str">
        <f t="shared" si="72"/>
        <v>No</v>
      </c>
      <c r="N1915" s="32">
        <f>G1915 - F1915</f>
        <v>28</v>
      </c>
      <c r="O1915">
        <v>1</v>
      </c>
    </row>
    <row r="1916" spans="1:15" x14ac:dyDescent="0.3">
      <c r="A1916" s="80" t="s">
        <v>3549</v>
      </c>
      <c r="B1916" s="85" t="s">
        <v>70</v>
      </c>
      <c r="C1916" s="85" t="s">
        <v>12</v>
      </c>
      <c r="D1916" s="80" t="s">
        <v>260</v>
      </c>
      <c r="E1916" s="80" t="s">
        <v>3691</v>
      </c>
      <c r="F1916" s="81">
        <v>45671</v>
      </c>
      <c r="G1916" s="81">
        <v>45695</v>
      </c>
      <c r="H1916" s="89" t="str">
        <f t="shared" si="74"/>
        <v>EVEN</v>
      </c>
      <c r="I1916" s="109">
        <v>0</v>
      </c>
      <c r="J1916" s="87" t="str">
        <f>UPPER(TEXT(F1916,"mmm")) &amp; " - " &amp; UPPER(TEXT(G1916,"mmm"))</f>
        <v>JAN - FEB</v>
      </c>
      <c r="K1916" s="87" t="s">
        <v>3681</v>
      </c>
      <c r="L1916" s="99" t="s">
        <v>3895</v>
      </c>
      <c r="M1916" s="32" t="str">
        <f t="shared" si="72"/>
        <v>No</v>
      </c>
      <c r="N1916" s="32">
        <f>G1916 - F1916</f>
        <v>24</v>
      </c>
      <c r="O1916">
        <v>1</v>
      </c>
    </row>
    <row r="1917" spans="1:15" x14ac:dyDescent="0.3">
      <c r="A1917" s="82" t="s">
        <v>3499</v>
      </c>
      <c r="B1917" s="86" t="s">
        <v>70</v>
      </c>
      <c r="C1917" s="86" t="s">
        <v>12</v>
      </c>
      <c r="D1917" s="82" t="s">
        <v>3692</v>
      </c>
      <c r="E1917" s="82" t="s">
        <v>3693</v>
      </c>
      <c r="F1917" s="83">
        <v>45545</v>
      </c>
      <c r="G1917" s="83">
        <v>45606</v>
      </c>
      <c r="H1917" s="89" t="str">
        <f t="shared" si="74"/>
        <v>ODD</v>
      </c>
      <c r="I1917" s="110">
        <v>0</v>
      </c>
      <c r="J1917" s="88" t="str">
        <f>UPPER(TEXT(F1917,"mmm")) &amp; " - " &amp; UPPER(TEXT(G1917,"mmm"))</f>
        <v>SEP - NOV</v>
      </c>
      <c r="K1917" s="88" t="s">
        <v>3681</v>
      </c>
      <c r="L1917" s="99" t="s">
        <v>3895</v>
      </c>
      <c r="M1917" s="32" t="str">
        <f t="shared" si="72"/>
        <v>No</v>
      </c>
      <c r="N1917" s="32">
        <f>G1917 - F1917</f>
        <v>61</v>
      </c>
      <c r="O1917">
        <v>1</v>
      </c>
    </row>
    <row r="1918" spans="1:15" x14ac:dyDescent="0.3">
      <c r="A1918" s="80" t="s">
        <v>3694</v>
      </c>
      <c r="B1918" s="85" t="s">
        <v>70</v>
      </c>
      <c r="C1918" s="85" t="s">
        <v>12</v>
      </c>
      <c r="D1918" s="80" t="s">
        <v>2369</v>
      </c>
      <c r="E1918" s="80" t="s">
        <v>3695</v>
      </c>
      <c r="F1918" s="81">
        <v>45566</v>
      </c>
      <c r="G1918" s="81">
        <v>45596</v>
      </c>
      <c r="H1918" s="89" t="str">
        <f t="shared" si="74"/>
        <v>ODD</v>
      </c>
      <c r="I1918" s="109">
        <v>5000</v>
      </c>
      <c r="J1918" s="87" t="str">
        <f>UPPER(TEXT(F1918,"mmm")) &amp; " - " &amp; UPPER(TEXT(G1918,"mmm"))</f>
        <v>OCT - OCT</v>
      </c>
      <c r="K1918" s="87" t="s">
        <v>3681</v>
      </c>
      <c r="L1918" s="99" t="s">
        <v>3895</v>
      </c>
      <c r="M1918" s="32" t="str">
        <f t="shared" si="72"/>
        <v>Yes</v>
      </c>
      <c r="N1918" s="32">
        <f>G1918 - F1918</f>
        <v>30</v>
      </c>
      <c r="O1918">
        <v>1</v>
      </c>
    </row>
    <row r="1919" spans="1:15" x14ac:dyDescent="0.3">
      <c r="A1919" s="82" t="s">
        <v>3694</v>
      </c>
      <c r="B1919" s="86" t="s">
        <v>70</v>
      </c>
      <c r="C1919" s="86" t="s">
        <v>12</v>
      </c>
      <c r="D1919" s="82" t="s">
        <v>2369</v>
      </c>
      <c r="E1919" s="82" t="s">
        <v>3695</v>
      </c>
      <c r="F1919" s="83">
        <v>45627</v>
      </c>
      <c r="G1919" s="83">
        <v>45657</v>
      </c>
      <c r="H1919" s="89" t="str">
        <f t="shared" si="74"/>
        <v>ODD</v>
      </c>
      <c r="I1919" s="110">
        <v>5000</v>
      </c>
      <c r="J1919" s="88" t="str">
        <f>UPPER(TEXT(F1919,"mmm")) &amp; " - " &amp; UPPER(TEXT(G1919,"mmm"))</f>
        <v>DEC - DEC</v>
      </c>
      <c r="K1919" s="88" t="s">
        <v>3681</v>
      </c>
      <c r="L1919" s="99" t="s">
        <v>3895</v>
      </c>
      <c r="M1919" s="32" t="str">
        <f t="shared" si="72"/>
        <v>Yes</v>
      </c>
      <c r="N1919" s="32">
        <f>G1919 - F1919</f>
        <v>30</v>
      </c>
      <c r="O1919">
        <v>1</v>
      </c>
    </row>
    <row r="1920" spans="1:15" x14ac:dyDescent="0.3">
      <c r="A1920" s="80" t="s">
        <v>2550</v>
      </c>
      <c r="B1920" s="85" t="s">
        <v>70</v>
      </c>
      <c r="C1920" s="85" t="s">
        <v>12</v>
      </c>
      <c r="D1920" s="80" t="s">
        <v>3696</v>
      </c>
      <c r="E1920" s="80" t="s">
        <v>3697</v>
      </c>
      <c r="F1920" s="81">
        <v>45671</v>
      </c>
      <c r="G1920" s="81">
        <v>45728</v>
      </c>
      <c r="H1920" s="89" t="str">
        <f t="shared" si="74"/>
        <v>EVEN</v>
      </c>
      <c r="I1920" s="109">
        <v>10000</v>
      </c>
      <c r="J1920" s="87" t="str">
        <f>UPPER(TEXT(F1920,"mmm")) &amp; " - " &amp; UPPER(TEXT(G1920,"mmm"))</f>
        <v>JAN - MAR</v>
      </c>
      <c r="K1920" s="87" t="s">
        <v>3681</v>
      </c>
      <c r="L1920" s="99" t="s">
        <v>3895</v>
      </c>
      <c r="M1920" s="32" t="str">
        <f t="shared" si="72"/>
        <v>Yes</v>
      </c>
      <c r="N1920" s="32">
        <f>G1920 - F1920</f>
        <v>57</v>
      </c>
      <c r="O1920">
        <v>1</v>
      </c>
    </row>
    <row r="1921" spans="1:15" x14ac:dyDescent="0.3">
      <c r="A1921" s="82" t="s">
        <v>3678</v>
      </c>
      <c r="B1921" s="86" t="s">
        <v>78</v>
      </c>
      <c r="C1921" s="86" t="s">
        <v>12</v>
      </c>
      <c r="D1921" s="82" t="s">
        <v>3698</v>
      </c>
      <c r="E1921" s="82" t="s">
        <v>3083</v>
      </c>
      <c r="F1921" s="83">
        <v>45628</v>
      </c>
      <c r="G1921" s="83">
        <v>45659</v>
      </c>
      <c r="H1921" s="89" t="str">
        <f t="shared" si="74"/>
        <v>ODD</v>
      </c>
      <c r="I1921" s="110">
        <v>0</v>
      </c>
      <c r="J1921" s="88" t="str">
        <f>UPPER(TEXT(F1921,"mmm")) &amp; " - " &amp; UPPER(TEXT(G1921,"mmm"))</f>
        <v>DEC - JAN</v>
      </c>
      <c r="K1921" s="88" t="s">
        <v>3681</v>
      </c>
      <c r="L1921" s="99" t="s">
        <v>3895</v>
      </c>
      <c r="M1921" s="32" t="str">
        <f t="shared" ref="M1921:M1984" si="75">IF(I1921 &gt; 0, "Yes", "No")</f>
        <v>No</v>
      </c>
      <c r="N1921" s="32">
        <f>G1921 - F1921</f>
        <v>31</v>
      </c>
      <c r="O1921">
        <v>1</v>
      </c>
    </row>
    <row r="1922" spans="1:15" x14ac:dyDescent="0.3">
      <c r="A1922" s="80" t="s">
        <v>3699</v>
      </c>
      <c r="B1922" s="85" t="s">
        <v>78</v>
      </c>
      <c r="C1922" s="85" t="s">
        <v>12</v>
      </c>
      <c r="D1922" s="80" t="s">
        <v>3700</v>
      </c>
      <c r="E1922" s="80" t="s">
        <v>3701</v>
      </c>
      <c r="F1922" s="81">
        <v>45628</v>
      </c>
      <c r="G1922" s="81">
        <v>45658</v>
      </c>
      <c r="H1922" s="89" t="str">
        <f t="shared" si="74"/>
        <v>ODD</v>
      </c>
      <c r="I1922" s="109">
        <v>0</v>
      </c>
      <c r="J1922" s="87" t="str">
        <f>UPPER(TEXT(F1922,"mmm")) &amp; " - " &amp; UPPER(TEXT(G1922,"mmm"))</f>
        <v>DEC - JAN</v>
      </c>
      <c r="K1922" s="87" t="s">
        <v>3681</v>
      </c>
      <c r="L1922" s="99" t="s">
        <v>3895</v>
      </c>
      <c r="M1922" s="32" t="str">
        <f t="shared" si="75"/>
        <v>No</v>
      </c>
      <c r="N1922" s="32">
        <f>G1922 - F1922</f>
        <v>30</v>
      </c>
      <c r="O1922">
        <v>1</v>
      </c>
    </row>
    <row r="1923" spans="1:15" x14ac:dyDescent="0.3">
      <c r="A1923" s="82" t="s">
        <v>3702</v>
      </c>
      <c r="B1923" s="86" t="s">
        <v>78</v>
      </c>
      <c r="C1923" s="86" t="s">
        <v>12</v>
      </c>
      <c r="D1923" s="82" t="s">
        <v>3703</v>
      </c>
      <c r="E1923" s="82" t="s">
        <v>3704</v>
      </c>
      <c r="F1923" s="83">
        <v>45628</v>
      </c>
      <c r="G1923" s="83">
        <v>45657</v>
      </c>
      <c r="H1923" s="89" t="str">
        <f t="shared" si="74"/>
        <v>ODD</v>
      </c>
      <c r="I1923" s="110">
        <v>0</v>
      </c>
      <c r="J1923" s="88" t="str">
        <f>UPPER(TEXT(F1923,"mmm")) &amp; " - " &amp; UPPER(TEXT(G1923,"mmm"))</f>
        <v>DEC - DEC</v>
      </c>
      <c r="K1923" s="88" t="s">
        <v>3681</v>
      </c>
      <c r="L1923" s="99" t="s">
        <v>3895</v>
      </c>
      <c r="M1923" s="32" t="str">
        <f t="shared" si="75"/>
        <v>No</v>
      </c>
      <c r="N1923" s="32">
        <f>G1923 - F1923</f>
        <v>29</v>
      </c>
      <c r="O1923">
        <v>1</v>
      </c>
    </row>
    <row r="1924" spans="1:15" x14ac:dyDescent="0.3">
      <c r="A1924" s="80" t="s">
        <v>3705</v>
      </c>
      <c r="B1924" s="85" t="s">
        <v>78</v>
      </c>
      <c r="C1924" s="85" t="s">
        <v>12</v>
      </c>
      <c r="D1924" s="80" t="s">
        <v>3706</v>
      </c>
      <c r="E1924" s="80" t="s">
        <v>3707</v>
      </c>
      <c r="F1924" s="81">
        <v>45635</v>
      </c>
      <c r="G1924" s="81">
        <v>45661</v>
      </c>
      <c r="H1924" s="89" t="str">
        <f t="shared" si="74"/>
        <v>ODD</v>
      </c>
      <c r="I1924" s="109">
        <v>10000</v>
      </c>
      <c r="J1924" s="87" t="str">
        <f>UPPER(TEXT(F1924,"mmm")) &amp; " - " &amp; UPPER(TEXT(G1924,"mmm"))</f>
        <v>DEC - JAN</v>
      </c>
      <c r="K1924" s="87" t="s">
        <v>3681</v>
      </c>
      <c r="L1924" s="99" t="s">
        <v>3895</v>
      </c>
      <c r="M1924" s="32" t="str">
        <f t="shared" si="75"/>
        <v>Yes</v>
      </c>
      <c r="N1924" s="32">
        <f>G1924 - F1924</f>
        <v>26</v>
      </c>
      <c r="O1924">
        <v>1</v>
      </c>
    </row>
    <row r="1925" spans="1:15" x14ac:dyDescent="0.3">
      <c r="A1925" s="82" t="s">
        <v>3708</v>
      </c>
      <c r="B1925" s="86" t="s">
        <v>78</v>
      </c>
      <c r="C1925" s="86" t="s">
        <v>12</v>
      </c>
      <c r="D1925" s="82" t="s">
        <v>3709</v>
      </c>
      <c r="E1925" s="82" t="s">
        <v>3710</v>
      </c>
      <c r="F1925" s="83">
        <v>45628</v>
      </c>
      <c r="G1925" s="83">
        <v>45653</v>
      </c>
      <c r="H1925" s="89" t="str">
        <f t="shared" si="74"/>
        <v>ODD</v>
      </c>
      <c r="I1925" s="110">
        <v>7500</v>
      </c>
      <c r="J1925" s="88" t="str">
        <f>UPPER(TEXT(F1925,"mmm")) &amp; " - " &amp; UPPER(TEXT(G1925,"mmm"))</f>
        <v>DEC - DEC</v>
      </c>
      <c r="K1925" s="88" t="s">
        <v>3681</v>
      </c>
      <c r="L1925" s="99" t="s">
        <v>3895</v>
      </c>
      <c r="M1925" s="32" t="str">
        <f t="shared" si="75"/>
        <v>Yes</v>
      </c>
      <c r="N1925" s="32">
        <f>G1925 - F1925</f>
        <v>25</v>
      </c>
      <c r="O1925">
        <v>1</v>
      </c>
    </row>
    <row r="1926" spans="1:15" x14ac:dyDescent="0.3">
      <c r="A1926" s="80" t="s">
        <v>3711</v>
      </c>
      <c r="B1926" s="85" t="s">
        <v>78</v>
      </c>
      <c r="C1926" s="85" t="s">
        <v>12</v>
      </c>
      <c r="D1926" s="80" t="s">
        <v>3712</v>
      </c>
      <c r="E1926" s="80" t="s">
        <v>3713</v>
      </c>
      <c r="F1926" s="81">
        <v>45444</v>
      </c>
      <c r="G1926" s="81">
        <v>45474</v>
      </c>
      <c r="H1926" s="89" t="str">
        <f t="shared" si="74"/>
        <v>EVEN</v>
      </c>
      <c r="I1926" s="109">
        <v>0</v>
      </c>
      <c r="J1926" s="87" t="str">
        <f>UPPER(TEXT(F1926,"mmm")) &amp; " - " &amp; UPPER(TEXT(G1926,"mmm"))</f>
        <v>JUN - JUL</v>
      </c>
      <c r="K1926" s="87" t="s">
        <v>3681</v>
      </c>
      <c r="L1926" s="99" t="s">
        <v>3895</v>
      </c>
      <c r="M1926" s="32" t="str">
        <f t="shared" si="75"/>
        <v>No</v>
      </c>
      <c r="N1926" s="32">
        <f>G1926 - F1926</f>
        <v>30</v>
      </c>
      <c r="O1926">
        <v>1</v>
      </c>
    </row>
    <row r="1927" spans="1:15" x14ac:dyDescent="0.3">
      <c r="A1927" s="82" t="s">
        <v>3714</v>
      </c>
      <c r="B1927" s="86" t="s">
        <v>78</v>
      </c>
      <c r="C1927" s="86" t="s">
        <v>12</v>
      </c>
      <c r="D1927" s="82" t="s">
        <v>3715</v>
      </c>
      <c r="E1927" s="82" t="s">
        <v>3716</v>
      </c>
      <c r="F1927" s="83">
        <v>45628</v>
      </c>
      <c r="G1927" s="83">
        <v>45657</v>
      </c>
      <c r="H1927" s="89" t="str">
        <f t="shared" si="74"/>
        <v>ODD</v>
      </c>
      <c r="I1927" s="110">
        <v>10000</v>
      </c>
      <c r="J1927" s="88" t="str">
        <f>UPPER(TEXT(F1927,"mmm")) &amp; " - " &amp; UPPER(TEXT(G1927,"mmm"))</f>
        <v>DEC - DEC</v>
      </c>
      <c r="K1927" s="88" t="s">
        <v>3681</v>
      </c>
      <c r="L1927" s="99" t="s">
        <v>3895</v>
      </c>
      <c r="M1927" s="32" t="str">
        <f t="shared" si="75"/>
        <v>Yes</v>
      </c>
      <c r="N1927" s="32">
        <f>G1927 - F1927</f>
        <v>29</v>
      </c>
      <c r="O1927">
        <v>1</v>
      </c>
    </row>
    <row r="1928" spans="1:15" x14ac:dyDescent="0.3">
      <c r="A1928" s="80" t="s">
        <v>3717</v>
      </c>
      <c r="B1928" s="85" t="s">
        <v>78</v>
      </c>
      <c r="C1928" s="85" t="s">
        <v>12</v>
      </c>
      <c r="D1928" s="80" t="s">
        <v>3718</v>
      </c>
      <c r="E1928" s="80" t="s">
        <v>3719</v>
      </c>
      <c r="F1928" s="81">
        <v>45628</v>
      </c>
      <c r="G1928" s="81">
        <v>45653</v>
      </c>
      <c r="H1928" s="89" t="str">
        <f t="shared" si="74"/>
        <v>ODD</v>
      </c>
      <c r="I1928" s="109">
        <v>0</v>
      </c>
      <c r="J1928" s="87" t="str">
        <f>UPPER(TEXT(F1928,"mmm")) &amp; " - " &amp; UPPER(TEXT(G1928,"mmm"))</f>
        <v>DEC - DEC</v>
      </c>
      <c r="K1928" s="87" t="s">
        <v>3681</v>
      </c>
      <c r="L1928" s="99" t="s">
        <v>3895</v>
      </c>
      <c r="M1928" s="32" t="str">
        <f t="shared" si="75"/>
        <v>No</v>
      </c>
      <c r="N1928" s="32">
        <f>G1928 - F1928</f>
        <v>25</v>
      </c>
      <c r="O1928">
        <v>1</v>
      </c>
    </row>
    <row r="1929" spans="1:15" x14ac:dyDescent="0.3">
      <c r="A1929" s="82" t="s">
        <v>3720</v>
      </c>
      <c r="B1929" s="86" t="s">
        <v>78</v>
      </c>
      <c r="C1929" s="86" t="s">
        <v>12</v>
      </c>
      <c r="D1929" s="82" t="s">
        <v>3721</v>
      </c>
      <c r="E1929" s="82" t="s">
        <v>3722</v>
      </c>
      <c r="F1929" s="83">
        <v>45596</v>
      </c>
      <c r="G1929" s="83">
        <v>45656</v>
      </c>
      <c r="H1929" s="89" t="str">
        <f t="shared" si="74"/>
        <v>ODD</v>
      </c>
      <c r="I1929" s="110">
        <v>0</v>
      </c>
      <c r="J1929" s="88" t="str">
        <f>UPPER(TEXT(F1929,"mmm")) &amp; " - " &amp; UPPER(TEXT(G1929,"mmm"))</f>
        <v>OCT - DEC</v>
      </c>
      <c r="K1929" s="88" t="s">
        <v>3681</v>
      </c>
      <c r="L1929" s="99" t="s">
        <v>3895</v>
      </c>
      <c r="M1929" s="32" t="str">
        <f t="shared" si="75"/>
        <v>No</v>
      </c>
      <c r="N1929" s="32">
        <f>G1929 - F1929</f>
        <v>60</v>
      </c>
      <c r="O1929">
        <v>1</v>
      </c>
    </row>
    <row r="1930" spans="1:15" x14ac:dyDescent="0.3">
      <c r="A1930" s="80" t="s">
        <v>3217</v>
      </c>
      <c r="B1930" s="85" t="s">
        <v>78</v>
      </c>
      <c r="C1930" s="85" t="s">
        <v>12</v>
      </c>
      <c r="D1930" s="80" t="s">
        <v>3723</v>
      </c>
      <c r="E1930" s="80" t="s">
        <v>389</v>
      </c>
      <c r="F1930" s="81">
        <v>45628</v>
      </c>
      <c r="G1930" s="81">
        <v>45658</v>
      </c>
      <c r="H1930" s="89" t="str">
        <f t="shared" si="74"/>
        <v>ODD</v>
      </c>
      <c r="I1930" s="109">
        <v>0</v>
      </c>
      <c r="J1930" s="87" t="str">
        <f>UPPER(TEXT(F1930,"mmm")) &amp; " - " &amp; UPPER(TEXT(G1930,"mmm"))</f>
        <v>DEC - JAN</v>
      </c>
      <c r="K1930" s="87" t="s">
        <v>3681</v>
      </c>
      <c r="L1930" s="99" t="s">
        <v>3895</v>
      </c>
      <c r="M1930" s="32" t="str">
        <f t="shared" si="75"/>
        <v>No</v>
      </c>
      <c r="N1930" s="32">
        <f>G1930 - F1930</f>
        <v>30</v>
      </c>
      <c r="O1930">
        <v>1</v>
      </c>
    </row>
    <row r="1931" spans="1:15" x14ac:dyDescent="0.3">
      <c r="A1931" s="82" t="s">
        <v>3724</v>
      </c>
      <c r="B1931" s="86" t="s">
        <v>78</v>
      </c>
      <c r="C1931" s="86" t="s">
        <v>12</v>
      </c>
      <c r="D1931" s="82" t="s">
        <v>3725</v>
      </c>
      <c r="E1931" s="82" t="s">
        <v>3726</v>
      </c>
      <c r="F1931" s="83">
        <v>45628</v>
      </c>
      <c r="G1931" s="83">
        <v>45657</v>
      </c>
      <c r="H1931" s="89" t="str">
        <f t="shared" si="74"/>
        <v>ODD</v>
      </c>
      <c r="I1931" s="110">
        <v>0</v>
      </c>
      <c r="J1931" s="88" t="str">
        <f>UPPER(TEXT(F1931,"mmm")) &amp; " - " &amp; UPPER(TEXT(G1931,"mmm"))</f>
        <v>DEC - DEC</v>
      </c>
      <c r="K1931" s="88" t="s">
        <v>3681</v>
      </c>
      <c r="L1931" s="99" t="s">
        <v>3895</v>
      </c>
      <c r="M1931" s="32" t="str">
        <f t="shared" si="75"/>
        <v>No</v>
      </c>
      <c r="N1931" s="32">
        <f>G1931 - F1931</f>
        <v>29</v>
      </c>
      <c r="O1931">
        <v>1</v>
      </c>
    </row>
    <row r="1932" spans="1:15" x14ac:dyDescent="0.3">
      <c r="A1932" s="80" t="s">
        <v>3727</v>
      </c>
      <c r="B1932" s="85" t="s">
        <v>78</v>
      </c>
      <c r="C1932" s="85" t="s">
        <v>12</v>
      </c>
      <c r="D1932" s="80" t="s">
        <v>3728</v>
      </c>
      <c r="E1932" s="80" t="s">
        <v>3686</v>
      </c>
      <c r="F1932" s="81">
        <v>45616</v>
      </c>
      <c r="G1932" s="81">
        <v>45672</v>
      </c>
      <c r="H1932" s="89" t="str">
        <f t="shared" si="74"/>
        <v>ODD</v>
      </c>
      <c r="I1932" s="109">
        <v>0</v>
      </c>
      <c r="J1932" s="87" t="str">
        <f>UPPER(TEXT(F1932,"mmm")) &amp; " - " &amp; UPPER(TEXT(G1932,"mmm"))</f>
        <v>NOV - JAN</v>
      </c>
      <c r="K1932" s="87" t="s">
        <v>3681</v>
      </c>
      <c r="L1932" s="99" t="s">
        <v>3895</v>
      </c>
      <c r="M1932" s="32" t="str">
        <f t="shared" si="75"/>
        <v>No</v>
      </c>
      <c r="N1932" s="32">
        <f>G1932 - F1932</f>
        <v>56</v>
      </c>
      <c r="O1932">
        <v>1</v>
      </c>
    </row>
    <row r="1933" spans="1:15" x14ac:dyDescent="0.3">
      <c r="A1933" s="82" t="s">
        <v>3729</v>
      </c>
      <c r="B1933" s="86" t="s">
        <v>78</v>
      </c>
      <c r="C1933" s="86" t="s">
        <v>12</v>
      </c>
      <c r="D1933" s="82" t="s">
        <v>3730</v>
      </c>
      <c r="E1933" s="82" t="s">
        <v>3731</v>
      </c>
      <c r="F1933" s="83">
        <v>45674</v>
      </c>
      <c r="G1933" s="83">
        <v>45733</v>
      </c>
      <c r="H1933" s="89" t="str">
        <f t="shared" si="74"/>
        <v>EVEN</v>
      </c>
      <c r="I1933" s="110">
        <v>0</v>
      </c>
      <c r="J1933" s="88" t="str">
        <f>UPPER(TEXT(F1933,"mmm")) &amp; " - " &amp; UPPER(TEXT(G1933,"mmm"))</f>
        <v>JAN - MAR</v>
      </c>
      <c r="K1933" s="88" t="s">
        <v>3681</v>
      </c>
      <c r="L1933" s="99" t="s">
        <v>3895</v>
      </c>
      <c r="M1933" s="32" t="str">
        <f t="shared" si="75"/>
        <v>No</v>
      </c>
      <c r="N1933" s="32">
        <f>G1933 - F1933</f>
        <v>59</v>
      </c>
      <c r="O1933">
        <v>1</v>
      </c>
    </row>
    <row r="1934" spans="1:15" x14ac:dyDescent="0.3">
      <c r="A1934" s="80" t="s">
        <v>3732</v>
      </c>
      <c r="B1934" s="85" t="s">
        <v>78</v>
      </c>
      <c r="C1934" s="85" t="s">
        <v>12</v>
      </c>
      <c r="D1934" s="80" t="s">
        <v>3733</v>
      </c>
      <c r="E1934" s="80" t="s">
        <v>3734</v>
      </c>
      <c r="F1934" s="81">
        <v>45692</v>
      </c>
      <c r="G1934" s="81">
        <v>45720</v>
      </c>
      <c r="H1934" s="89" t="str">
        <f t="shared" si="74"/>
        <v>EVEN</v>
      </c>
      <c r="I1934" s="109">
        <v>0</v>
      </c>
      <c r="J1934" s="87" t="str">
        <f>UPPER(TEXT(F1934,"mmm")) &amp; " - " &amp; UPPER(TEXT(G1934,"mmm"))</f>
        <v>FEB - MAR</v>
      </c>
      <c r="K1934" s="87" t="s">
        <v>3681</v>
      </c>
      <c r="L1934" s="99" t="s">
        <v>3895</v>
      </c>
      <c r="M1934" s="32" t="str">
        <f t="shared" si="75"/>
        <v>No</v>
      </c>
      <c r="N1934" s="32">
        <f>G1934 - F1934</f>
        <v>28</v>
      </c>
      <c r="O1934">
        <v>1</v>
      </c>
    </row>
    <row r="1935" spans="1:15" x14ac:dyDescent="0.3">
      <c r="A1935" s="82" t="s">
        <v>3213</v>
      </c>
      <c r="B1935" s="86" t="s">
        <v>78</v>
      </c>
      <c r="C1935" s="86" t="s">
        <v>12</v>
      </c>
      <c r="D1935" s="82" t="s">
        <v>3735</v>
      </c>
      <c r="E1935" s="82" t="s">
        <v>3736</v>
      </c>
      <c r="F1935" s="83">
        <v>45669</v>
      </c>
      <c r="G1935" s="83">
        <v>45701</v>
      </c>
      <c r="H1935" s="89" t="str">
        <f t="shared" si="74"/>
        <v>EVEN</v>
      </c>
      <c r="I1935" s="110">
        <v>0</v>
      </c>
      <c r="J1935" s="88" t="str">
        <f>UPPER(TEXT(F1935,"mmm")) &amp; " - " &amp; UPPER(TEXT(G1935,"mmm"))</f>
        <v>JAN - FEB</v>
      </c>
      <c r="K1935" s="88" t="s">
        <v>3681</v>
      </c>
      <c r="L1935" s="99" t="s">
        <v>3895</v>
      </c>
      <c r="M1935" s="32" t="str">
        <f t="shared" si="75"/>
        <v>No</v>
      </c>
      <c r="N1935" s="32">
        <f>G1935 - F1935</f>
        <v>32</v>
      </c>
      <c r="O1935">
        <v>1</v>
      </c>
    </row>
    <row r="1936" spans="1:15" x14ac:dyDescent="0.3">
      <c r="A1936" s="80" t="s">
        <v>3737</v>
      </c>
      <c r="B1936" s="85" t="s">
        <v>66</v>
      </c>
      <c r="C1936" s="85" t="s">
        <v>12</v>
      </c>
      <c r="D1936" s="80" t="s">
        <v>3738</v>
      </c>
      <c r="E1936" s="80" t="s">
        <v>3739</v>
      </c>
      <c r="F1936" s="81">
        <v>45614</v>
      </c>
      <c r="G1936" s="81">
        <v>45654</v>
      </c>
      <c r="H1936" s="89" t="str">
        <f t="shared" si="74"/>
        <v>ODD</v>
      </c>
      <c r="I1936" s="109">
        <v>0</v>
      </c>
      <c r="J1936" s="87" t="str">
        <f>UPPER(TEXT(F1936,"mmm")) &amp; " - " &amp; UPPER(TEXT(G1936,"mmm"))</f>
        <v>NOV - DEC</v>
      </c>
      <c r="K1936" s="87" t="s">
        <v>3681</v>
      </c>
      <c r="L1936" s="99" t="s">
        <v>3895</v>
      </c>
      <c r="M1936" s="32" t="str">
        <f t="shared" si="75"/>
        <v>No</v>
      </c>
      <c r="N1936" s="32">
        <f>G1936 - F1936</f>
        <v>40</v>
      </c>
      <c r="O1936">
        <v>1</v>
      </c>
    </row>
    <row r="1937" spans="1:15" x14ac:dyDescent="0.3">
      <c r="A1937" s="82" t="s">
        <v>2888</v>
      </c>
      <c r="B1937" s="86" t="s">
        <v>66</v>
      </c>
      <c r="C1937" s="86" t="s">
        <v>12</v>
      </c>
      <c r="D1937" s="82" t="s">
        <v>3740</v>
      </c>
      <c r="E1937" s="82" t="s">
        <v>3741</v>
      </c>
      <c r="F1937" s="83">
        <v>45566</v>
      </c>
      <c r="G1937" s="83">
        <v>45991</v>
      </c>
      <c r="H1937" s="89" t="str">
        <f t="shared" si="74"/>
        <v>ODD</v>
      </c>
      <c r="I1937" s="110">
        <v>0</v>
      </c>
      <c r="J1937" s="88" t="str">
        <f>UPPER(TEXT(F1937,"mmm")) &amp; " - " &amp; UPPER(TEXT(G1937,"mmm"))</f>
        <v>OCT - NOV</v>
      </c>
      <c r="K1937" s="88" t="s">
        <v>3681</v>
      </c>
      <c r="L1937" s="99" t="s">
        <v>3895</v>
      </c>
      <c r="M1937" s="32" t="str">
        <f t="shared" si="75"/>
        <v>No</v>
      </c>
      <c r="N1937" s="32">
        <f>G1937 - F1937</f>
        <v>425</v>
      </c>
      <c r="O1937">
        <v>1</v>
      </c>
    </row>
    <row r="1938" spans="1:15" x14ac:dyDescent="0.3">
      <c r="A1938" s="80" t="s">
        <v>3742</v>
      </c>
      <c r="B1938" s="85" t="s">
        <v>66</v>
      </c>
      <c r="C1938" s="85" t="s">
        <v>12</v>
      </c>
      <c r="D1938" s="80" t="s">
        <v>3743</v>
      </c>
      <c r="E1938" s="80" t="s">
        <v>3744</v>
      </c>
      <c r="F1938" s="81">
        <v>45628</v>
      </c>
      <c r="G1938" s="81">
        <v>45659</v>
      </c>
      <c r="H1938" s="89" t="str">
        <f t="shared" si="74"/>
        <v>ODD</v>
      </c>
      <c r="I1938" s="109">
        <v>0</v>
      </c>
      <c r="J1938" s="87" t="str">
        <f>UPPER(TEXT(F1938,"mmm")) &amp; " - " &amp; UPPER(TEXT(G1938,"mmm"))</f>
        <v>DEC - JAN</v>
      </c>
      <c r="K1938" s="87" t="s">
        <v>3681</v>
      </c>
      <c r="L1938" s="99" t="s">
        <v>3895</v>
      </c>
      <c r="M1938" s="32" t="str">
        <f t="shared" si="75"/>
        <v>No</v>
      </c>
      <c r="N1938" s="32">
        <f>G1938 - F1938</f>
        <v>31</v>
      </c>
      <c r="O1938">
        <v>1</v>
      </c>
    </row>
    <row r="1939" spans="1:15" x14ac:dyDescent="0.3">
      <c r="A1939" s="82" t="s">
        <v>3745</v>
      </c>
      <c r="B1939" s="86" t="s">
        <v>66</v>
      </c>
      <c r="C1939" s="86" t="s">
        <v>12</v>
      </c>
      <c r="D1939" s="82" t="s">
        <v>1735</v>
      </c>
      <c r="E1939" s="82" t="s">
        <v>3746</v>
      </c>
      <c r="F1939" s="83">
        <v>45474</v>
      </c>
      <c r="G1939" s="83">
        <v>45504</v>
      </c>
      <c r="H1939" s="89" t="str">
        <f t="shared" si="74"/>
        <v>EVEN</v>
      </c>
      <c r="I1939" s="110">
        <v>0</v>
      </c>
      <c r="J1939" s="88" t="str">
        <f>UPPER(TEXT(F1939,"mmm")) &amp; " - " &amp; UPPER(TEXT(G1939,"mmm"))</f>
        <v>JUL - JUL</v>
      </c>
      <c r="K1939" s="88" t="s">
        <v>3681</v>
      </c>
      <c r="L1939" s="99" t="s">
        <v>3895</v>
      </c>
      <c r="M1939" s="32" t="str">
        <f t="shared" si="75"/>
        <v>No</v>
      </c>
      <c r="N1939" s="32">
        <f>G1939 - F1939</f>
        <v>30</v>
      </c>
      <c r="O1939">
        <v>1</v>
      </c>
    </row>
    <row r="1940" spans="1:15" x14ac:dyDescent="0.3">
      <c r="A1940" s="80" t="s">
        <v>3747</v>
      </c>
      <c r="B1940" s="85" t="s">
        <v>66</v>
      </c>
      <c r="C1940" s="85" t="s">
        <v>12</v>
      </c>
      <c r="D1940" s="80" t="s">
        <v>3748</v>
      </c>
      <c r="E1940" s="80" t="s">
        <v>389</v>
      </c>
      <c r="F1940" s="81">
        <v>45621</v>
      </c>
      <c r="G1940" s="81">
        <v>45651</v>
      </c>
      <c r="H1940" s="89" t="str">
        <f t="shared" si="74"/>
        <v>ODD</v>
      </c>
      <c r="I1940" s="109">
        <v>0</v>
      </c>
      <c r="J1940" s="87" t="str">
        <f>UPPER(TEXT(F1940,"mmm")) &amp; " - " &amp; UPPER(TEXT(G1940,"mmm"))</f>
        <v>NOV - DEC</v>
      </c>
      <c r="K1940" s="87" t="s">
        <v>3681</v>
      </c>
      <c r="L1940" s="99" t="s">
        <v>3895</v>
      </c>
      <c r="M1940" s="32" t="str">
        <f t="shared" si="75"/>
        <v>No</v>
      </c>
      <c r="N1940" s="32">
        <f>G1940 - F1940</f>
        <v>30</v>
      </c>
      <c r="O1940">
        <v>1</v>
      </c>
    </row>
    <row r="1941" spans="1:15" x14ac:dyDescent="0.3">
      <c r="A1941" s="82" t="s">
        <v>3391</v>
      </c>
      <c r="B1941" s="86" t="s">
        <v>66</v>
      </c>
      <c r="C1941" s="86" t="s">
        <v>12</v>
      </c>
      <c r="D1941" s="82" t="s">
        <v>3749</v>
      </c>
      <c r="E1941" s="82" t="s">
        <v>3750</v>
      </c>
      <c r="F1941" s="83">
        <v>45499</v>
      </c>
      <c r="G1941" s="83">
        <v>45626</v>
      </c>
      <c r="H1941" s="89" t="str">
        <f t="shared" si="74"/>
        <v>ODD</v>
      </c>
      <c r="I1941" s="110">
        <v>0</v>
      </c>
      <c r="J1941" s="88" t="str">
        <f>UPPER(TEXT(F1941,"mmm")) &amp; " - " &amp; UPPER(TEXT(G1941,"mmm"))</f>
        <v>JUL - NOV</v>
      </c>
      <c r="K1941" s="88" t="s">
        <v>3681</v>
      </c>
      <c r="L1941" s="99" t="s">
        <v>3895</v>
      </c>
      <c r="M1941" s="32" t="str">
        <f t="shared" si="75"/>
        <v>No</v>
      </c>
      <c r="N1941" s="32">
        <f>G1941 - F1941</f>
        <v>127</v>
      </c>
      <c r="O1941">
        <v>1</v>
      </c>
    </row>
    <row r="1942" spans="1:15" x14ac:dyDescent="0.3">
      <c r="A1942" s="80" t="s">
        <v>2768</v>
      </c>
      <c r="B1942" s="85" t="s">
        <v>66</v>
      </c>
      <c r="C1942" s="85" t="s">
        <v>12</v>
      </c>
      <c r="D1942" s="80" t="s">
        <v>3751</v>
      </c>
      <c r="E1942" s="80" t="s">
        <v>3752</v>
      </c>
      <c r="F1942" s="81">
        <v>45628</v>
      </c>
      <c r="G1942" s="81">
        <v>45674</v>
      </c>
      <c r="H1942" s="89" t="str">
        <f t="shared" si="74"/>
        <v>ODD</v>
      </c>
      <c r="I1942" s="109">
        <v>0</v>
      </c>
      <c r="J1942" s="87" t="str">
        <f>UPPER(TEXT(F1942,"mmm")) &amp; " - " &amp; UPPER(TEXT(G1942,"mmm"))</f>
        <v>DEC - JAN</v>
      </c>
      <c r="K1942" s="87" t="s">
        <v>3681</v>
      </c>
      <c r="L1942" s="99" t="s">
        <v>3895</v>
      </c>
      <c r="M1942" s="32" t="str">
        <f t="shared" si="75"/>
        <v>No</v>
      </c>
      <c r="N1942" s="32">
        <f>G1942 - F1942</f>
        <v>46</v>
      </c>
      <c r="O1942">
        <v>1</v>
      </c>
    </row>
    <row r="1943" spans="1:15" x14ac:dyDescent="0.3">
      <c r="A1943" s="82" t="s">
        <v>3753</v>
      </c>
      <c r="B1943" s="86" t="s">
        <v>66</v>
      </c>
      <c r="C1943" s="86" t="s">
        <v>12</v>
      </c>
      <c r="D1943" s="82" t="s">
        <v>3754</v>
      </c>
      <c r="E1943" s="82" t="s">
        <v>3755</v>
      </c>
      <c r="F1943" s="83">
        <v>45458</v>
      </c>
      <c r="G1943" s="83">
        <v>45505</v>
      </c>
      <c r="H1943" s="89" t="str">
        <f t="shared" si="74"/>
        <v>EVEN</v>
      </c>
      <c r="I1943" s="110">
        <v>0</v>
      </c>
      <c r="J1943" s="88" t="str">
        <f>UPPER(TEXT(F1943,"mmm")) &amp; " - " &amp; UPPER(TEXT(G1943,"mmm"))</f>
        <v>JUN - AUG</v>
      </c>
      <c r="K1943" s="88" t="s">
        <v>3681</v>
      </c>
      <c r="L1943" s="99" t="s">
        <v>3895</v>
      </c>
      <c r="M1943" s="32" t="str">
        <f t="shared" si="75"/>
        <v>No</v>
      </c>
      <c r="N1943" s="32">
        <f>G1943 - F1943</f>
        <v>47</v>
      </c>
      <c r="O1943">
        <v>1</v>
      </c>
    </row>
    <row r="1944" spans="1:15" x14ac:dyDescent="0.3">
      <c r="A1944" s="80" t="s">
        <v>2768</v>
      </c>
      <c r="B1944" s="85" t="s">
        <v>66</v>
      </c>
      <c r="C1944" s="85" t="s">
        <v>12</v>
      </c>
      <c r="D1944" s="80" t="s">
        <v>3756</v>
      </c>
      <c r="E1944" s="80" t="s">
        <v>3757</v>
      </c>
      <c r="F1944" s="81">
        <v>45545</v>
      </c>
      <c r="G1944" s="81">
        <v>45606</v>
      </c>
      <c r="H1944" s="89" t="str">
        <f t="shared" si="74"/>
        <v>ODD</v>
      </c>
      <c r="I1944" s="109">
        <v>0</v>
      </c>
      <c r="J1944" s="87" t="str">
        <f>UPPER(TEXT(F1944,"mmm")) &amp; " - " &amp; UPPER(TEXT(G1944,"mmm"))</f>
        <v>SEP - NOV</v>
      </c>
      <c r="K1944" s="87" t="s">
        <v>3681</v>
      </c>
      <c r="L1944" s="99" t="s">
        <v>3895</v>
      </c>
      <c r="M1944" s="32" t="str">
        <f t="shared" si="75"/>
        <v>No</v>
      </c>
      <c r="N1944" s="32">
        <f>G1944 - F1944</f>
        <v>61</v>
      </c>
      <c r="O1944">
        <v>1</v>
      </c>
    </row>
    <row r="1945" spans="1:15" x14ac:dyDescent="0.3">
      <c r="A1945" s="82" t="s">
        <v>3758</v>
      </c>
      <c r="B1945" s="86" t="s">
        <v>66</v>
      </c>
      <c r="C1945" s="86" t="s">
        <v>12</v>
      </c>
      <c r="D1945" s="82" t="s">
        <v>3759</v>
      </c>
      <c r="E1945" s="82" t="s">
        <v>277</v>
      </c>
      <c r="F1945" s="83">
        <v>45628</v>
      </c>
      <c r="G1945" s="83">
        <v>45659</v>
      </c>
      <c r="H1945" s="89" t="str">
        <f t="shared" si="74"/>
        <v>ODD</v>
      </c>
      <c r="I1945" s="110">
        <v>0</v>
      </c>
      <c r="J1945" s="88" t="str">
        <f>UPPER(TEXT(F1945,"mmm")) &amp; " - " &amp; UPPER(TEXT(G1945,"mmm"))</f>
        <v>DEC - JAN</v>
      </c>
      <c r="K1945" s="88" t="s">
        <v>3681</v>
      </c>
      <c r="L1945" s="99" t="s">
        <v>3895</v>
      </c>
      <c r="M1945" s="32" t="str">
        <f t="shared" si="75"/>
        <v>No</v>
      </c>
      <c r="N1945" s="32">
        <f>G1945 - F1945</f>
        <v>31</v>
      </c>
      <c r="O1945">
        <v>1</v>
      </c>
    </row>
    <row r="1946" spans="1:15" x14ac:dyDescent="0.3">
      <c r="A1946" s="80" t="s">
        <v>3760</v>
      </c>
      <c r="B1946" s="85" t="s">
        <v>66</v>
      </c>
      <c r="C1946" s="85" t="s">
        <v>12</v>
      </c>
      <c r="D1946" s="80" t="s">
        <v>3761</v>
      </c>
      <c r="E1946" s="80" t="s">
        <v>3762</v>
      </c>
      <c r="F1946" s="81">
        <v>45545</v>
      </c>
      <c r="G1946" s="81">
        <v>45575</v>
      </c>
      <c r="H1946" s="89" t="str">
        <f t="shared" si="74"/>
        <v>ODD</v>
      </c>
      <c r="I1946" s="109">
        <v>0</v>
      </c>
      <c r="J1946" s="87" t="str">
        <f>UPPER(TEXT(F1946,"mmm")) &amp; " - " &amp; UPPER(TEXT(G1946,"mmm"))</f>
        <v>SEP - OCT</v>
      </c>
      <c r="K1946" s="87" t="s">
        <v>3681</v>
      </c>
      <c r="L1946" s="99" t="s">
        <v>3895</v>
      </c>
      <c r="M1946" s="32" t="str">
        <f t="shared" si="75"/>
        <v>No</v>
      </c>
      <c r="N1946" s="32">
        <f>G1946 - F1946</f>
        <v>30</v>
      </c>
      <c r="O1946">
        <v>1</v>
      </c>
    </row>
    <row r="1947" spans="1:15" x14ac:dyDescent="0.3">
      <c r="A1947" s="82" t="s">
        <v>3760</v>
      </c>
      <c r="B1947" s="86" t="s">
        <v>66</v>
      </c>
      <c r="C1947" s="86" t="s">
        <v>12</v>
      </c>
      <c r="D1947" s="82" t="s">
        <v>3763</v>
      </c>
      <c r="E1947" s="82" t="s">
        <v>3764</v>
      </c>
      <c r="F1947" s="83">
        <v>45549</v>
      </c>
      <c r="G1947" s="83">
        <v>45640</v>
      </c>
      <c r="H1947" s="89" t="str">
        <f t="shared" si="74"/>
        <v>ODD</v>
      </c>
      <c r="I1947" s="110">
        <v>0</v>
      </c>
      <c r="J1947" s="88" t="str">
        <f>UPPER(TEXT(F1947,"mmm")) &amp; " - " &amp; UPPER(TEXT(G1947,"mmm"))</f>
        <v>SEP - DEC</v>
      </c>
      <c r="K1947" s="88" t="s">
        <v>3681</v>
      </c>
      <c r="L1947" s="99" t="s">
        <v>3895</v>
      </c>
      <c r="M1947" s="32" t="str">
        <f t="shared" si="75"/>
        <v>No</v>
      </c>
      <c r="N1947" s="32">
        <f>G1947 - F1947</f>
        <v>91</v>
      </c>
      <c r="O1947">
        <v>1</v>
      </c>
    </row>
    <row r="1948" spans="1:15" x14ac:dyDescent="0.3">
      <c r="A1948" s="80" t="s">
        <v>3765</v>
      </c>
      <c r="B1948" s="85" t="s">
        <v>66</v>
      </c>
      <c r="C1948" s="85" t="s">
        <v>12</v>
      </c>
      <c r="D1948" s="80" t="s">
        <v>3766</v>
      </c>
      <c r="E1948" s="80" t="s">
        <v>3767</v>
      </c>
      <c r="F1948" s="81">
        <v>45629</v>
      </c>
      <c r="G1948" s="81">
        <v>45660</v>
      </c>
      <c r="H1948" s="89" t="str">
        <f t="shared" si="74"/>
        <v>ODD</v>
      </c>
      <c r="I1948" s="109">
        <v>0</v>
      </c>
      <c r="J1948" s="87" t="str">
        <f>UPPER(TEXT(F1948,"mmm")) &amp; " - " &amp; UPPER(TEXT(G1948,"mmm"))</f>
        <v>DEC - JAN</v>
      </c>
      <c r="K1948" s="87" t="s">
        <v>3681</v>
      </c>
      <c r="L1948" s="99" t="s">
        <v>3895</v>
      </c>
      <c r="M1948" s="32" t="str">
        <f t="shared" si="75"/>
        <v>No</v>
      </c>
      <c r="N1948" s="32">
        <f>G1948 - F1948</f>
        <v>31</v>
      </c>
      <c r="O1948">
        <v>1</v>
      </c>
    </row>
    <row r="1949" spans="1:15" x14ac:dyDescent="0.3">
      <c r="A1949" s="82" t="s">
        <v>3768</v>
      </c>
      <c r="B1949" s="86" t="s">
        <v>66</v>
      </c>
      <c r="C1949" s="86" t="s">
        <v>12</v>
      </c>
      <c r="D1949" s="82" t="s">
        <v>3769</v>
      </c>
      <c r="E1949" s="82" t="s">
        <v>3770</v>
      </c>
      <c r="F1949" s="83">
        <v>45627</v>
      </c>
      <c r="G1949" s="83">
        <v>45667</v>
      </c>
      <c r="H1949" s="89" t="str">
        <f t="shared" si="74"/>
        <v>ODD</v>
      </c>
      <c r="I1949" s="110">
        <v>0</v>
      </c>
      <c r="J1949" s="88" t="str">
        <f>UPPER(TEXT(F1949,"mmm")) &amp; " - " &amp; UPPER(TEXT(G1949,"mmm"))</f>
        <v>DEC - JAN</v>
      </c>
      <c r="K1949" s="88" t="s">
        <v>3681</v>
      </c>
      <c r="L1949" s="99" t="s">
        <v>3895</v>
      </c>
      <c r="M1949" s="32" t="str">
        <f t="shared" si="75"/>
        <v>No</v>
      </c>
      <c r="N1949" s="32">
        <f>G1949 - F1949</f>
        <v>40</v>
      </c>
      <c r="O1949">
        <v>1</v>
      </c>
    </row>
    <row r="1950" spans="1:15" x14ac:dyDescent="0.3">
      <c r="A1950" s="80" t="s">
        <v>3760</v>
      </c>
      <c r="B1950" s="85" t="s">
        <v>66</v>
      </c>
      <c r="C1950" s="85" t="s">
        <v>12</v>
      </c>
      <c r="D1950" s="80" t="s">
        <v>3771</v>
      </c>
      <c r="E1950" s="80" t="s">
        <v>3772</v>
      </c>
      <c r="F1950" s="81">
        <v>45629</v>
      </c>
      <c r="G1950" s="81">
        <v>45653</v>
      </c>
      <c r="H1950" s="89" t="str">
        <f t="shared" si="74"/>
        <v>ODD</v>
      </c>
      <c r="I1950" s="109">
        <v>0</v>
      </c>
      <c r="J1950" s="87" t="str">
        <f>UPPER(TEXT(F1950,"mmm")) &amp; " - " &amp; UPPER(TEXT(G1950,"mmm"))</f>
        <v>DEC - DEC</v>
      </c>
      <c r="K1950" s="87" t="s">
        <v>3681</v>
      </c>
      <c r="L1950" s="99" t="s">
        <v>3895</v>
      </c>
      <c r="M1950" s="32" t="str">
        <f t="shared" si="75"/>
        <v>No</v>
      </c>
      <c r="N1950" s="32">
        <f>G1950 - F1950</f>
        <v>24</v>
      </c>
      <c r="O1950">
        <v>1</v>
      </c>
    </row>
    <row r="1951" spans="1:15" x14ac:dyDescent="0.3">
      <c r="A1951" s="82" t="s">
        <v>3773</v>
      </c>
      <c r="B1951" s="86" t="s">
        <v>66</v>
      </c>
      <c r="C1951" s="86" t="s">
        <v>12</v>
      </c>
      <c r="D1951" s="82" t="s">
        <v>3774</v>
      </c>
      <c r="E1951" s="82" t="s">
        <v>3775</v>
      </c>
      <c r="F1951" s="83">
        <v>45491</v>
      </c>
      <c r="G1951" s="83">
        <v>45521</v>
      </c>
      <c r="H1951" s="89" t="str">
        <f t="shared" si="74"/>
        <v>ODD</v>
      </c>
      <c r="I1951" s="110">
        <v>0</v>
      </c>
      <c r="J1951" s="88" t="str">
        <f>UPPER(TEXT(F1951,"mmm")) &amp; " - " &amp; UPPER(TEXT(G1951,"mmm"))</f>
        <v>JUL - AUG</v>
      </c>
      <c r="K1951" s="88" t="s">
        <v>3681</v>
      </c>
      <c r="L1951" s="99" t="s">
        <v>3895</v>
      </c>
      <c r="M1951" s="32" t="str">
        <f t="shared" si="75"/>
        <v>No</v>
      </c>
      <c r="N1951" s="32">
        <f>G1951 - F1951</f>
        <v>30</v>
      </c>
      <c r="O1951">
        <v>1</v>
      </c>
    </row>
    <row r="1952" spans="1:15" x14ac:dyDescent="0.3">
      <c r="A1952" s="80" t="s">
        <v>3177</v>
      </c>
      <c r="B1952" s="85" t="s">
        <v>66</v>
      </c>
      <c r="C1952" s="85" t="s">
        <v>12</v>
      </c>
      <c r="D1952" s="80" t="s">
        <v>3226</v>
      </c>
      <c r="E1952" s="80" t="s">
        <v>1107</v>
      </c>
      <c r="F1952" s="81">
        <v>45536</v>
      </c>
      <c r="G1952" s="81">
        <v>45565</v>
      </c>
      <c r="H1952" s="89" t="str">
        <f t="shared" si="74"/>
        <v>ODD</v>
      </c>
      <c r="I1952" s="109">
        <v>0</v>
      </c>
      <c r="J1952" s="87" t="str">
        <f>UPPER(TEXT(F1952,"mmm")) &amp; " - " &amp; UPPER(TEXT(G1952,"mmm"))</f>
        <v>SEP - SEP</v>
      </c>
      <c r="K1952" s="87" t="s">
        <v>3681</v>
      </c>
      <c r="L1952" s="99" t="s">
        <v>3895</v>
      </c>
      <c r="M1952" s="32" t="str">
        <f t="shared" si="75"/>
        <v>No</v>
      </c>
      <c r="N1952" s="32">
        <f>G1952 - F1952</f>
        <v>29</v>
      </c>
      <c r="O1952">
        <v>1</v>
      </c>
    </row>
    <row r="1953" spans="1:17" x14ac:dyDescent="0.3">
      <c r="A1953" s="82" t="s">
        <v>3174</v>
      </c>
      <c r="B1953" s="86" t="s">
        <v>66</v>
      </c>
      <c r="C1953" s="86" t="s">
        <v>12</v>
      </c>
      <c r="D1953" s="82" t="s">
        <v>3226</v>
      </c>
      <c r="E1953" s="82" t="s">
        <v>1107</v>
      </c>
      <c r="F1953" s="83">
        <v>45536</v>
      </c>
      <c r="G1953" s="83">
        <v>45565</v>
      </c>
      <c r="H1953" s="89" t="str">
        <f t="shared" si="74"/>
        <v>ODD</v>
      </c>
      <c r="I1953" s="110">
        <v>0</v>
      </c>
      <c r="J1953" s="88" t="str">
        <f>UPPER(TEXT(F1953,"mmm")) &amp; " - " &amp; UPPER(TEXT(G1953,"mmm"))</f>
        <v>SEP - SEP</v>
      </c>
      <c r="K1953" s="88" t="s">
        <v>3681</v>
      </c>
      <c r="L1953" s="99" t="s">
        <v>3895</v>
      </c>
      <c r="M1953" s="32" t="str">
        <f t="shared" si="75"/>
        <v>No</v>
      </c>
      <c r="N1953" s="32">
        <f>G1953 - F1953</f>
        <v>29</v>
      </c>
      <c r="O1953">
        <v>1</v>
      </c>
    </row>
    <row r="1954" spans="1:17" x14ac:dyDescent="0.3">
      <c r="A1954" s="80" t="s">
        <v>3776</v>
      </c>
      <c r="B1954" s="85" t="s">
        <v>66</v>
      </c>
      <c r="C1954" s="85" t="s">
        <v>12</v>
      </c>
      <c r="D1954" s="80" t="s">
        <v>3777</v>
      </c>
      <c r="E1954" s="80" t="s">
        <v>3778</v>
      </c>
      <c r="F1954" s="81">
        <v>45568</v>
      </c>
      <c r="G1954" s="81">
        <v>45631</v>
      </c>
      <c r="H1954" s="89" t="str">
        <f t="shared" si="74"/>
        <v>ODD</v>
      </c>
      <c r="I1954" s="109">
        <v>0</v>
      </c>
      <c r="J1954" s="87" t="str">
        <f>UPPER(TEXT(F1954,"mmm")) &amp; " - " &amp; UPPER(TEXT(G1954,"mmm"))</f>
        <v>OCT - DEC</v>
      </c>
      <c r="K1954" s="87" t="s">
        <v>3681</v>
      </c>
      <c r="L1954" s="99" t="s">
        <v>3895</v>
      </c>
      <c r="M1954" s="32" t="str">
        <f t="shared" si="75"/>
        <v>No</v>
      </c>
      <c r="N1954" s="32">
        <f>G1954 - F1954</f>
        <v>63</v>
      </c>
      <c r="O1954">
        <v>1</v>
      </c>
    </row>
    <row r="1955" spans="1:17" x14ac:dyDescent="0.3">
      <c r="A1955" s="82" t="s">
        <v>3779</v>
      </c>
      <c r="B1955" s="86" t="s">
        <v>66</v>
      </c>
      <c r="C1955" s="86" t="s">
        <v>12</v>
      </c>
      <c r="D1955" s="82" t="s">
        <v>3780</v>
      </c>
      <c r="E1955" s="82" t="s">
        <v>3781</v>
      </c>
      <c r="F1955" s="83">
        <v>45474</v>
      </c>
      <c r="G1955" s="83">
        <v>45565</v>
      </c>
      <c r="H1955" s="89" t="str">
        <f t="shared" si="74"/>
        <v>EVEN</v>
      </c>
      <c r="I1955" s="110">
        <v>2500</v>
      </c>
      <c r="J1955" s="88" t="str">
        <f>UPPER(TEXT(F1955,"mmm")) &amp; " - " &amp; UPPER(TEXT(G1955,"mmm"))</f>
        <v>JUL - SEP</v>
      </c>
      <c r="K1955" s="88" t="s">
        <v>3681</v>
      </c>
      <c r="L1955" s="99" t="s">
        <v>3895</v>
      </c>
      <c r="M1955" s="32" t="str">
        <f t="shared" si="75"/>
        <v>Yes</v>
      </c>
      <c r="N1955" s="32">
        <f>G1955 - F1955</f>
        <v>91</v>
      </c>
      <c r="O1955">
        <v>1</v>
      </c>
    </row>
    <row r="1956" spans="1:17" x14ac:dyDescent="0.3">
      <c r="A1956" s="80" t="s">
        <v>3782</v>
      </c>
      <c r="B1956" s="85" t="s">
        <v>66</v>
      </c>
      <c r="C1956" s="85" t="s">
        <v>12</v>
      </c>
      <c r="D1956" s="80" t="s">
        <v>3783</v>
      </c>
      <c r="E1956" s="80" t="s">
        <v>3784</v>
      </c>
      <c r="F1956" s="81">
        <v>45495</v>
      </c>
      <c r="G1956" s="81">
        <v>45587</v>
      </c>
      <c r="H1956" s="89" t="str">
        <f t="shared" si="74"/>
        <v>ODD</v>
      </c>
      <c r="I1956" s="109">
        <v>0</v>
      </c>
      <c r="J1956" s="87" t="str">
        <f>UPPER(TEXT(F1956,"mmm")) &amp; " - " &amp; UPPER(TEXT(G1956,"mmm"))</f>
        <v>JUL - OCT</v>
      </c>
      <c r="K1956" s="87" t="s">
        <v>3681</v>
      </c>
      <c r="L1956" s="99" t="s">
        <v>3895</v>
      </c>
      <c r="M1956" s="32" t="str">
        <f t="shared" si="75"/>
        <v>No</v>
      </c>
      <c r="N1956" s="32">
        <f>G1956 - F1956</f>
        <v>92</v>
      </c>
      <c r="O1956">
        <v>1</v>
      </c>
    </row>
    <row r="1957" spans="1:17" x14ac:dyDescent="0.3">
      <c r="A1957" s="82" t="s">
        <v>3177</v>
      </c>
      <c r="B1957" s="86" t="s">
        <v>66</v>
      </c>
      <c r="C1957" s="86" t="s">
        <v>12</v>
      </c>
      <c r="D1957" s="82" t="s">
        <v>3785</v>
      </c>
      <c r="E1957" s="82" t="s">
        <v>3786</v>
      </c>
      <c r="F1957" s="83">
        <v>45566</v>
      </c>
      <c r="G1957" s="83">
        <v>45626</v>
      </c>
      <c r="H1957" s="89" t="str">
        <f t="shared" si="74"/>
        <v>ODD</v>
      </c>
      <c r="I1957" s="110">
        <v>0</v>
      </c>
      <c r="J1957" s="88" t="str">
        <f>UPPER(TEXT(F1957,"mmm")) &amp; " - " &amp; UPPER(TEXT(G1957,"mmm"))</f>
        <v>OCT - NOV</v>
      </c>
      <c r="K1957" s="88" t="s">
        <v>3681</v>
      </c>
      <c r="L1957" s="99" t="s">
        <v>3895</v>
      </c>
      <c r="M1957" s="32" t="str">
        <f t="shared" si="75"/>
        <v>No</v>
      </c>
      <c r="N1957" s="32">
        <f>G1957 - F1957</f>
        <v>60</v>
      </c>
      <c r="O1957">
        <v>1</v>
      </c>
    </row>
    <row r="1958" spans="1:17" x14ac:dyDescent="0.3">
      <c r="A1958" s="80" t="s">
        <v>3174</v>
      </c>
      <c r="B1958" s="85" t="s">
        <v>66</v>
      </c>
      <c r="C1958" s="85" t="s">
        <v>12</v>
      </c>
      <c r="D1958" s="80" t="s">
        <v>3785</v>
      </c>
      <c r="E1958" s="80" t="s">
        <v>3786</v>
      </c>
      <c r="F1958" s="81">
        <v>45566</v>
      </c>
      <c r="G1958" s="81">
        <v>45626</v>
      </c>
      <c r="H1958" s="89" t="str">
        <f t="shared" si="74"/>
        <v>ODD</v>
      </c>
      <c r="I1958" s="109">
        <v>0</v>
      </c>
      <c r="J1958" s="87" t="str">
        <f>UPPER(TEXT(F1958,"mmm")) &amp; " - " &amp; UPPER(TEXT(G1958,"mmm"))</f>
        <v>OCT - NOV</v>
      </c>
      <c r="K1958" s="87" t="s">
        <v>3681</v>
      </c>
      <c r="L1958" s="99" t="s">
        <v>3895</v>
      </c>
      <c r="M1958" s="32" t="str">
        <f t="shared" si="75"/>
        <v>No</v>
      </c>
      <c r="N1958" s="32">
        <f>G1958 - F1958</f>
        <v>60</v>
      </c>
      <c r="O1958">
        <v>1</v>
      </c>
    </row>
    <row r="1959" spans="1:17" x14ac:dyDescent="0.3">
      <c r="A1959" s="82" t="s">
        <v>3415</v>
      </c>
      <c r="B1959" s="86" t="s">
        <v>66</v>
      </c>
      <c r="C1959" s="86" t="s">
        <v>12</v>
      </c>
      <c r="D1959" s="82" t="s">
        <v>3787</v>
      </c>
      <c r="E1959" s="82" t="s">
        <v>3788</v>
      </c>
      <c r="F1959" s="83">
        <v>45240</v>
      </c>
      <c r="G1959" s="83">
        <v>45541</v>
      </c>
      <c r="H1959" s="32" t="str">
        <f t="shared" ref="H1959" si="76">IF((AND(F1959&gt;=DATE(2019,7,15),F1959&lt;=DATE(2019,12,31))),"ODD", "EVEN")</f>
        <v>EVEN</v>
      </c>
      <c r="I1959" s="110">
        <v>0</v>
      </c>
      <c r="J1959" s="3" t="str">
        <f>UPPER(TEXT(F1959,"mmm")) &amp; " - " &amp; UPPER(TEXT(G1959,"mmm"))</f>
        <v>NOV - SEP</v>
      </c>
      <c r="K1959" s="88" t="s">
        <v>3681</v>
      </c>
      <c r="L1959" s="99" t="s">
        <v>3895</v>
      </c>
      <c r="M1959" s="32" t="str">
        <f t="shared" si="75"/>
        <v>No</v>
      </c>
      <c r="N1959" s="32">
        <f>G1959 - F1959</f>
        <v>301</v>
      </c>
      <c r="O1959">
        <v>1</v>
      </c>
      <c r="P1959" s="83"/>
      <c r="Q1959" s="83"/>
    </row>
    <row r="1960" spans="1:17" x14ac:dyDescent="0.3">
      <c r="A1960" s="80" t="s">
        <v>3789</v>
      </c>
      <c r="B1960" s="85" t="s">
        <v>66</v>
      </c>
      <c r="C1960" s="85" t="s">
        <v>12</v>
      </c>
      <c r="D1960" s="80" t="s">
        <v>3692</v>
      </c>
      <c r="E1960" s="80" t="s">
        <v>3790</v>
      </c>
      <c r="F1960" s="81">
        <v>45545</v>
      </c>
      <c r="G1960" s="81">
        <v>45606</v>
      </c>
      <c r="H1960" s="89" t="str">
        <f t="shared" si="74"/>
        <v>ODD</v>
      </c>
      <c r="I1960" s="109">
        <v>0</v>
      </c>
      <c r="J1960" s="87" t="str">
        <f>UPPER(TEXT(F1960,"mmm")) &amp; " - " &amp; UPPER(TEXT(G1960,"mmm"))</f>
        <v>SEP - NOV</v>
      </c>
      <c r="K1960" s="87" t="s">
        <v>3681</v>
      </c>
      <c r="L1960" s="99" t="s">
        <v>3895</v>
      </c>
      <c r="M1960" s="32" t="str">
        <f t="shared" si="75"/>
        <v>No</v>
      </c>
      <c r="N1960" s="32">
        <f>G1960 - F1960</f>
        <v>61</v>
      </c>
      <c r="O1960">
        <v>1</v>
      </c>
    </row>
    <row r="1961" spans="1:17" x14ac:dyDescent="0.3">
      <c r="A1961" s="82" t="s">
        <v>3791</v>
      </c>
      <c r="B1961" s="86" t="s">
        <v>66</v>
      </c>
      <c r="C1961" s="86" t="s">
        <v>12</v>
      </c>
      <c r="D1961" s="82" t="s">
        <v>3792</v>
      </c>
      <c r="E1961" s="82" t="s">
        <v>3793</v>
      </c>
      <c r="F1961" s="83">
        <v>45658</v>
      </c>
      <c r="G1961" s="83">
        <v>45688</v>
      </c>
      <c r="H1961" s="89" t="str">
        <f t="shared" si="74"/>
        <v>EVEN</v>
      </c>
      <c r="I1961" s="110">
        <v>0</v>
      </c>
      <c r="J1961" s="88" t="str">
        <f>UPPER(TEXT(F1961,"mmm")) &amp; " - " &amp; UPPER(TEXT(G1961,"mmm"))</f>
        <v>JAN - JAN</v>
      </c>
      <c r="K1961" s="88" t="s">
        <v>3681</v>
      </c>
      <c r="L1961" s="99" t="s">
        <v>3895</v>
      </c>
      <c r="M1961" s="32" t="str">
        <f t="shared" si="75"/>
        <v>No</v>
      </c>
      <c r="N1961" s="32">
        <f>G1961 - F1961</f>
        <v>30</v>
      </c>
      <c r="O1961">
        <v>1</v>
      </c>
    </row>
    <row r="1962" spans="1:17" x14ac:dyDescent="0.3">
      <c r="A1962" s="80" t="s">
        <v>3794</v>
      </c>
      <c r="B1962" s="85" t="s">
        <v>66</v>
      </c>
      <c r="C1962" s="85" t="s">
        <v>12</v>
      </c>
      <c r="D1962" s="80" t="s">
        <v>3795</v>
      </c>
      <c r="E1962" s="80" t="s">
        <v>3796</v>
      </c>
      <c r="F1962" s="81">
        <v>45455</v>
      </c>
      <c r="G1962" s="81">
        <v>45639</v>
      </c>
      <c r="H1962" s="89" t="str">
        <f t="shared" si="74"/>
        <v>EVEN</v>
      </c>
      <c r="I1962" s="109">
        <v>0</v>
      </c>
      <c r="J1962" s="87" t="str">
        <f>UPPER(TEXT(F1962,"mmm")) &amp; " - " &amp; UPPER(TEXT(G1962,"mmm"))</f>
        <v>JUN - DEC</v>
      </c>
      <c r="K1962" s="87" t="s">
        <v>3681</v>
      </c>
      <c r="L1962" s="99" t="s">
        <v>3895</v>
      </c>
      <c r="M1962" s="32" t="str">
        <f t="shared" si="75"/>
        <v>No</v>
      </c>
      <c r="N1962" s="32">
        <f>G1962 - F1962</f>
        <v>184</v>
      </c>
      <c r="O1962">
        <v>1</v>
      </c>
    </row>
    <row r="1963" spans="1:17" x14ac:dyDescent="0.3">
      <c r="A1963" s="82" t="s">
        <v>3797</v>
      </c>
      <c r="B1963" s="86" t="s">
        <v>66</v>
      </c>
      <c r="C1963" s="86" t="s">
        <v>12</v>
      </c>
      <c r="D1963" s="82" t="s">
        <v>3798</v>
      </c>
      <c r="E1963" s="82" t="s">
        <v>3799</v>
      </c>
      <c r="F1963" s="83">
        <v>45596</v>
      </c>
      <c r="G1963" s="83">
        <v>45691</v>
      </c>
      <c r="H1963" s="89" t="str">
        <f t="shared" si="74"/>
        <v>ODD</v>
      </c>
      <c r="I1963" s="110">
        <v>0</v>
      </c>
      <c r="J1963" s="88" t="str">
        <f>UPPER(TEXT(F1963,"mmm")) &amp; " - " &amp; UPPER(TEXT(G1963,"mmm"))</f>
        <v>OCT - FEB</v>
      </c>
      <c r="K1963" s="88" t="s">
        <v>3681</v>
      </c>
      <c r="L1963" s="99" t="s">
        <v>3895</v>
      </c>
      <c r="M1963" s="32" t="str">
        <f t="shared" si="75"/>
        <v>No</v>
      </c>
      <c r="N1963" s="32">
        <f>G1963 - F1963</f>
        <v>95</v>
      </c>
      <c r="O1963">
        <v>1</v>
      </c>
    </row>
    <row r="1964" spans="1:17" x14ac:dyDescent="0.3">
      <c r="A1964" s="80" t="s">
        <v>3415</v>
      </c>
      <c r="B1964" s="85" t="s">
        <v>66</v>
      </c>
      <c r="C1964" s="85" t="s">
        <v>12</v>
      </c>
      <c r="D1964" s="80" t="s">
        <v>3800</v>
      </c>
      <c r="E1964" s="80" t="s">
        <v>3801</v>
      </c>
      <c r="F1964" s="81">
        <v>45611</v>
      </c>
      <c r="G1964" s="81">
        <v>45674</v>
      </c>
      <c r="H1964" s="89" t="str">
        <f t="shared" si="74"/>
        <v>ODD</v>
      </c>
      <c r="I1964" s="109">
        <v>0</v>
      </c>
      <c r="J1964" s="87" t="str">
        <f>UPPER(TEXT(F1964,"mmm")) &amp; " - " &amp; UPPER(TEXT(G1964,"mmm"))</f>
        <v>NOV - JAN</v>
      </c>
      <c r="K1964" s="87" t="s">
        <v>3681</v>
      </c>
      <c r="L1964" s="99" t="s">
        <v>3895</v>
      </c>
      <c r="M1964" s="32" t="str">
        <f t="shared" si="75"/>
        <v>No</v>
      </c>
      <c r="N1964" s="32">
        <f>G1964 - F1964</f>
        <v>63</v>
      </c>
      <c r="O1964">
        <v>1</v>
      </c>
    </row>
    <row r="1965" spans="1:17" x14ac:dyDescent="0.3">
      <c r="A1965" s="82" t="s">
        <v>2696</v>
      </c>
      <c r="B1965" s="86" t="s">
        <v>66</v>
      </c>
      <c r="C1965" s="86" t="s">
        <v>12</v>
      </c>
      <c r="D1965" s="82" t="s">
        <v>3802</v>
      </c>
      <c r="E1965" s="82" t="s">
        <v>3803</v>
      </c>
      <c r="F1965" s="83">
        <v>45462</v>
      </c>
      <c r="G1965" s="83">
        <v>45657</v>
      </c>
      <c r="H1965" s="89" t="str">
        <f t="shared" si="74"/>
        <v>EVEN</v>
      </c>
      <c r="I1965" s="110">
        <v>4100</v>
      </c>
      <c r="J1965" s="88" t="str">
        <f>UPPER(TEXT(F1965,"mmm")) &amp; " - " &amp; UPPER(TEXT(G1965,"mmm"))</f>
        <v>JUN - DEC</v>
      </c>
      <c r="K1965" s="88" t="s">
        <v>3681</v>
      </c>
      <c r="L1965" s="99" t="s">
        <v>3895</v>
      </c>
      <c r="M1965" s="32" t="str">
        <f t="shared" si="75"/>
        <v>Yes</v>
      </c>
      <c r="N1965" s="32">
        <f>G1965 - F1965</f>
        <v>195</v>
      </c>
      <c r="O1965">
        <v>1</v>
      </c>
    </row>
    <row r="1966" spans="1:17" x14ac:dyDescent="0.3">
      <c r="A1966" s="80" t="s">
        <v>3804</v>
      </c>
      <c r="B1966" s="85" t="s">
        <v>66</v>
      </c>
      <c r="C1966" s="85" t="s">
        <v>12</v>
      </c>
      <c r="D1966" s="80" t="s">
        <v>3805</v>
      </c>
      <c r="E1966" s="80" t="s">
        <v>3806</v>
      </c>
      <c r="F1966" s="81">
        <v>45628</v>
      </c>
      <c r="G1966" s="81">
        <v>45690</v>
      </c>
      <c r="H1966" s="89" t="str">
        <f t="shared" si="74"/>
        <v>ODD</v>
      </c>
      <c r="I1966" s="109">
        <v>0</v>
      </c>
      <c r="J1966" s="87" t="str">
        <f>UPPER(TEXT(F1966,"mmm")) &amp; " - " &amp; UPPER(TEXT(G1966,"mmm"))</f>
        <v>DEC - FEB</v>
      </c>
      <c r="K1966" s="87" t="s">
        <v>3681</v>
      </c>
      <c r="L1966" s="99" t="s">
        <v>3895</v>
      </c>
      <c r="M1966" s="32" t="str">
        <f t="shared" si="75"/>
        <v>No</v>
      </c>
      <c r="N1966" s="32">
        <f>G1966 - F1966</f>
        <v>62</v>
      </c>
      <c r="O1966">
        <v>1</v>
      </c>
    </row>
    <row r="1967" spans="1:17" x14ac:dyDescent="0.3">
      <c r="A1967" s="82" t="s">
        <v>3807</v>
      </c>
      <c r="B1967" s="86" t="s">
        <v>66</v>
      </c>
      <c r="C1967" s="86" t="s">
        <v>12</v>
      </c>
      <c r="D1967" s="82" t="s">
        <v>3808</v>
      </c>
      <c r="E1967" s="82" t="s">
        <v>2677</v>
      </c>
      <c r="F1967" s="83">
        <v>45540</v>
      </c>
      <c r="G1967" s="83">
        <v>45601</v>
      </c>
      <c r="H1967" s="89" t="str">
        <f t="shared" si="74"/>
        <v>ODD</v>
      </c>
      <c r="I1967" s="110">
        <v>0</v>
      </c>
      <c r="J1967" s="88" t="str">
        <f>UPPER(TEXT(F1967,"mmm")) &amp; " - " &amp; UPPER(TEXT(G1967,"mmm"))</f>
        <v>SEP - NOV</v>
      </c>
      <c r="K1967" s="88" t="s">
        <v>3681</v>
      </c>
      <c r="L1967" s="99" t="s">
        <v>3895</v>
      </c>
      <c r="M1967" s="32" t="str">
        <f t="shared" si="75"/>
        <v>No</v>
      </c>
      <c r="N1967" s="32">
        <f>G1967 - F1967</f>
        <v>61</v>
      </c>
      <c r="O1967">
        <v>1</v>
      </c>
    </row>
    <row r="1968" spans="1:17" x14ac:dyDescent="0.3">
      <c r="A1968" s="80" t="s">
        <v>3441</v>
      </c>
      <c r="B1968" s="85" t="s">
        <v>66</v>
      </c>
      <c r="C1968" s="85" t="s">
        <v>12</v>
      </c>
      <c r="D1968" s="80" t="s">
        <v>3809</v>
      </c>
      <c r="E1968" s="80" t="s">
        <v>3810</v>
      </c>
      <c r="F1968" s="81">
        <v>45627</v>
      </c>
      <c r="G1968" s="81">
        <v>45658</v>
      </c>
      <c r="H1968" s="89" t="str">
        <f t="shared" si="74"/>
        <v>ODD</v>
      </c>
      <c r="I1968" s="109">
        <v>0</v>
      </c>
      <c r="J1968" s="87" t="str">
        <f>UPPER(TEXT(F1968,"mmm")) &amp; " - " &amp; UPPER(TEXT(G1968,"mmm"))</f>
        <v>DEC - JAN</v>
      </c>
      <c r="K1968" s="87" t="s">
        <v>3681</v>
      </c>
      <c r="L1968" s="99" t="s">
        <v>3895</v>
      </c>
      <c r="M1968" s="32" t="str">
        <f t="shared" si="75"/>
        <v>No</v>
      </c>
      <c r="N1968" s="32">
        <f>G1968 - F1968</f>
        <v>31</v>
      </c>
      <c r="O1968">
        <v>1</v>
      </c>
    </row>
    <row r="1969" spans="1:15" x14ac:dyDescent="0.3">
      <c r="A1969" s="82" t="s">
        <v>3811</v>
      </c>
      <c r="B1969" s="86" t="s">
        <v>66</v>
      </c>
      <c r="C1969" s="86" t="s">
        <v>12</v>
      </c>
      <c r="D1969" s="82" t="s">
        <v>3812</v>
      </c>
      <c r="E1969" s="82" t="s">
        <v>3813</v>
      </c>
      <c r="F1969" s="83">
        <v>45627</v>
      </c>
      <c r="G1969" s="83">
        <v>45659</v>
      </c>
      <c r="H1969" s="89" t="str">
        <f t="shared" si="74"/>
        <v>ODD</v>
      </c>
      <c r="I1969" s="110">
        <v>0</v>
      </c>
      <c r="J1969" s="88" t="str">
        <f>UPPER(TEXT(F1969,"mmm")) &amp; " - " &amp; UPPER(TEXT(G1969,"mmm"))</f>
        <v>DEC - JAN</v>
      </c>
      <c r="K1969" s="88" t="s">
        <v>3681</v>
      </c>
      <c r="L1969" s="99" t="s">
        <v>3895</v>
      </c>
      <c r="M1969" s="32" t="str">
        <f t="shared" si="75"/>
        <v>No</v>
      </c>
      <c r="N1969" s="32">
        <f>G1969 - F1969</f>
        <v>32</v>
      </c>
      <c r="O1969">
        <v>1</v>
      </c>
    </row>
    <row r="1970" spans="1:15" x14ac:dyDescent="0.3">
      <c r="A1970" s="80" t="s">
        <v>3394</v>
      </c>
      <c r="B1970" s="85" t="s">
        <v>66</v>
      </c>
      <c r="C1970" s="85" t="s">
        <v>12</v>
      </c>
      <c r="D1970" s="80" t="s">
        <v>3814</v>
      </c>
      <c r="E1970" s="80" t="s">
        <v>3815</v>
      </c>
      <c r="F1970" s="81">
        <v>45566</v>
      </c>
      <c r="G1970" s="81">
        <v>45596</v>
      </c>
      <c r="H1970" s="89" t="str">
        <f t="shared" si="74"/>
        <v>ODD</v>
      </c>
      <c r="I1970" s="109">
        <v>0</v>
      </c>
      <c r="J1970" s="87" t="str">
        <f>UPPER(TEXT(F1970,"mmm")) &amp; " - " &amp; UPPER(TEXT(G1970,"mmm"))</f>
        <v>OCT - OCT</v>
      </c>
      <c r="K1970" s="87" t="s">
        <v>3681</v>
      </c>
      <c r="L1970" s="99" t="s">
        <v>3895</v>
      </c>
      <c r="M1970" s="32" t="str">
        <f t="shared" si="75"/>
        <v>No</v>
      </c>
      <c r="N1970" s="32">
        <f>G1970 - F1970</f>
        <v>30</v>
      </c>
      <c r="O1970">
        <v>1</v>
      </c>
    </row>
    <row r="1971" spans="1:15" x14ac:dyDescent="0.3">
      <c r="A1971" s="82" t="s">
        <v>3394</v>
      </c>
      <c r="B1971" s="86" t="s">
        <v>66</v>
      </c>
      <c r="C1971" s="86" t="s">
        <v>12</v>
      </c>
      <c r="D1971" s="82" t="s">
        <v>3816</v>
      </c>
      <c r="E1971" s="82" t="s">
        <v>3817</v>
      </c>
      <c r="F1971" s="83">
        <v>45458</v>
      </c>
      <c r="G1971" s="83">
        <v>45519</v>
      </c>
      <c r="H1971" s="89" t="str">
        <f t="shared" si="74"/>
        <v>EVEN</v>
      </c>
      <c r="I1971" s="110">
        <v>0</v>
      </c>
      <c r="J1971" s="88" t="str">
        <f>UPPER(TEXT(F1971,"mmm")) &amp; " - " &amp; UPPER(TEXT(G1971,"mmm"))</f>
        <v>JUN - AUG</v>
      </c>
      <c r="K1971" s="88" t="s">
        <v>3681</v>
      </c>
      <c r="L1971" s="99" t="s">
        <v>3895</v>
      </c>
      <c r="M1971" s="32" t="str">
        <f t="shared" si="75"/>
        <v>No</v>
      </c>
      <c r="N1971" s="32">
        <f>G1971 - F1971</f>
        <v>61</v>
      </c>
      <c r="O1971">
        <v>1</v>
      </c>
    </row>
    <row r="1972" spans="1:15" x14ac:dyDescent="0.3">
      <c r="A1972" s="80" t="s">
        <v>3394</v>
      </c>
      <c r="B1972" s="85" t="s">
        <v>66</v>
      </c>
      <c r="C1972" s="85" t="s">
        <v>12</v>
      </c>
      <c r="D1972" s="80" t="s">
        <v>3818</v>
      </c>
      <c r="E1972" s="80" t="s">
        <v>3819</v>
      </c>
      <c r="F1972" s="81">
        <v>45560</v>
      </c>
      <c r="G1972" s="81">
        <v>45649</v>
      </c>
      <c r="H1972" s="89" t="str">
        <f t="shared" si="74"/>
        <v>ODD</v>
      </c>
      <c r="I1972" s="109">
        <v>0</v>
      </c>
      <c r="J1972" s="87" t="str">
        <f>UPPER(TEXT(F1972,"mmm")) &amp; " - " &amp; UPPER(TEXT(G1972,"mmm"))</f>
        <v>SEP - DEC</v>
      </c>
      <c r="K1972" s="87" t="s">
        <v>3681</v>
      </c>
      <c r="L1972" s="99" t="s">
        <v>3895</v>
      </c>
      <c r="M1972" s="32" t="str">
        <f t="shared" si="75"/>
        <v>No</v>
      </c>
      <c r="N1972" s="32">
        <f>G1972 - F1972</f>
        <v>89</v>
      </c>
      <c r="O1972">
        <v>1</v>
      </c>
    </row>
    <row r="1973" spans="1:15" x14ac:dyDescent="0.3">
      <c r="A1973" s="82" t="s">
        <v>3394</v>
      </c>
      <c r="B1973" s="86" t="s">
        <v>66</v>
      </c>
      <c r="C1973" s="86" t="s">
        <v>12</v>
      </c>
      <c r="D1973" s="82" t="s">
        <v>3683</v>
      </c>
      <c r="E1973" s="82" t="s">
        <v>3820</v>
      </c>
      <c r="F1973" s="83">
        <v>45549</v>
      </c>
      <c r="G1973" s="83">
        <v>45640</v>
      </c>
      <c r="H1973" s="89" t="str">
        <f t="shared" ref="H1973:H2005" si="77">IF(AND(F1973&gt;=DATE(2024,7,15), F1973&lt;=DATE(2024,12,31)), "ODD", "EVEN")</f>
        <v>ODD</v>
      </c>
      <c r="I1973" s="110">
        <v>0</v>
      </c>
      <c r="J1973" s="88" t="str">
        <f>UPPER(TEXT(F1973,"mmm")) &amp; " - " &amp; UPPER(TEXT(G1973,"mmm"))</f>
        <v>SEP - DEC</v>
      </c>
      <c r="K1973" s="88" t="s">
        <v>3681</v>
      </c>
      <c r="L1973" s="99" t="s">
        <v>3895</v>
      </c>
      <c r="M1973" s="32" t="str">
        <f t="shared" si="75"/>
        <v>No</v>
      </c>
      <c r="N1973" s="32">
        <f>G1973 - F1973</f>
        <v>91</v>
      </c>
      <c r="O1973">
        <v>1</v>
      </c>
    </row>
    <row r="1974" spans="1:15" x14ac:dyDescent="0.3">
      <c r="A1974" s="80" t="s">
        <v>3821</v>
      </c>
      <c r="B1974" s="85" t="s">
        <v>66</v>
      </c>
      <c r="C1974" s="85" t="s">
        <v>12</v>
      </c>
      <c r="D1974" s="80" t="s">
        <v>3822</v>
      </c>
      <c r="E1974" s="80" t="s">
        <v>2649</v>
      </c>
      <c r="F1974" s="81">
        <v>45642</v>
      </c>
      <c r="G1974" s="81">
        <v>45675</v>
      </c>
      <c r="H1974" s="89" t="str">
        <f t="shared" si="77"/>
        <v>ODD</v>
      </c>
      <c r="I1974" s="109">
        <v>0</v>
      </c>
      <c r="J1974" s="87" t="str">
        <f>UPPER(TEXT(F1974,"mmm")) &amp; " - " &amp; UPPER(TEXT(G1974,"mmm"))</f>
        <v>DEC - JAN</v>
      </c>
      <c r="K1974" s="87" t="s">
        <v>3681</v>
      </c>
      <c r="L1974" s="99" t="s">
        <v>3895</v>
      </c>
      <c r="M1974" s="32" t="str">
        <f t="shared" si="75"/>
        <v>No</v>
      </c>
      <c r="N1974" s="32">
        <f>G1974 - F1974</f>
        <v>33</v>
      </c>
      <c r="O1974">
        <v>1</v>
      </c>
    </row>
    <row r="1975" spans="1:15" x14ac:dyDescent="0.3">
      <c r="A1975" s="82" t="s">
        <v>3823</v>
      </c>
      <c r="B1975" s="86" t="s">
        <v>66</v>
      </c>
      <c r="C1975" s="86" t="s">
        <v>12</v>
      </c>
      <c r="D1975" s="82" t="s">
        <v>3824</v>
      </c>
      <c r="E1975" s="82" t="s">
        <v>3825</v>
      </c>
      <c r="F1975" s="83">
        <v>45632</v>
      </c>
      <c r="G1975" s="83">
        <v>45661</v>
      </c>
      <c r="H1975" s="89" t="str">
        <f t="shared" si="77"/>
        <v>ODD</v>
      </c>
      <c r="I1975" s="110">
        <v>0</v>
      </c>
      <c r="J1975" s="88" t="str">
        <f>UPPER(TEXT(F1975,"mmm")) &amp; " - " &amp; UPPER(TEXT(G1975,"mmm"))</f>
        <v>DEC - JAN</v>
      </c>
      <c r="K1975" s="88" t="s">
        <v>3681</v>
      </c>
      <c r="L1975" s="99" t="s">
        <v>3895</v>
      </c>
      <c r="M1975" s="32" t="str">
        <f t="shared" si="75"/>
        <v>No</v>
      </c>
      <c r="N1975" s="32">
        <f>G1975 - F1975</f>
        <v>29</v>
      </c>
      <c r="O1975">
        <v>1</v>
      </c>
    </row>
    <row r="1976" spans="1:15" x14ac:dyDescent="0.3">
      <c r="A1976" s="80" t="s">
        <v>3823</v>
      </c>
      <c r="B1976" s="85" t="s">
        <v>66</v>
      </c>
      <c r="C1976" s="85" t="s">
        <v>12</v>
      </c>
      <c r="D1976" s="80" t="s">
        <v>3826</v>
      </c>
      <c r="E1976" s="80" t="s">
        <v>3827</v>
      </c>
      <c r="F1976" s="81">
        <v>45568</v>
      </c>
      <c r="G1976" s="81">
        <v>45631</v>
      </c>
      <c r="H1976" s="89" t="str">
        <f t="shared" si="77"/>
        <v>ODD</v>
      </c>
      <c r="I1976" s="109">
        <v>0</v>
      </c>
      <c r="J1976" s="87" t="str">
        <f>UPPER(TEXT(F1976,"mmm")) &amp; " - " &amp; UPPER(TEXT(G1976,"mmm"))</f>
        <v>OCT - DEC</v>
      </c>
      <c r="K1976" s="87" t="s">
        <v>3681</v>
      </c>
      <c r="L1976" s="99" t="s">
        <v>3895</v>
      </c>
      <c r="M1976" s="32" t="str">
        <f t="shared" si="75"/>
        <v>No</v>
      </c>
      <c r="N1976" s="32">
        <f>G1976 - F1976</f>
        <v>63</v>
      </c>
      <c r="O1976">
        <v>1</v>
      </c>
    </row>
    <row r="1977" spans="1:15" x14ac:dyDescent="0.3">
      <c r="A1977" s="82" t="s">
        <v>3828</v>
      </c>
      <c r="B1977" s="86" t="s">
        <v>66</v>
      </c>
      <c r="C1977" s="86" t="s">
        <v>12</v>
      </c>
      <c r="D1977" s="82" t="s">
        <v>3829</v>
      </c>
      <c r="E1977" s="82" t="s">
        <v>3830</v>
      </c>
      <c r="F1977" s="83">
        <v>45509</v>
      </c>
      <c r="G1977" s="83">
        <v>45570</v>
      </c>
      <c r="H1977" s="89" t="str">
        <f t="shared" si="77"/>
        <v>ODD</v>
      </c>
      <c r="I1977" s="110">
        <v>0</v>
      </c>
      <c r="J1977" s="88" t="str">
        <f>UPPER(TEXT(F1977,"mmm")) &amp; " - " &amp; UPPER(TEXT(G1977,"mmm"))</f>
        <v>AUG - OCT</v>
      </c>
      <c r="K1977" s="88" t="s">
        <v>3681</v>
      </c>
      <c r="L1977" s="99" t="s">
        <v>3895</v>
      </c>
      <c r="M1977" s="32" t="str">
        <f t="shared" si="75"/>
        <v>No</v>
      </c>
      <c r="N1977" s="32">
        <f>G1977 - F1977</f>
        <v>61</v>
      </c>
      <c r="O1977">
        <v>1</v>
      </c>
    </row>
    <row r="1978" spans="1:15" x14ac:dyDescent="0.3">
      <c r="A1978" s="80" t="s">
        <v>2892</v>
      </c>
      <c r="B1978" s="85" t="s">
        <v>66</v>
      </c>
      <c r="C1978" s="85" t="s">
        <v>12</v>
      </c>
      <c r="D1978" s="80" t="s">
        <v>3831</v>
      </c>
      <c r="E1978" s="80" t="s">
        <v>3832</v>
      </c>
      <c r="F1978" s="81">
        <v>45611</v>
      </c>
      <c r="G1978" s="81">
        <v>45641</v>
      </c>
      <c r="H1978" s="89" t="str">
        <f t="shared" si="77"/>
        <v>ODD</v>
      </c>
      <c r="I1978" s="109">
        <v>0</v>
      </c>
      <c r="J1978" s="87" t="str">
        <f>UPPER(TEXT(F1978,"mmm")) &amp; " - " &amp; UPPER(TEXT(G1978,"mmm"))</f>
        <v>NOV - DEC</v>
      </c>
      <c r="K1978" s="87" t="s">
        <v>3681</v>
      </c>
      <c r="L1978" s="99" t="s">
        <v>3895</v>
      </c>
      <c r="M1978" s="32" t="str">
        <f t="shared" si="75"/>
        <v>No</v>
      </c>
      <c r="N1978" s="32">
        <f>G1978 - F1978</f>
        <v>30</v>
      </c>
      <c r="O1978">
        <v>1</v>
      </c>
    </row>
    <row r="1979" spans="1:15" x14ac:dyDescent="0.3">
      <c r="A1979" s="82" t="s">
        <v>3833</v>
      </c>
      <c r="B1979" s="86" t="s">
        <v>66</v>
      </c>
      <c r="C1979" s="86" t="s">
        <v>12</v>
      </c>
      <c r="D1979" s="82" t="s">
        <v>3834</v>
      </c>
      <c r="E1979" s="82" t="s">
        <v>3835</v>
      </c>
      <c r="F1979" s="83">
        <v>45590</v>
      </c>
      <c r="G1979" s="83">
        <v>45657</v>
      </c>
      <c r="H1979" s="89" t="str">
        <f t="shared" si="77"/>
        <v>ODD</v>
      </c>
      <c r="I1979" s="110">
        <v>0</v>
      </c>
      <c r="J1979" s="88" t="str">
        <f>UPPER(TEXT(F1979,"mmm")) &amp; " - " &amp; UPPER(TEXT(G1979,"mmm"))</f>
        <v>OCT - DEC</v>
      </c>
      <c r="K1979" s="88" t="s">
        <v>3681</v>
      </c>
      <c r="L1979" s="99" t="s">
        <v>3895</v>
      </c>
      <c r="M1979" s="32" t="str">
        <f t="shared" si="75"/>
        <v>No</v>
      </c>
      <c r="N1979" s="32">
        <f>G1979 - F1979</f>
        <v>67</v>
      </c>
      <c r="O1979">
        <v>1</v>
      </c>
    </row>
    <row r="1980" spans="1:15" x14ac:dyDescent="0.3">
      <c r="A1980" s="80" t="s">
        <v>3394</v>
      </c>
      <c r="B1980" s="85" t="s">
        <v>66</v>
      </c>
      <c r="C1980" s="85" t="s">
        <v>12</v>
      </c>
      <c r="D1980" s="80" t="s">
        <v>3692</v>
      </c>
      <c r="E1980" s="80" t="s">
        <v>3741</v>
      </c>
      <c r="F1980" s="81">
        <v>45575</v>
      </c>
      <c r="G1980" s="81">
        <v>45636</v>
      </c>
      <c r="H1980" s="89" t="str">
        <f t="shared" si="77"/>
        <v>ODD</v>
      </c>
      <c r="I1980" s="109">
        <v>0</v>
      </c>
      <c r="J1980" s="87" t="str">
        <f>UPPER(TEXT(F1980,"mmm")) &amp; " - " &amp; UPPER(TEXT(G1980,"mmm"))</f>
        <v>OCT - DEC</v>
      </c>
      <c r="K1980" s="87" t="s">
        <v>3681</v>
      </c>
      <c r="L1980" s="99" t="s">
        <v>3895</v>
      </c>
      <c r="M1980" s="32" t="str">
        <f t="shared" si="75"/>
        <v>No</v>
      </c>
      <c r="N1980" s="32">
        <f>G1980 - F1980</f>
        <v>61</v>
      </c>
      <c r="O1980">
        <v>1</v>
      </c>
    </row>
    <row r="1981" spans="1:15" x14ac:dyDescent="0.3">
      <c r="A1981" s="82" t="s">
        <v>3836</v>
      </c>
      <c r="B1981" s="86" t="s">
        <v>66</v>
      </c>
      <c r="C1981" s="86" t="s">
        <v>12</v>
      </c>
      <c r="D1981" s="82" t="s">
        <v>3837</v>
      </c>
      <c r="E1981" s="82" t="s">
        <v>3838</v>
      </c>
      <c r="F1981" s="83">
        <v>45627</v>
      </c>
      <c r="G1981" s="83">
        <v>45660</v>
      </c>
      <c r="H1981" s="89" t="str">
        <f t="shared" si="77"/>
        <v>ODD</v>
      </c>
      <c r="I1981" s="110">
        <v>0</v>
      </c>
      <c r="J1981" s="88" t="str">
        <f>UPPER(TEXT(F1981,"mmm")) &amp; " - " &amp; UPPER(TEXT(G1981,"mmm"))</f>
        <v>DEC - JAN</v>
      </c>
      <c r="K1981" s="88" t="s">
        <v>3681</v>
      </c>
      <c r="L1981" s="99" t="s">
        <v>3895</v>
      </c>
      <c r="M1981" s="32" t="str">
        <f t="shared" si="75"/>
        <v>No</v>
      </c>
      <c r="N1981" s="32">
        <f>G1981 - F1981</f>
        <v>33</v>
      </c>
      <c r="O1981">
        <v>1</v>
      </c>
    </row>
    <row r="1982" spans="1:15" x14ac:dyDescent="0.3">
      <c r="A1982" s="80" t="s">
        <v>3839</v>
      </c>
      <c r="B1982" s="85" t="s">
        <v>66</v>
      </c>
      <c r="C1982" s="85" t="s">
        <v>12</v>
      </c>
      <c r="D1982" s="80" t="s">
        <v>3840</v>
      </c>
      <c r="E1982" s="80" t="s">
        <v>3841</v>
      </c>
      <c r="F1982" s="81">
        <v>45672</v>
      </c>
      <c r="G1982" s="81">
        <v>45714</v>
      </c>
      <c r="H1982" s="89" t="str">
        <f t="shared" si="77"/>
        <v>EVEN</v>
      </c>
      <c r="I1982" s="109">
        <v>0</v>
      </c>
      <c r="J1982" s="87" t="str">
        <f>UPPER(TEXT(F1982,"mmm")) &amp; " - " &amp; UPPER(TEXT(G1982,"mmm"))</f>
        <v>JAN - FEB</v>
      </c>
      <c r="K1982" s="87" t="s">
        <v>3681</v>
      </c>
      <c r="L1982" s="99" t="s">
        <v>3895</v>
      </c>
      <c r="M1982" s="32" t="str">
        <f t="shared" si="75"/>
        <v>No</v>
      </c>
      <c r="N1982" s="32">
        <f>G1982 - F1982</f>
        <v>42</v>
      </c>
      <c r="O1982">
        <v>1</v>
      </c>
    </row>
    <row r="1983" spans="1:15" x14ac:dyDescent="0.3">
      <c r="A1983" s="82" t="s">
        <v>2768</v>
      </c>
      <c r="B1983" s="86" t="s">
        <v>66</v>
      </c>
      <c r="C1983" s="86" t="s">
        <v>12</v>
      </c>
      <c r="D1983" s="82" t="s">
        <v>3842</v>
      </c>
      <c r="E1983" s="82" t="s">
        <v>497</v>
      </c>
      <c r="F1983" s="83">
        <v>45624</v>
      </c>
      <c r="G1983" s="83">
        <v>45654</v>
      </c>
      <c r="H1983" s="89" t="str">
        <f t="shared" si="77"/>
        <v>ODD</v>
      </c>
      <c r="I1983" s="110">
        <v>0</v>
      </c>
      <c r="J1983" s="88" t="str">
        <f>UPPER(TEXT(F1983,"mmm")) &amp; " - " &amp; UPPER(TEXT(G1983,"mmm"))</f>
        <v>NOV - DEC</v>
      </c>
      <c r="K1983" s="88" t="s">
        <v>3681</v>
      </c>
      <c r="L1983" s="99" t="s">
        <v>3895</v>
      </c>
      <c r="M1983" s="32" t="str">
        <f t="shared" si="75"/>
        <v>No</v>
      </c>
      <c r="N1983" s="32">
        <f>G1983 - F1983</f>
        <v>30</v>
      </c>
      <c r="O1983">
        <v>1</v>
      </c>
    </row>
    <row r="1984" spans="1:15" x14ac:dyDescent="0.3">
      <c r="A1984" s="80" t="s">
        <v>2768</v>
      </c>
      <c r="B1984" s="85" t="s">
        <v>66</v>
      </c>
      <c r="C1984" s="85" t="s">
        <v>12</v>
      </c>
      <c r="D1984" s="80" t="s">
        <v>3843</v>
      </c>
      <c r="E1984" s="80" t="s">
        <v>3844</v>
      </c>
      <c r="F1984" s="81">
        <v>45575</v>
      </c>
      <c r="G1984" s="81">
        <v>45617</v>
      </c>
      <c r="H1984" s="89" t="str">
        <f t="shared" si="77"/>
        <v>ODD</v>
      </c>
      <c r="I1984" s="109">
        <v>0</v>
      </c>
      <c r="J1984" s="87" t="str">
        <f>UPPER(TEXT(F1984,"mmm")) &amp; " - " &amp; UPPER(TEXT(G1984,"mmm"))</f>
        <v>OCT - NOV</v>
      </c>
      <c r="K1984" s="87" t="s">
        <v>3681</v>
      </c>
      <c r="L1984" s="99" t="s">
        <v>3895</v>
      </c>
      <c r="M1984" s="32" t="str">
        <f t="shared" si="75"/>
        <v>No</v>
      </c>
      <c r="N1984" s="32">
        <f>G1984 - F1984</f>
        <v>42</v>
      </c>
      <c r="O1984">
        <v>1</v>
      </c>
    </row>
    <row r="1985" spans="1:15" x14ac:dyDescent="0.3">
      <c r="A1985" s="82" t="s">
        <v>3845</v>
      </c>
      <c r="B1985" s="86" t="s">
        <v>66</v>
      </c>
      <c r="C1985" s="86" t="s">
        <v>12</v>
      </c>
      <c r="D1985" s="82" t="s">
        <v>3846</v>
      </c>
      <c r="E1985" s="82" t="s">
        <v>3847</v>
      </c>
      <c r="F1985" s="83">
        <v>45507</v>
      </c>
      <c r="G1985" s="83">
        <v>45642</v>
      </c>
      <c r="H1985" s="89" t="str">
        <f t="shared" si="77"/>
        <v>ODD</v>
      </c>
      <c r="I1985" s="110">
        <v>5000</v>
      </c>
      <c r="J1985" s="88" t="str">
        <f>UPPER(TEXT(F1985,"mmm")) &amp; " - " &amp; UPPER(TEXT(G1985,"mmm"))</f>
        <v>AUG - DEC</v>
      </c>
      <c r="K1985" s="88" t="s">
        <v>3681</v>
      </c>
      <c r="L1985" s="99" t="s">
        <v>3895</v>
      </c>
      <c r="M1985" s="32" t="str">
        <f t="shared" ref="M1985:M2005" si="78">IF(I1985 &gt; 0, "Yes", "No")</f>
        <v>Yes</v>
      </c>
      <c r="N1985" s="32">
        <f t="shared" ref="N1985:N2005" si="79">G1985 - F1985</f>
        <v>135</v>
      </c>
      <c r="O1985">
        <v>1</v>
      </c>
    </row>
    <row r="1986" spans="1:15" x14ac:dyDescent="0.3">
      <c r="A1986" s="80" t="s">
        <v>3848</v>
      </c>
      <c r="B1986" s="85" t="s">
        <v>66</v>
      </c>
      <c r="C1986" s="85" t="s">
        <v>12</v>
      </c>
      <c r="D1986" s="80" t="s">
        <v>3849</v>
      </c>
      <c r="E1986" s="80" t="s">
        <v>3850</v>
      </c>
      <c r="F1986" s="81">
        <v>45453</v>
      </c>
      <c r="G1986" s="81">
        <v>45516</v>
      </c>
      <c r="H1986" s="89" t="str">
        <f t="shared" si="77"/>
        <v>EVEN</v>
      </c>
      <c r="I1986" s="109">
        <v>0</v>
      </c>
      <c r="J1986" s="87" t="str">
        <f>UPPER(TEXT(F1986,"mmm")) &amp; " - " &amp; UPPER(TEXT(G1986,"mmm"))</f>
        <v>JUN - AUG</v>
      </c>
      <c r="K1986" s="87" t="s">
        <v>3681</v>
      </c>
      <c r="L1986" s="99" t="s">
        <v>3895</v>
      </c>
      <c r="M1986" s="32" t="str">
        <f t="shared" si="78"/>
        <v>No</v>
      </c>
      <c r="N1986" s="32">
        <f t="shared" si="79"/>
        <v>63</v>
      </c>
      <c r="O1986">
        <v>1</v>
      </c>
    </row>
    <row r="1987" spans="1:15" x14ac:dyDescent="0.3">
      <c r="A1987" s="82" t="s">
        <v>3851</v>
      </c>
      <c r="B1987" s="86" t="s">
        <v>66</v>
      </c>
      <c r="C1987" s="86" t="s">
        <v>12</v>
      </c>
      <c r="D1987" s="82" t="s">
        <v>3852</v>
      </c>
      <c r="E1987" s="82" t="s">
        <v>3853</v>
      </c>
      <c r="F1987" s="83">
        <v>45628</v>
      </c>
      <c r="G1987" s="83">
        <v>45657</v>
      </c>
      <c r="H1987" s="89" t="str">
        <f t="shared" si="77"/>
        <v>ODD</v>
      </c>
      <c r="I1987" s="110">
        <v>0</v>
      </c>
      <c r="J1987" s="88" t="str">
        <f>UPPER(TEXT(F1987,"mmm")) &amp; " - " &amp; UPPER(TEXT(G1987,"mmm"))</f>
        <v>DEC - DEC</v>
      </c>
      <c r="K1987" s="88" t="s">
        <v>3681</v>
      </c>
      <c r="L1987" s="99" t="s">
        <v>3895</v>
      </c>
      <c r="M1987" s="32" t="str">
        <f t="shared" si="78"/>
        <v>No</v>
      </c>
      <c r="N1987" s="32">
        <f t="shared" si="79"/>
        <v>29</v>
      </c>
      <c r="O1987">
        <v>1</v>
      </c>
    </row>
    <row r="1988" spans="1:15" x14ac:dyDescent="0.3">
      <c r="A1988" s="80" t="s">
        <v>3854</v>
      </c>
      <c r="B1988" s="85" t="s">
        <v>66</v>
      </c>
      <c r="C1988" s="85" t="s">
        <v>12</v>
      </c>
      <c r="D1988" s="80" t="s">
        <v>3855</v>
      </c>
      <c r="E1988" s="80" t="s">
        <v>3856</v>
      </c>
      <c r="F1988" s="81">
        <v>45474</v>
      </c>
      <c r="G1988" s="81">
        <v>45639</v>
      </c>
      <c r="H1988" s="89" t="str">
        <f t="shared" si="77"/>
        <v>EVEN</v>
      </c>
      <c r="I1988" s="109">
        <v>0</v>
      </c>
      <c r="J1988" s="87" t="str">
        <f>UPPER(TEXT(F1988,"mmm")) &amp; " - " &amp; UPPER(TEXT(G1988,"mmm"))</f>
        <v>JUL - DEC</v>
      </c>
      <c r="K1988" s="87" t="s">
        <v>3681</v>
      </c>
      <c r="L1988" s="99" t="s">
        <v>3895</v>
      </c>
      <c r="M1988" s="32" t="str">
        <f t="shared" si="78"/>
        <v>No</v>
      </c>
      <c r="N1988" s="32">
        <f t="shared" si="79"/>
        <v>165</v>
      </c>
      <c r="O1988">
        <v>1</v>
      </c>
    </row>
    <row r="1989" spans="1:15" x14ac:dyDescent="0.3">
      <c r="A1989" s="82" t="s">
        <v>3857</v>
      </c>
      <c r="B1989" s="86" t="s">
        <v>66</v>
      </c>
      <c r="C1989" s="86" t="s">
        <v>12</v>
      </c>
      <c r="D1989" s="82" t="s">
        <v>3858</v>
      </c>
      <c r="E1989" s="82" t="s">
        <v>3859</v>
      </c>
      <c r="F1989" s="83">
        <v>45572</v>
      </c>
      <c r="G1989" s="83">
        <v>45637</v>
      </c>
      <c r="H1989" s="89" t="str">
        <f t="shared" si="77"/>
        <v>ODD</v>
      </c>
      <c r="I1989" s="110">
        <v>0</v>
      </c>
      <c r="J1989" s="88" t="str">
        <f>UPPER(TEXT(F1989,"mmm")) &amp; " - " &amp; UPPER(TEXT(G1989,"mmm"))</f>
        <v>OCT - DEC</v>
      </c>
      <c r="K1989" s="88" t="s">
        <v>3681</v>
      </c>
      <c r="L1989" s="99" t="s">
        <v>3895</v>
      </c>
      <c r="M1989" s="32" t="str">
        <f t="shared" si="78"/>
        <v>No</v>
      </c>
      <c r="N1989" s="32">
        <f t="shared" si="79"/>
        <v>65</v>
      </c>
      <c r="O1989">
        <v>1</v>
      </c>
    </row>
    <row r="1990" spans="1:15" x14ac:dyDescent="0.3">
      <c r="A1990" s="80" t="s">
        <v>3860</v>
      </c>
      <c r="B1990" s="85" t="s">
        <v>66</v>
      </c>
      <c r="C1990" s="85" t="s">
        <v>12</v>
      </c>
      <c r="D1990" s="80" t="s">
        <v>3861</v>
      </c>
      <c r="E1990" s="80" t="s">
        <v>3862</v>
      </c>
      <c r="F1990" s="81">
        <v>45478</v>
      </c>
      <c r="G1990" s="81">
        <v>45509</v>
      </c>
      <c r="H1990" s="89" t="str">
        <f t="shared" si="77"/>
        <v>EVEN</v>
      </c>
      <c r="I1990" s="109">
        <v>0</v>
      </c>
      <c r="J1990" s="87" t="str">
        <f>UPPER(TEXT(F1990,"mmm")) &amp; " - " &amp; UPPER(TEXT(G1990,"mmm"))</f>
        <v>JUL - AUG</v>
      </c>
      <c r="K1990" s="87" t="s">
        <v>3681</v>
      </c>
      <c r="L1990" s="99" t="s">
        <v>3895</v>
      </c>
      <c r="M1990" s="32" t="str">
        <f t="shared" si="78"/>
        <v>No</v>
      </c>
      <c r="N1990" s="32">
        <f t="shared" si="79"/>
        <v>31</v>
      </c>
      <c r="O1990">
        <v>1</v>
      </c>
    </row>
    <row r="1991" spans="1:15" x14ac:dyDescent="0.3">
      <c r="A1991" s="82" t="s">
        <v>3138</v>
      </c>
      <c r="B1991" s="86" t="s">
        <v>66</v>
      </c>
      <c r="C1991" s="86" t="s">
        <v>12</v>
      </c>
      <c r="D1991" s="82" t="s">
        <v>3863</v>
      </c>
      <c r="E1991" s="82" t="s">
        <v>277</v>
      </c>
      <c r="F1991" s="83">
        <v>45627</v>
      </c>
      <c r="G1991" s="83">
        <v>45688</v>
      </c>
      <c r="H1991" s="89" t="str">
        <f t="shared" si="77"/>
        <v>ODD</v>
      </c>
      <c r="I1991" s="110">
        <v>0</v>
      </c>
      <c r="J1991" s="88" t="str">
        <f>UPPER(TEXT(F1991,"mmm")) &amp; " - " &amp; UPPER(TEXT(G1991,"mmm"))</f>
        <v>DEC - JAN</v>
      </c>
      <c r="K1991" s="88" t="s">
        <v>3681</v>
      </c>
      <c r="L1991" s="99" t="s">
        <v>3895</v>
      </c>
      <c r="M1991" s="32" t="str">
        <f t="shared" si="78"/>
        <v>No</v>
      </c>
      <c r="N1991" s="32">
        <f t="shared" si="79"/>
        <v>61</v>
      </c>
      <c r="O1991">
        <v>1</v>
      </c>
    </row>
    <row r="1992" spans="1:15" x14ac:dyDescent="0.3">
      <c r="A1992" s="80" t="s">
        <v>3864</v>
      </c>
      <c r="B1992" s="85" t="s">
        <v>66</v>
      </c>
      <c r="C1992" s="85" t="s">
        <v>12</v>
      </c>
      <c r="D1992" s="80" t="s">
        <v>3865</v>
      </c>
      <c r="E1992" s="80" t="s">
        <v>3866</v>
      </c>
      <c r="F1992" s="81">
        <v>45839</v>
      </c>
      <c r="G1992" s="81">
        <v>45951</v>
      </c>
      <c r="H1992" s="89" t="str">
        <f t="shared" si="77"/>
        <v>EVEN</v>
      </c>
      <c r="I1992" s="109">
        <v>3000</v>
      </c>
      <c r="J1992" s="87" t="str">
        <f>UPPER(TEXT(F1992,"mmm")) &amp; " - " &amp; UPPER(TEXT(G1992,"mmm"))</f>
        <v>JUL - OCT</v>
      </c>
      <c r="K1992" s="87" t="s">
        <v>3681</v>
      </c>
      <c r="L1992" s="99" t="s">
        <v>3895</v>
      </c>
      <c r="M1992" s="32" t="str">
        <f t="shared" si="78"/>
        <v>Yes</v>
      </c>
      <c r="N1992" s="32">
        <f t="shared" si="79"/>
        <v>112</v>
      </c>
      <c r="O1992">
        <v>1</v>
      </c>
    </row>
    <row r="1993" spans="1:15" x14ac:dyDescent="0.3">
      <c r="A1993" s="82" t="s">
        <v>3867</v>
      </c>
      <c r="B1993" s="86" t="s">
        <v>70</v>
      </c>
      <c r="C1993" s="86" t="s">
        <v>12</v>
      </c>
      <c r="D1993" s="82" t="s">
        <v>3868</v>
      </c>
      <c r="E1993" s="82" t="s">
        <v>3869</v>
      </c>
      <c r="F1993" s="83">
        <v>45627</v>
      </c>
      <c r="G1993" s="83">
        <v>45657</v>
      </c>
      <c r="H1993" s="89" t="str">
        <f t="shared" si="77"/>
        <v>ODD</v>
      </c>
      <c r="I1993" s="110">
        <v>0</v>
      </c>
      <c r="J1993" s="88" t="str">
        <f>UPPER(TEXT(F1993,"mmm")) &amp; " - " &amp; UPPER(TEXT(G1993,"mmm"))</f>
        <v>DEC - DEC</v>
      </c>
      <c r="K1993" s="88" t="s">
        <v>3681</v>
      </c>
      <c r="L1993" s="86" t="s">
        <v>895</v>
      </c>
      <c r="M1993" s="32" t="str">
        <f t="shared" si="78"/>
        <v>No</v>
      </c>
      <c r="N1993" s="32">
        <f t="shared" si="79"/>
        <v>30</v>
      </c>
      <c r="O1993">
        <v>1</v>
      </c>
    </row>
    <row r="1994" spans="1:15" x14ac:dyDescent="0.3">
      <c r="A1994" s="80" t="s">
        <v>3870</v>
      </c>
      <c r="B1994" s="85" t="s">
        <v>78</v>
      </c>
      <c r="C1994" s="85" t="s">
        <v>12</v>
      </c>
      <c r="D1994" s="80" t="s">
        <v>3871</v>
      </c>
      <c r="E1994" s="80" t="s">
        <v>3872</v>
      </c>
      <c r="F1994" s="81">
        <v>45676</v>
      </c>
      <c r="G1994" s="81">
        <v>45688</v>
      </c>
      <c r="H1994" s="89" t="str">
        <f t="shared" si="77"/>
        <v>EVEN</v>
      </c>
      <c r="I1994" s="109">
        <v>0</v>
      </c>
      <c r="J1994" s="87" t="str">
        <f>UPPER(TEXT(F1994,"mmm")) &amp; " - " &amp; UPPER(TEXT(G1994,"mmm"))</f>
        <v>JAN - JAN</v>
      </c>
      <c r="K1994" s="87" t="s">
        <v>3681</v>
      </c>
      <c r="L1994" s="85" t="s">
        <v>895</v>
      </c>
      <c r="M1994" s="32" t="str">
        <f t="shared" si="78"/>
        <v>No</v>
      </c>
      <c r="N1994" s="32">
        <f t="shared" si="79"/>
        <v>12</v>
      </c>
      <c r="O1994">
        <v>1</v>
      </c>
    </row>
    <row r="1995" spans="1:15" x14ac:dyDescent="0.3">
      <c r="A1995" s="82" t="s">
        <v>3873</v>
      </c>
      <c r="B1995" s="86" t="s">
        <v>78</v>
      </c>
      <c r="C1995" s="86" t="s">
        <v>12</v>
      </c>
      <c r="D1995" s="82" t="s">
        <v>3874</v>
      </c>
      <c r="E1995" s="82" t="s">
        <v>3875</v>
      </c>
      <c r="F1995" s="83">
        <v>45639</v>
      </c>
      <c r="G1995" s="83">
        <v>45670</v>
      </c>
      <c r="H1995" s="89" t="str">
        <f t="shared" si="77"/>
        <v>ODD</v>
      </c>
      <c r="I1995" s="110">
        <v>0</v>
      </c>
      <c r="J1995" s="88" t="str">
        <f>UPPER(TEXT(F1995,"mmm")) &amp; " - " &amp; UPPER(TEXT(G1995,"mmm"))</f>
        <v>DEC - JAN</v>
      </c>
      <c r="K1995" s="88" t="s">
        <v>3681</v>
      </c>
      <c r="L1995" s="86" t="s">
        <v>895</v>
      </c>
      <c r="M1995" s="32" t="str">
        <f t="shared" si="78"/>
        <v>No</v>
      </c>
      <c r="N1995" s="32">
        <f t="shared" si="79"/>
        <v>31</v>
      </c>
      <c r="O1995">
        <v>1</v>
      </c>
    </row>
    <row r="1996" spans="1:15" x14ac:dyDescent="0.3">
      <c r="A1996" s="80" t="s">
        <v>3876</v>
      </c>
      <c r="B1996" s="85" t="s">
        <v>78</v>
      </c>
      <c r="C1996" s="85" t="s">
        <v>12</v>
      </c>
      <c r="D1996" s="80" t="s">
        <v>3874</v>
      </c>
      <c r="E1996" s="80" t="s">
        <v>3877</v>
      </c>
      <c r="F1996" s="81">
        <v>45639</v>
      </c>
      <c r="G1996" s="81">
        <v>45670</v>
      </c>
      <c r="H1996" s="89" t="str">
        <f t="shared" si="77"/>
        <v>ODD</v>
      </c>
      <c r="I1996" s="109">
        <v>0</v>
      </c>
      <c r="J1996" s="87" t="str">
        <f>UPPER(TEXT(F1996,"mmm")) &amp; " - " &amp; UPPER(TEXT(G1996,"mmm"))</f>
        <v>DEC - JAN</v>
      </c>
      <c r="K1996" s="87" t="s">
        <v>3681</v>
      </c>
      <c r="L1996" s="85" t="s">
        <v>895</v>
      </c>
      <c r="M1996" s="32" t="str">
        <f t="shared" si="78"/>
        <v>No</v>
      </c>
      <c r="N1996" s="32">
        <f t="shared" si="79"/>
        <v>31</v>
      </c>
      <c r="O1996">
        <v>1</v>
      </c>
    </row>
    <row r="1997" spans="1:15" x14ac:dyDescent="0.3">
      <c r="A1997" s="82" t="s">
        <v>3352</v>
      </c>
      <c r="B1997" s="86" t="s">
        <v>78</v>
      </c>
      <c r="C1997" s="86" t="s">
        <v>12</v>
      </c>
      <c r="D1997" s="82" t="s">
        <v>3874</v>
      </c>
      <c r="E1997" s="82" t="s">
        <v>3878</v>
      </c>
      <c r="F1997" s="83">
        <v>45639</v>
      </c>
      <c r="G1997" s="83">
        <v>45670</v>
      </c>
      <c r="H1997" s="89" t="str">
        <f t="shared" si="77"/>
        <v>ODD</v>
      </c>
      <c r="I1997" s="110">
        <v>0</v>
      </c>
      <c r="J1997" s="88" t="str">
        <f>UPPER(TEXT(F1997,"mmm")) &amp; " - " &amp; UPPER(TEXT(G1997,"mmm"))</f>
        <v>DEC - JAN</v>
      </c>
      <c r="K1997" s="88" t="s">
        <v>3681</v>
      </c>
      <c r="L1997" s="86" t="s">
        <v>895</v>
      </c>
      <c r="M1997" s="32" t="str">
        <f t="shared" si="78"/>
        <v>No</v>
      </c>
      <c r="N1997" s="32">
        <f t="shared" si="79"/>
        <v>31</v>
      </c>
      <c r="O1997">
        <v>1</v>
      </c>
    </row>
    <row r="1998" spans="1:15" x14ac:dyDescent="0.3">
      <c r="A1998" s="80" t="s">
        <v>3870</v>
      </c>
      <c r="B1998" s="85" t="s">
        <v>78</v>
      </c>
      <c r="C1998" s="85" t="s">
        <v>12</v>
      </c>
      <c r="D1998" s="80" t="s">
        <v>3879</v>
      </c>
      <c r="E1998" s="80" t="s">
        <v>3880</v>
      </c>
      <c r="F1998" s="81">
        <v>45639</v>
      </c>
      <c r="G1998" s="81">
        <v>45670</v>
      </c>
      <c r="H1998" s="89" t="str">
        <f t="shared" si="77"/>
        <v>ODD</v>
      </c>
      <c r="I1998" s="109">
        <v>0</v>
      </c>
      <c r="J1998" s="87" t="str">
        <f>UPPER(TEXT(F1998,"mmm")) &amp; " - " &amp; UPPER(TEXT(G1998,"mmm"))</f>
        <v>DEC - JAN</v>
      </c>
      <c r="K1998" s="87" t="s">
        <v>3681</v>
      </c>
      <c r="L1998" s="85" t="s">
        <v>895</v>
      </c>
      <c r="M1998" s="32" t="str">
        <f t="shared" si="78"/>
        <v>No</v>
      </c>
      <c r="N1998" s="32">
        <f t="shared" si="79"/>
        <v>31</v>
      </c>
      <c r="O1998">
        <v>1</v>
      </c>
    </row>
    <row r="1999" spans="1:15" x14ac:dyDescent="0.3">
      <c r="A1999" s="82" t="s">
        <v>3881</v>
      </c>
      <c r="B1999" s="86" t="s">
        <v>78</v>
      </c>
      <c r="C1999" s="86" t="s">
        <v>12</v>
      </c>
      <c r="D1999" s="82" t="s">
        <v>3882</v>
      </c>
      <c r="E1999" s="82" t="s">
        <v>3877</v>
      </c>
      <c r="F1999" s="83">
        <v>45639</v>
      </c>
      <c r="G1999" s="83">
        <v>45670</v>
      </c>
      <c r="H1999" s="89" t="str">
        <f t="shared" si="77"/>
        <v>ODD</v>
      </c>
      <c r="I1999" s="110">
        <v>0</v>
      </c>
      <c r="J1999" s="88" t="str">
        <f>UPPER(TEXT(F1999,"mmm")) &amp; " - " &amp; UPPER(TEXT(G1999,"mmm"))</f>
        <v>DEC - JAN</v>
      </c>
      <c r="K1999" s="88" t="s">
        <v>3681</v>
      </c>
      <c r="L1999" s="86" t="s">
        <v>895</v>
      </c>
      <c r="M1999" s="32" t="str">
        <f t="shared" si="78"/>
        <v>No</v>
      </c>
      <c r="N1999" s="32">
        <f t="shared" si="79"/>
        <v>31</v>
      </c>
      <c r="O1999">
        <v>1</v>
      </c>
    </row>
    <row r="2000" spans="1:15" x14ac:dyDescent="0.3">
      <c r="A2000" s="80" t="s">
        <v>3883</v>
      </c>
      <c r="B2000" s="85" t="s">
        <v>78</v>
      </c>
      <c r="C2000" s="85" t="s">
        <v>12</v>
      </c>
      <c r="D2000" s="80" t="s">
        <v>3882</v>
      </c>
      <c r="E2000" s="80" t="s">
        <v>3884</v>
      </c>
      <c r="F2000" s="81">
        <v>45639</v>
      </c>
      <c r="G2000" s="81">
        <v>45670</v>
      </c>
      <c r="H2000" s="89" t="str">
        <f t="shared" si="77"/>
        <v>ODD</v>
      </c>
      <c r="I2000" s="109">
        <v>0</v>
      </c>
      <c r="J2000" s="87" t="str">
        <f>UPPER(TEXT(F2000,"mmm")) &amp; " - " &amp; UPPER(TEXT(G2000,"mmm"))</f>
        <v>DEC - JAN</v>
      </c>
      <c r="K2000" s="87" t="s">
        <v>3681</v>
      </c>
      <c r="L2000" s="85" t="s">
        <v>895</v>
      </c>
      <c r="M2000" s="32" t="str">
        <f t="shared" si="78"/>
        <v>No</v>
      </c>
      <c r="N2000" s="32">
        <f t="shared" si="79"/>
        <v>31</v>
      </c>
      <c r="O2000">
        <v>1</v>
      </c>
    </row>
    <row r="2001" spans="1:15" x14ac:dyDescent="0.3">
      <c r="A2001" s="82" t="s">
        <v>2888</v>
      </c>
      <c r="B2001" s="86" t="s">
        <v>66</v>
      </c>
      <c r="C2001" s="86" t="s">
        <v>12</v>
      </c>
      <c r="D2001" s="82" t="s">
        <v>3885</v>
      </c>
      <c r="E2001" s="82" t="s">
        <v>3886</v>
      </c>
      <c r="F2001" s="83">
        <v>45474</v>
      </c>
      <c r="G2001" s="83">
        <v>45596</v>
      </c>
      <c r="H2001" s="89" t="str">
        <f t="shared" si="77"/>
        <v>EVEN</v>
      </c>
      <c r="I2001" s="110">
        <v>0</v>
      </c>
      <c r="J2001" s="88" t="str">
        <f>UPPER(TEXT(F2001,"mmm")) &amp; " - " &amp; UPPER(TEXT(G2001,"mmm"))</f>
        <v>JUL - OCT</v>
      </c>
      <c r="K2001" s="88" t="s">
        <v>3681</v>
      </c>
      <c r="L2001" s="86" t="s">
        <v>895</v>
      </c>
      <c r="M2001" s="32" t="str">
        <f t="shared" si="78"/>
        <v>No</v>
      </c>
      <c r="N2001" s="32">
        <f t="shared" si="79"/>
        <v>122</v>
      </c>
      <c r="O2001">
        <v>1</v>
      </c>
    </row>
    <row r="2002" spans="1:15" x14ac:dyDescent="0.3">
      <c r="A2002" s="80" t="s">
        <v>3794</v>
      </c>
      <c r="B2002" s="85" t="s">
        <v>66</v>
      </c>
      <c r="C2002" s="85" t="s">
        <v>12</v>
      </c>
      <c r="D2002" s="80" t="s">
        <v>3887</v>
      </c>
      <c r="E2002" s="80" t="s">
        <v>393</v>
      </c>
      <c r="F2002" s="81">
        <v>45474</v>
      </c>
      <c r="G2002" s="81">
        <v>45527</v>
      </c>
      <c r="H2002" s="89" t="str">
        <f t="shared" si="77"/>
        <v>EVEN</v>
      </c>
      <c r="I2002" s="109">
        <v>0</v>
      </c>
      <c r="J2002" s="87" t="str">
        <f>UPPER(TEXT(F2002,"mmm")) &amp; " - " &amp; UPPER(TEXT(G2002,"mmm"))</f>
        <v>JUL - AUG</v>
      </c>
      <c r="K2002" s="87" t="s">
        <v>3681</v>
      </c>
      <c r="L2002" s="85" t="s">
        <v>895</v>
      </c>
      <c r="M2002" s="32" t="str">
        <f t="shared" si="78"/>
        <v>No</v>
      </c>
      <c r="N2002" s="32">
        <f t="shared" si="79"/>
        <v>53</v>
      </c>
      <c r="O2002">
        <v>1</v>
      </c>
    </row>
    <row r="2003" spans="1:15" x14ac:dyDescent="0.3">
      <c r="A2003" s="82" t="s">
        <v>3828</v>
      </c>
      <c r="B2003" s="86" t="s">
        <v>66</v>
      </c>
      <c r="C2003" s="86" t="s">
        <v>12</v>
      </c>
      <c r="D2003" s="82" t="s">
        <v>3683</v>
      </c>
      <c r="E2003" s="82" t="s">
        <v>3888</v>
      </c>
      <c r="F2003" s="83">
        <v>45420</v>
      </c>
      <c r="G2003" s="83">
        <v>45422</v>
      </c>
      <c r="H2003" s="89" t="str">
        <f t="shared" si="77"/>
        <v>EVEN</v>
      </c>
      <c r="I2003" s="110">
        <v>0</v>
      </c>
      <c r="J2003" s="88" t="str">
        <f>UPPER(TEXT(F2003,"mmm")) &amp; " - " &amp; UPPER(TEXT(G2003,"mmm"))</f>
        <v>MAY - MAY</v>
      </c>
      <c r="K2003" s="88" t="s">
        <v>3681</v>
      </c>
      <c r="L2003" s="86" t="s">
        <v>895</v>
      </c>
      <c r="M2003" s="32" t="str">
        <f t="shared" si="78"/>
        <v>No</v>
      </c>
      <c r="N2003" s="32">
        <f t="shared" si="79"/>
        <v>2</v>
      </c>
      <c r="O2003">
        <v>1</v>
      </c>
    </row>
    <row r="2004" spans="1:15" x14ac:dyDescent="0.3">
      <c r="A2004" s="80" t="s">
        <v>3889</v>
      </c>
      <c r="B2004" s="85" t="s">
        <v>66</v>
      </c>
      <c r="C2004" s="85" t="s">
        <v>12</v>
      </c>
      <c r="D2004" s="80" t="s">
        <v>3890</v>
      </c>
      <c r="E2004" s="80" t="s">
        <v>3891</v>
      </c>
      <c r="F2004" s="81">
        <v>45444</v>
      </c>
      <c r="G2004" s="81">
        <v>45535</v>
      </c>
      <c r="H2004" s="89" t="str">
        <f t="shared" si="77"/>
        <v>EVEN</v>
      </c>
      <c r="I2004" s="109">
        <v>0</v>
      </c>
      <c r="J2004" s="87" t="str">
        <f>UPPER(TEXT(F2004,"mmm")) &amp; " - " &amp; UPPER(TEXT(G2004,"mmm"))</f>
        <v>JUN - AUG</v>
      </c>
      <c r="K2004" s="87" t="s">
        <v>3681</v>
      </c>
      <c r="L2004" s="85" t="s">
        <v>895</v>
      </c>
      <c r="M2004" s="32" t="str">
        <f t="shared" si="78"/>
        <v>No</v>
      </c>
      <c r="N2004" s="32">
        <f t="shared" si="79"/>
        <v>91</v>
      </c>
      <c r="O2004">
        <v>1</v>
      </c>
    </row>
    <row r="2005" spans="1:15" x14ac:dyDescent="0.3">
      <c r="A2005" s="82" t="s">
        <v>3889</v>
      </c>
      <c r="B2005" s="86" t="s">
        <v>66</v>
      </c>
      <c r="C2005" s="86" t="s">
        <v>12</v>
      </c>
      <c r="D2005" s="82" t="s">
        <v>3892</v>
      </c>
      <c r="E2005" s="82" t="s">
        <v>3893</v>
      </c>
      <c r="F2005" s="83">
        <v>45474</v>
      </c>
      <c r="G2005" s="83">
        <v>45595</v>
      </c>
      <c r="H2005" s="89" t="str">
        <f t="shared" si="77"/>
        <v>EVEN</v>
      </c>
      <c r="I2005" s="110">
        <v>0</v>
      </c>
      <c r="J2005" s="88" t="str">
        <f>UPPER(TEXT(F2005,"mmm")) &amp; " - " &amp; UPPER(TEXT(G2005,"mmm"))</f>
        <v>JUL - OCT</v>
      </c>
      <c r="K2005" s="88" t="s">
        <v>3681</v>
      </c>
      <c r="L2005" s="86" t="s">
        <v>895</v>
      </c>
      <c r="M2005" s="32" t="str">
        <f t="shared" si="78"/>
        <v>No</v>
      </c>
      <c r="N2005" s="32">
        <f t="shared" si="79"/>
        <v>121</v>
      </c>
      <c r="O2005">
        <v>1</v>
      </c>
    </row>
  </sheetData>
  <hyperlinks>
    <hyperlink ref="E929" r:id="rId1" xr:uid="{86D6EA42-8086-4A94-90F1-3A94B0234BD8}"/>
    <hyperlink ref="F1296" r:id="rId2" display="https://www.linkedin.com/in/tahami-mundewadi-6379951b5" xr:uid="{D7D139E9-1484-498A-8845-7837DE7A6E7F}"/>
    <hyperlink ref="D1910" r:id="rId3" xr:uid="{E7297CF5-4F6A-4C32-B089-7AEEA9BBBF04}"/>
  </hyperlinks>
  <pageMargins left="0.7" right="0.7" top="0.75" bottom="0.75" header="0.3" footer="0.3"/>
  <ignoredErrors>
    <ignoredError sqref="H802:H1468 H1469:H1959" formula="1"/>
  </ignoredErrors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PATEL</dc:creator>
  <cp:lastModifiedBy>TY_16010122134_Aditya Patel Patel</cp:lastModifiedBy>
  <dcterms:created xsi:type="dcterms:W3CDTF">2025-06-09T18:03:41Z</dcterms:created>
  <dcterms:modified xsi:type="dcterms:W3CDTF">2026-01-29T11:05:16Z</dcterms:modified>
</cp:coreProperties>
</file>